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DITA" sheetId="1" r:id="rId5"/>
    <sheet state="visible" name="KAPIL MANJARE" sheetId="2" r:id="rId6"/>
    <sheet state="visible" name="Sheet48" sheetId="3" r:id="rId7"/>
    <sheet state="visible" name="Tansvi Nagalwade" sheetId="4" r:id="rId8"/>
    <sheet state="visible" name="Sheet46" sheetId="5" r:id="rId9"/>
    <sheet state="visible" name="Sheet47" sheetId="6" r:id="rId10"/>
    <sheet state="visible" name="NIKHIL G" sheetId="7" r:id="rId11"/>
    <sheet state="visible" name="Sheet42" sheetId="8" r:id="rId12"/>
    <sheet state="visible" name="Krunal Rohankar" sheetId="9" r:id="rId13"/>
    <sheet state="visible" name=" Aastha Murmare" sheetId="10" r:id="rId14"/>
    <sheet state="visible" name="Rabiya Khan" sheetId="11" r:id="rId15"/>
    <sheet state="visible" name="Vishakha Navghare" sheetId="12" r:id="rId16"/>
    <sheet state="visible" name="Isha Dubey" sheetId="13" r:id="rId17"/>
    <sheet state="visible" name="Nisha Bhagat" sheetId="14" r:id="rId18"/>
    <sheet state="visible" name="Pranjali Ramteke" sheetId="15" r:id="rId19"/>
    <sheet state="visible" name="Shifa Sheikh" sheetId="16" r:id="rId20"/>
    <sheet state="visible" name="RUCHITA" sheetId="17" r:id="rId21"/>
    <sheet state="visible" name="juhi hemane" sheetId="18" r:id="rId22"/>
    <sheet state="visible" name="Sheet36" sheetId="19" r:id="rId23"/>
    <sheet state="visible" name="Sandesh" sheetId="20" r:id="rId24"/>
    <sheet state="visible" name="Asmit Bhandarkar" sheetId="21" r:id="rId25"/>
    <sheet state="visible" name="ATHARV" sheetId="22" r:id="rId26"/>
    <sheet state="visible" name="NIMISH" sheetId="23" r:id="rId27"/>
    <sheet state="visible" name="Dhiraj Uppalwar" sheetId="24" r:id="rId28"/>
    <sheet state="visible" name="Suhani Nagalwade" sheetId="25" r:id="rId29"/>
    <sheet state="visible" name="Ishika bhisikar" sheetId="26" r:id="rId30"/>
    <sheet state="visible" name="Ashish_Bonde" sheetId="27" r:id="rId31"/>
    <sheet state="visible" name="Aniket_Manvate" sheetId="28" r:id="rId32"/>
    <sheet state="visible" name="SHWET_DOMDE" sheetId="29" r:id="rId33"/>
    <sheet state="visible" name="Utkarsh borkar" sheetId="30" r:id="rId34"/>
    <sheet state="visible" name="Krunal Kopare" sheetId="31" r:id="rId35"/>
    <sheet state="visible" name="Divyani Ingle" sheetId="32" r:id="rId36"/>
    <sheet state="visible" name="SAVEZ KHAN" sheetId="33" r:id="rId37"/>
    <sheet state="visible" name="Samruddhi Bhore" sheetId="34" r:id="rId38"/>
    <sheet state="visible" name="om ruikar" sheetId="35" r:id="rId39"/>
    <sheet state="visible" name="Ayush_Mendhe" sheetId="36" r:id="rId40"/>
    <sheet state="visible" name="SANSKRUTI A. DHOLE" sheetId="37" r:id="rId41"/>
    <sheet state="visible" name="Aryan Khanorkar" sheetId="38" r:id="rId42"/>
    <sheet state="visible" name="Tanvi Ramteke" sheetId="39" r:id="rId43"/>
    <sheet state="visible" name="Khushbu Shivhare" sheetId="40" r:id="rId44"/>
  </sheets>
  <definedNames/>
  <calcPr/>
</workbook>
</file>

<file path=xl/sharedStrings.xml><?xml version="1.0" encoding="utf-8"?>
<sst xmlns="http://schemas.openxmlformats.org/spreadsheetml/2006/main" count="5544" uniqueCount="3842">
  <si>
    <t xml:space="preserve">  </t>
  </si>
  <si>
    <t>Sr. No</t>
  </si>
  <si>
    <t>Method</t>
  </si>
  <si>
    <t>Data</t>
  </si>
  <si>
    <t>Formula</t>
  </si>
  <si>
    <t>Output</t>
  </si>
  <si>
    <t>CLEAN</t>
  </si>
  <si>
    <t>Abu Dhabi</t>
  </si>
  <si>
    <t>CLEAN(E4)</t>
  </si>
  <si>
    <t>Tulips-Roses</t>
  </si>
  <si>
    <t>CLEAN(E5)</t>
  </si>
  <si>
    <t>Ferrari World!</t>
  </si>
  <si>
    <t>CLEAN(E6)</t>
  </si>
  <si>
    <t>Report2026</t>
  </si>
  <si>
    <t>CLEAN(E7)</t>
  </si>
  <si>
    <t>Hello world</t>
  </si>
  <si>
    <t>CLEAN(E8)</t>
  </si>
  <si>
    <t>CONCAT</t>
  </si>
  <si>
    <t>Sun</t>
  </si>
  <si>
    <t>CONCAT(E11,E10)</t>
  </si>
  <si>
    <t>Fun</t>
  </si>
  <si>
    <t>Javascript</t>
  </si>
  <si>
    <t>CONCAT(E$13,E$12)</t>
  </si>
  <si>
    <t>Js</t>
  </si>
  <si>
    <t>Start</t>
  </si>
  <si>
    <t>CONCAT(E15,E14)</t>
  </si>
  <si>
    <t>Begin</t>
  </si>
  <si>
    <t>Little</t>
  </si>
  <si>
    <t>CONCAT(E17,E16)</t>
  </si>
  <si>
    <t>Things</t>
  </si>
  <si>
    <t>Multiple</t>
  </si>
  <si>
    <t>CONCAT(E19,E18)</t>
  </si>
  <si>
    <t>Division</t>
  </si>
  <si>
    <t>FIND</t>
  </si>
  <si>
    <t>Eda-Yeldiz</t>
  </si>
  <si>
    <t>FIND("a",E20)</t>
  </si>
  <si>
    <t>Mahnoor</t>
  </si>
  <si>
    <t>FIND("n",E21)</t>
  </si>
  <si>
    <t>Australia</t>
  </si>
  <si>
    <t>FIND("a",E22)</t>
  </si>
  <si>
    <t>Character</t>
  </si>
  <si>
    <t>FIND("C",E24)</t>
  </si>
  <si>
    <t>My-Sql</t>
  </si>
  <si>
    <t>FIND("-",E25)</t>
  </si>
  <si>
    <t>EXACT</t>
  </si>
  <si>
    <t>Mango</t>
  </si>
  <si>
    <t>EXACT(E27,E28)</t>
  </si>
  <si>
    <t>mango</t>
  </si>
  <si>
    <t>Sunday</t>
  </si>
  <si>
    <t>EXACT(E29,E30)</t>
  </si>
  <si>
    <t>Lapt0p</t>
  </si>
  <si>
    <t>EXACT(E31,E32)</t>
  </si>
  <si>
    <t>Latop</t>
  </si>
  <si>
    <t>helloworld</t>
  </si>
  <si>
    <t>EXACT(E33,E34)</t>
  </si>
  <si>
    <t>Helloworld</t>
  </si>
  <si>
    <t>EXACT(E35,E36)</t>
  </si>
  <si>
    <t>LEFT</t>
  </si>
  <si>
    <t>TCS-Company</t>
  </si>
  <si>
    <t>LEFT(E38,8)</t>
  </si>
  <si>
    <t>Dashboard</t>
  </si>
  <si>
    <t>LEFT(E39,4)</t>
  </si>
  <si>
    <t>Logical coding</t>
  </si>
  <si>
    <t>LEFT(E40,10)</t>
  </si>
  <si>
    <t>Arithmetic</t>
  </si>
  <si>
    <t>LEFT(E41,10)</t>
  </si>
  <si>
    <t>Substitution</t>
  </si>
  <si>
    <t>LEFT(E42,10)</t>
  </si>
  <si>
    <t>LEN</t>
  </si>
  <si>
    <t>Quant</t>
  </si>
  <si>
    <t>LEN(E45)</t>
  </si>
  <si>
    <t>Funtion &amp; String</t>
  </si>
  <si>
    <t>LEN(E46)</t>
  </si>
  <si>
    <t>Abstract Reasoning</t>
  </si>
  <si>
    <t>LEN(E47)</t>
  </si>
  <si>
    <t>Big Data Tool</t>
  </si>
  <si>
    <t>LEN(E48)</t>
  </si>
  <si>
    <t>CSS</t>
  </si>
  <si>
    <t>LEN(E49)</t>
  </si>
  <si>
    <t>LOWER</t>
  </si>
  <si>
    <t>Cybersecurity</t>
  </si>
  <si>
    <t>LOWER(E51)</t>
  </si>
  <si>
    <t>Colour-Red</t>
  </si>
  <si>
    <t>LOWER(E52)</t>
  </si>
  <si>
    <t>Verbal reading</t>
  </si>
  <si>
    <t>LOWER(E53)</t>
  </si>
  <si>
    <t>ASUS Vivobook</t>
  </si>
  <si>
    <t>LOWER(E54)</t>
  </si>
  <si>
    <t>F1 FERRARI</t>
  </si>
  <si>
    <t>LOWER(E55)</t>
  </si>
  <si>
    <t>MID</t>
  </si>
  <si>
    <t>Stanford University</t>
  </si>
  <si>
    <t>MID(E57,9,19)</t>
  </si>
  <si>
    <t>Twisted-Game</t>
  </si>
  <si>
    <t>MID(E58,7,15)</t>
  </si>
  <si>
    <t>Max Verstappen</t>
  </si>
  <si>
    <t>MID(E59,4,25)</t>
  </si>
  <si>
    <t>Weather</t>
  </si>
  <si>
    <t>MID(E60,2,7)</t>
  </si>
  <si>
    <t>Managment</t>
  </si>
  <si>
    <t>MID(E61,5,19)</t>
  </si>
  <si>
    <t>PROPER</t>
  </si>
  <si>
    <t>LeWIS hamilTON</t>
  </si>
  <si>
    <t>PROPER(E63)</t>
  </si>
  <si>
    <t>bRItish</t>
  </si>
  <si>
    <t>PROPER(E64)</t>
  </si>
  <si>
    <t>WillIAMS17</t>
  </si>
  <si>
    <t>PROPER(E65)</t>
  </si>
  <si>
    <t>hocking</t>
  </si>
  <si>
    <t>PROPER(E66)</t>
  </si>
  <si>
    <t>PARIS</t>
  </si>
  <si>
    <t>PROPER(E67)</t>
  </si>
  <si>
    <t>REPLACE</t>
  </si>
  <si>
    <t>Leadership</t>
  </si>
  <si>
    <t>REPLACE(E69,4,12,"d")</t>
  </si>
  <si>
    <t>Continent</t>
  </si>
  <si>
    <t>REPLACE(E70,2,5," ")</t>
  </si>
  <si>
    <t>Nationalism</t>
  </si>
  <si>
    <t>REPLACE(E71,8,19,"l")</t>
  </si>
  <si>
    <t>Indonesia</t>
  </si>
  <si>
    <t>REPLACE(E72,4,10,"o")</t>
  </si>
  <si>
    <t>President</t>
  </si>
  <si>
    <t>REPLACE(E73,8,10,"dent")</t>
  </si>
  <si>
    <t>RIGHT</t>
  </si>
  <si>
    <t>Sunflower</t>
  </si>
  <si>
    <t>RIGHT(E75,5)</t>
  </si>
  <si>
    <t>George Russell</t>
  </si>
  <si>
    <t>RIGHT(E76,5)</t>
  </si>
  <si>
    <t>Capybara</t>
  </si>
  <si>
    <t>RIGHT(E77,4)</t>
  </si>
  <si>
    <t>Jacob.Bethell</t>
  </si>
  <si>
    <t>RIGHT(E78,8)</t>
  </si>
  <si>
    <t>Black_ panther</t>
  </si>
  <si>
    <t>RIGHT(E79,12)</t>
  </si>
  <si>
    <t>UPPER</t>
  </si>
  <si>
    <t>Structure</t>
  </si>
  <si>
    <t>LOWER(E81)</t>
  </si>
  <si>
    <t>BasKETball</t>
  </si>
  <si>
    <t>LOWER(E82)</t>
  </si>
  <si>
    <t>HUMAN</t>
  </si>
  <si>
    <t>LOWER(E83)</t>
  </si>
  <si>
    <t>LillY</t>
  </si>
  <si>
    <t>LOWER(E84)</t>
  </si>
  <si>
    <t>Jujutu-KAISEN</t>
  </si>
  <si>
    <t>LOWER(E85)</t>
  </si>
  <si>
    <t>SR . NO</t>
  </si>
  <si>
    <t>METHOD</t>
  </si>
  <si>
    <t xml:space="preserve">VALUE </t>
  </si>
  <si>
    <t xml:space="preserve">FORMULA </t>
  </si>
  <si>
    <t>OUTPUT</t>
  </si>
  <si>
    <t>PAIN</t>
  </si>
  <si>
    <t>CONCAT(F6,F5)</t>
  </si>
  <si>
    <t>GAIN</t>
  </si>
  <si>
    <t>BOW</t>
  </si>
  <si>
    <t>CONCAT(F8,F7)</t>
  </si>
  <si>
    <t>RAIN</t>
  </si>
  <si>
    <t>SUPER</t>
  </si>
  <si>
    <t>CONCAT(F9,F10)</t>
  </si>
  <si>
    <t>BIKE</t>
  </si>
  <si>
    <t>PHONE</t>
  </si>
  <si>
    <t>CONCAT(F12,F11)</t>
  </si>
  <si>
    <t>CELL</t>
  </si>
  <si>
    <t>MAN</t>
  </si>
  <si>
    <t>APPLE</t>
  </si>
  <si>
    <t>EXACT(F16,F17)</t>
  </si>
  <si>
    <t>apple</t>
  </si>
  <si>
    <t>dhoom</t>
  </si>
  <si>
    <t>EXACT(F18,F19</t>
  </si>
  <si>
    <t>ANGEL</t>
  </si>
  <si>
    <t>EXACT(F20,F21)</t>
  </si>
  <si>
    <t>angel</t>
  </si>
  <si>
    <t>win</t>
  </si>
  <si>
    <t>EXACT(F22,F23)</t>
  </si>
  <si>
    <t>RING</t>
  </si>
  <si>
    <t>EXACT(F24,F25)</t>
  </si>
  <si>
    <t>RONG</t>
  </si>
  <si>
    <t>KAPIL</t>
  </si>
  <si>
    <t>FIND("A",F27)</t>
  </si>
  <si>
    <t>KAPIL-ARC</t>
  </si>
  <si>
    <t>FIND("R",F28,5)</t>
  </si>
  <si>
    <t>SALIM</t>
  </si>
  <si>
    <t>FIND("S",F29)</t>
  </si>
  <si>
    <t>SHANKAR</t>
  </si>
  <si>
    <t>FIND("R",F30,5)</t>
  </si>
  <si>
    <t>WASIM</t>
  </si>
  <si>
    <r>
      <rPr>
        <rFont val="Google Sans Mono"/>
        <color rgb="FF000000"/>
        <sz val="9.0"/>
      </rPr>
      <t>FIND(</t>
    </r>
    <r>
      <rPr>
        <rFont val="Google Sans Mono"/>
        <color rgb="FF128937"/>
        <sz val="9.0"/>
      </rPr>
      <t>"A"</t>
    </r>
    <r>
      <rPr>
        <rFont val="Google Sans Mono"/>
        <color rgb="FF000000"/>
        <sz val="9.0"/>
      </rPr>
      <t>,</t>
    </r>
    <r>
      <rPr>
        <rFont val="Google Sans Mono"/>
        <color rgb="FFF7981D"/>
        <sz val="9.0"/>
      </rPr>
      <t>F31</t>
    </r>
    <r>
      <rPr>
        <rFont val="Google Sans Mono"/>
        <color rgb="FF000000"/>
        <sz val="9.0"/>
      </rPr>
      <t>)</t>
    </r>
  </si>
  <si>
    <t>LEFT(F33,5)</t>
  </si>
  <si>
    <t>SUPER-MAN</t>
  </si>
  <si>
    <t>LEFT(F34,2)</t>
  </si>
  <si>
    <t>ARC-DATA</t>
  </si>
  <si>
    <t>LEFT(F35,3)</t>
  </si>
  <si>
    <t>BLACKMAN</t>
  </si>
  <si>
    <t>LEFT(F36,6)</t>
  </si>
  <si>
    <t>BULLET</t>
  </si>
  <si>
    <t>GOLD-MAN</t>
  </si>
  <si>
    <t>RIGHT(F39,5</t>
  </si>
  <si>
    <t>IRON-MAN</t>
  </si>
  <si>
    <t>RIGHT(F40,5)</t>
  </si>
  <si>
    <t>STEEL-MAN</t>
  </si>
  <si>
    <t>RIGHT(F41,3)</t>
  </si>
  <si>
    <t>COPPERMAN</t>
  </si>
  <si>
    <t>RIGHT(F42,6)</t>
  </si>
  <si>
    <t>RIGHT(F43,3)</t>
  </si>
  <si>
    <t>LEN(F45)</t>
  </si>
  <si>
    <t>DON</t>
  </si>
  <si>
    <t>LEN(F46)</t>
  </si>
  <si>
    <t>DOG</t>
  </si>
  <si>
    <t>LEN(F47)</t>
  </si>
  <si>
    <t>BIKES</t>
  </si>
  <si>
    <t>LEN(F48)</t>
  </si>
  <si>
    <t>LEN(F49)</t>
  </si>
  <si>
    <t>MID(F51,2,2)</t>
  </si>
  <si>
    <t>MID(F52,5,3)</t>
  </si>
  <si>
    <t>KASHMIR</t>
  </si>
  <si>
    <t>MID(F53,2,5)</t>
  </si>
  <si>
    <t>PUNE</t>
  </si>
  <si>
    <t>MID(F54,2,2)</t>
  </si>
  <si>
    <t>BOMBAY</t>
  </si>
  <si>
    <t>MID(F55,2,2)</t>
  </si>
  <si>
    <t>UPPER(F57)</t>
  </si>
  <si>
    <t>pune</t>
  </si>
  <si>
    <t>UPPER(F58)</t>
  </si>
  <si>
    <t>suresh</t>
  </si>
  <si>
    <t>UPPER(F59)</t>
  </si>
  <si>
    <t>wasim</t>
  </si>
  <si>
    <t>UPPER(F60)</t>
  </si>
  <si>
    <t>gao</t>
  </si>
  <si>
    <t>UPPER(F61)</t>
  </si>
  <si>
    <t>KALIM</t>
  </si>
  <si>
    <t>SR.NO</t>
  </si>
  <si>
    <t>VALUE</t>
  </si>
  <si>
    <t>FORMULA</t>
  </si>
  <si>
    <r>
      <rPr>
        <rFont val="Calibri, sans-serif"/>
        <b/>
        <color rgb="FF1155CC"/>
        <sz val="12.0"/>
        <u/>
      </rPr>
      <t>Sr.No</t>
    </r>
    <r>
      <rPr>
        <rFont val="Calibri, sans-serif"/>
        <b/>
        <color rgb="FF000000"/>
        <sz val="12.0"/>
      </rPr>
      <t>.</t>
    </r>
  </si>
  <si>
    <t>Value</t>
  </si>
  <si>
    <t>Name:-Tansvi Nagalwade</t>
  </si>
  <si>
    <t>Join/Concat</t>
  </si>
  <si>
    <t>Tansvi-</t>
  </si>
  <si>
    <t>CONCAT(C3,C4)</t>
  </si>
  <si>
    <t>ARC</t>
  </si>
  <si>
    <t>chart</t>
  </si>
  <si>
    <t>CONCAT(C5,C6)</t>
  </si>
  <si>
    <t>board</t>
  </si>
  <si>
    <t>recording_</t>
  </si>
  <si>
    <t>CONCAT(C7,C8)</t>
  </si>
  <si>
    <t>no</t>
  </si>
  <si>
    <t>ARC_</t>
  </si>
  <si>
    <t>CONCAT(C9,C10)</t>
  </si>
  <si>
    <t>Institute</t>
  </si>
  <si>
    <t>CONCAT(C11,C12)</t>
  </si>
  <si>
    <t>clean</t>
  </si>
  <si>
    <t>Clean</t>
  </si>
  <si>
    <t>Room</t>
  </si>
  <si>
    <t>CLEAN(C13)</t>
  </si>
  <si>
    <t>Friend</t>
  </si>
  <si>
    <t>CLEAN(C14)</t>
  </si>
  <si>
    <t>School</t>
  </si>
  <si>
    <t>CLEAN(C15)</t>
  </si>
  <si>
    <t>College</t>
  </si>
  <si>
    <t>CLEAN(C16)</t>
  </si>
  <si>
    <t>Excel</t>
  </si>
  <si>
    <t>CLEAN(C17)</t>
  </si>
  <si>
    <t>Exact</t>
  </si>
  <si>
    <t>Tansvi-ARC</t>
  </si>
  <si>
    <t>EXACT(C19, "MyPass123")</t>
  </si>
  <si>
    <t>EXACT(C20, "tansvi-arc")</t>
  </si>
  <si>
    <t>Tansvi</t>
  </si>
  <si>
    <t>EXACT(C21, "Tansvi ")</t>
  </si>
  <si>
    <t>ARC-Technology</t>
  </si>
  <si>
    <t>EXACT(C22,"ARC-technology ")</t>
  </si>
  <si>
    <t>EXACT(C23,"Institute")</t>
  </si>
  <si>
    <t>Find</t>
  </si>
  <si>
    <t>FIND("A",C25)</t>
  </si>
  <si>
    <t>DATAscience</t>
  </si>
  <si>
    <t>FIND("A",C26,3)</t>
  </si>
  <si>
    <t>Tansvi_Nagalwade</t>
  </si>
  <si>
    <t>FIND("N",C27)</t>
  </si>
  <si>
    <t>DataAnalytics</t>
  </si>
  <si>
    <t>FIND("a",C28,5)</t>
  </si>
  <si>
    <t>FIND("a",C29,1)</t>
  </si>
  <si>
    <t>Left</t>
  </si>
  <si>
    <t>LEFT(C31,6)</t>
  </si>
  <si>
    <t>LEFT(C32,4)</t>
  </si>
  <si>
    <t>LEFT(C33,3)</t>
  </si>
  <si>
    <t>LEFT(C34,8)</t>
  </si>
  <si>
    <t>LEFT(C35,2)</t>
  </si>
  <si>
    <t>Right</t>
  </si>
  <si>
    <t>RIGHT($C37,3)</t>
  </si>
  <si>
    <t>RIGHT($C38,7)</t>
  </si>
  <si>
    <t>RIGHT($C39,9)</t>
  </si>
  <si>
    <t>RIGHT($C40,4)</t>
  </si>
  <si>
    <t>RIGHT($C41,9)</t>
  </si>
  <si>
    <t>Len</t>
  </si>
  <si>
    <t>LEN($C43)</t>
  </si>
  <si>
    <t xml:space="preserve">  Tansvi-ARC</t>
  </si>
  <si>
    <t>LEN($C44)</t>
  </si>
  <si>
    <t>LEN($C45)</t>
  </si>
  <si>
    <t>tanu arc</t>
  </si>
  <si>
    <t>LEN($C46)</t>
  </si>
  <si>
    <t>T ARC</t>
  </si>
  <si>
    <t>LEN($C47)</t>
  </si>
  <si>
    <t>Mid</t>
  </si>
  <si>
    <t>MID($C49,1,6)</t>
  </si>
  <si>
    <t>91-9373****</t>
  </si>
  <si>
    <t>MID($C50,3,1)</t>
  </si>
  <si>
    <t>Capture</t>
  </si>
  <si>
    <t>MID($C51,1,3)</t>
  </si>
  <si>
    <t>photographer</t>
  </si>
  <si>
    <t>MID($C52,6,7)</t>
  </si>
  <si>
    <t>director</t>
  </si>
  <si>
    <t>MID($C53,1,6)</t>
  </si>
  <si>
    <t>Lower</t>
  </si>
  <si>
    <t>TANSVI-ARC</t>
  </si>
  <si>
    <t>LOWER($C55)</t>
  </si>
  <si>
    <t>TANU</t>
  </si>
  <si>
    <t>LOWER($C56)</t>
  </si>
  <si>
    <t>TANVI2</t>
  </si>
  <si>
    <t>LOWER($C57)</t>
  </si>
  <si>
    <t>8979ARC</t>
  </si>
  <si>
    <t>LOWER($C58)</t>
  </si>
  <si>
    <t>Arcccccc</t>
  </si>
  <si>
    <t>LOWER($C59)</t>
  </si>
  <si>
    <t>Upper</t>
  </si>
  <si>
    <t>tansvi-arc</t>
  </si>
  <si>
    <t>UPPER($C61)</t>
  </si>
  <si>
    <t>tanu</t>
  </si>
  <si>
    <t>UPPER($C62)</t>
  </si>
  <si>
    <t>tanvi2</t>
  </si>
  <si>
    <t>UPPER($C63)</t>
  </si>
  <si>
    <t>8979arc</t>
  </si>
  <si>
    <t>UPPER($C64)</t>
  </si>
  <si>
    <t>arccccc</t>
  </si>
  <si>
    <t>UPPER($C65)</t>
  </si>
  <si>
    <t>Proper</t>
  </si>
  <si>
    <t>tansvi-aRC</t>
  </si>
  <si>
    <t>PROPER($C67)</t>
  </si>
  <si>
    <t>tanshree</t>
  </si>
  <si>
    <t>PROPER($C68)</t>
  </si>
  <si>
    <t>tansvi nagalwade</t>
  </si>
  <si>
    <t>PROPER($C69)</t>
  </si>
  <si>
    <t>arc</t>
  </si>
  <si>
    <t>PROPER($C70)</t>
  </si>
  <si>
    <t>tanvi</t>
  </si>
  <si>
    <t>PROPER($C71)</t>
  </si>
  <si>
    <t>Replace</t>
  </si>
  <si>
    <t>REPLACE($C73,4,1,"")</t>
  </si>
  <si>
    <t>REPLACE($C74,4,1,"mpartener")</t>
  </si>
  <si>
    <t>REPLACE($C75,3,3,"")</t>
  </si>
  <si>
    <t>REPLACE($C76,4,1,"***")</t>
  </si>
  <si>
    <t>REPLACE($C77,4,4,"")</t>
  </si>
  <si>
    <t>Search</t>
  </si>
  <si>
    <t>SEARCH("o",$C79,3)</t>
  </si>
  <si>
    <t>SEARCH("e",$C80)</t>
  </si>
  <si>
    <t>SEARCH("o",$C81,5)</t>
  </si>
  <si>
    <t>SEARCH("l",$C82,4)</t>
  </si>
  <si>
    <t>SEARCH("E",$C83)</t>
  </si>
  <si>
    <t>Rept</t>
  </si>
  <si>
    <t>REPT($C85,1)</t>
  </si>
  <si>
    <t>REPT($C86,2)</t>
  </si>
  <si>
    <t>REPT($C87,3)</t>
  </si>
  <si>
    <t>REPT($C88,4)</t>
  </si>
  <si>
    <t>REPT($C89,5)</t>
  </si>
  <si>
    <t>Text</t>
  </si>
  <si>
    <t>TEXT($C91,"ddd")</t>
  </si>
  <si>
    <t>TEXT(C92, "₹#,##0.00")</t>
  </si>
  <si>
    <t>TEXT(C93, "000-000-0000")</t>
  </si>
  <si>
    <t>TEXT(C94,"0000")</t>
  </si>
  <si>
    <t>TEXT(C95,"MMM")</t>
  </si>
  <si>
    <t>Text Join</t>
  </si>
  <si>
    <t>Trim</t>
  </si>
  <si>
    <t xml:space="preserve">    Tansvi - ARC</t>
  </si>
  <si>
    <t>TRIM(J43)</t>
  </si>
  <si>
    <t xml:space="preserve">   TANVI ..</t>
  </si>
  <si>
    <t xml:space="preserve">  ARC /</t>
  </si>
  <si>
    <t>-A R C</t>
  </si>
  <si>
    <t xml:space="preserve">  WCEM</t>
  </si>
  <si>
    <t>Substitute</t>
  </si>
  <si>
    <t>SUBSTITUTE(J47, "A", "a")</t>
  </si>
  <si>
    <t>SUBSTITUTE(J47,"svi","vi")</t>
  </si>
  <si>
    <t>SUBSTITUTE(J47,"s","")</t>
  </si>
  <si>
    <t>NIKHIL GUPTA</t>
  </si>
  <si>
    <t>TEXT FUNCTION/ METHOD</t>
  </si>
  <si>
    <t>CONCAT/JOIN</t>
  </si>
  <si>
    <t>Chennai</t>
  </si>
  <si>
    <t>Super</t>
  </si>
  <si>
    <t>King</t>
  </si>
  <si>
    <t>CONCAT(F4," ",G4," ",H4)</t>
  </si>
  <si>
    <t>Chennai Super King</t>
  </si>
  <si>
    <t>Mumbai</t>
  </si>
  <si>
    <t>Indians</t>
  </si>
  <si>
    <t>CONCAT(F5," ",G5," ",H5)</t>
  </si>
  <si>
    <t>Mumbai Indians</t>
  </si>
  <si>
    <t>Delhi</t>
  </si>
  <si>
    <t>Capitals</t>
  </si>
  <si>
    <t>CONCAT(F6," ",G6," ",H6)</t>
  </si>
  <si>
    <t>Delhi Capitals</t>
  </si>
  <si>
    <t>Sunrises</t>
  </si>
  <si>
    <t>Hyderabad</t>
  </si>
  <si>
    <t>CONCAT(F7," ",G7," ",H7)</t>
  </si>
  <si>
    <t>Sunrises Hyderabad</t>
  </si>
  <si>
    <t>Royal</t>
  </si>
  <si>
    <t>Challengers</t>
  </si>
  <si>
    <t>Bengaluru</t>
  </si>
  <si>
    <t>CONCAT(F8," ",G8," ",H8)</t>
  </si>
  <si>
    <t>Royal Challengers Bengaluru</t>
  </si>
  <si>
    <t>International Business Machines</t>
  </si>
  <si>
    <t>RIGHT(F10,8)</t>
  </si>
  <si>
    <t>Machines</t>
  </si>
  <si>
    <t>Tata Consultancy Services</t>
  </si>
  <si>
    <t>RIGHT(D11,8)</t>
  </si>
  <si>
    <t>Services</t>
  </si>
  <si>
    <t>Saudi Arabian Oil</t>
  </si>
  <si>
    <t>RIGHT(D12,3)</t>
  </si>
  <si>
    <t>Oil</t>
  </si>
  <si>
    <t>General Electric Company</t>
  </si>
  <si>
    <t>RIGHT(D13,7)</t>
  </si>
  <si>
    <t>Company</t>
  </si>
  <si>
    <t>Aditya Birla Group</t>
  </si>
  <si>
    <t>RIGHT(D14,5)</t>
  </si>
  <si>
    <t>Group</t>
  </si>
  <si>
    <t>LEFT(D16,13)</t>
  </si>
  <si>
    <t>International</t>
  </si>
  <si>
    <t>LEFT(D17,4)</t>
  </si>
  <si>
    <t>Tata</t>
  </si>
  <si>
    <t>LEFT(D18,5)</t>
  </si>
  <si>
    <t>Saudi</t>
  </si>
  <si>
    <t>LEFT(D19,7)</t>
  </si>
  <si>
    <t>General</t>
  </si>
  <si>
    <t>LEFT(D20,6)</t>
  </si>
  <si>
    <t>Aditya</t>
  </si>
  <si>
    <t>MID(D22,15,8)</t>
  </si>
  <si>
    <t>Business</t>
  </si>
  <si>
    <t>MID(D23,6,11)</t>
  </si>
  <si>
    <t>Consultancy</t>
  </si>
  <si>
    <t>MID(D24,7,7)</t>
  </si>
  <si>
    <t>Arabian</t>
  </si>
  <si>
    <t>MID(D25,9,8)</t>
  </si>
  <si>
    <t>Electric</t>
  </si>
  <si>
    <t>MID(D26,8,5)</t>
  </si>
  <si>
    <t>Birla</t>
  </si>
  <si>
    <t>india</t>
  </si>
  <si>
    <t>UPPER(D28)</t>
  </si>
  <si>
    <t>INDIA</t>
  </si>
  <si>
    <t>united states</t>
  </si>
  <si>
    <t>UPPER(D29)</t>
  </si>
  <si>
    <t>UNITED STATES</t>
  </si>
  <si>
    <t>china</t>
  </si>
  <si>
    <t>UPPER(D30)</t>
  </si>
  <si>
    <t>CHINA</t>
  </si>
  <si>
    <t>brazil</t>
  </si>
  <si>
    <t>UPPER(D31)</t>
  </si>
  <si>
    <t>BRAZIL</t>
  </si>
  <si>
    <t>japan</t>
  </si>
  <si>
    <t>UPPER(D32)</t>
  </si>
  <si>
    <t>JAPAN</t>
  </si>
  <si>
    <t>SIEMENS</t>
  </si>
  <si>
    <t>LOWER(D34)</t>
  </si>
  <si>
    <t>siemens</t>
  </si>
  <si>
    <t>SCHNEIDER ELECTRIC</t>
  </si>
  <si>
    <t>LOWER(D35)</t>
  </si>
  <si>
    <t>schneider electric</t>
  </si>
  <si>
    <t>ABB</t>
  </si>
  <si>
    <t>LOWER(D36)</t>
  </si>
  <si>
    <t>abb</t>
  </si>
  <si>
    <t>GENERAL ELECTRIC</t>
  </si>
  <si>
    <t>LOWER(D37)</t>
  </si>
  <si>
    <t>general electric</t>
  </si>
  <si>
    <t>HITACHI</t>
  </si>
  <si>
    <t>LOWER(D38)</t>
  </si>
  <si>
    <t>hitachi</t>
  </si>
  <si>
    <t>kaPil dEv</t>
  </si>
  <si>
    <t>PROPER(D40)</t>
  </si>
  <si>
    <t>Kapil Dev</t>
  </si>
  <si>
    <t>yuVrAj sInGh</t>
  </si>
  <si>
    <t>PROPER(D41)</t>
  </si>
  <si>
    <t>Yuvraj Singh</t>
  </si>
  <si>
    <t>hArDiK pAnDyA</t>
  </si>
  <si>
    <t>PROPER(D42)</t>
  </si>
  <si>
    <t>Hardik Pandya</t>
  </si>
  <si>
    <t>raVinDrA jAdEjA</t>
  </si>
  <si>
    <t>PROPER(D43)</t>
  </si>
  <si>
    <t>Ravindra Jadeja</t>
  </si>
  <si>
    <t>rAvIcHaNdRaN aShWiN</t>
  </si>
  <si>
    <t>PROPER(D44)</t>
  </si>
  <si>
    <t>Ravichandran Ashwin</t>
  </si>
  <si>
    <t>Indian Sea</t>
  </si>
  <si>
    <t>LEN(D46)</t>
  </si>
  <si>
    <t>Arabian Sea</t>
  </si>
  <si>
    <t>LEN(D47)</t>
  </si>
  <si>
    <t>South China Sea</t>
  </si>
  <si>
    <t>LEN(D48)</t>
  </si>
  <si>
    <t>Coral Sea</t>
  </si>
  <si>
    <t>LEN(D49)</t>
  </si>
  <si>
    <t>Caribbean Sea</t>
  </si>
  <si>
    <t>LEN(D50)</t>
  </si>
  <si>
    <t>EMP
 NAME</t>
  </si>
  <si>
    <t>CLEAN(D52)</t>
  </si>
  <si>
    <t>EMPNAME</t>
  </si>
  <si>
    <t>EMP
 ADD</t>
  </si>
  <si>
    <t>CLEAN(D53)</t>
  </si>
  <si>
    <t>EMPADD</t>
  </si>
  <si>
    <t>CODE 
 ID</t>
  </si>
  <si>
    <t>CLEAN(D54)</t>
  </si>
  <si>
    <t>CODE ID</t>
  </si>
  <si>
    <t>DATE
 OF JOINING</t>
  </si>
  <si>
    <t>CLEAN(D55)</t>
  </si>
  <si>
    <t>DATEOF JOINING</t>
  </si>
  <si>
    <t>EMP
 ID</t>
  </si>
  <si>
    <t>CLEAN(D56)</t>
  </si>
  <si>
    <t>EMPID</t>
  </si>
  <si>
    <t>Great Wall of China</t>
  </si>
  <si>
    <t>FIND("of",D58,2)</t>
  </si>
  <si>
    <t>Petra</t>
  </si>
  <si>
    <t>FIND("T","PETRA")</t>
  </si>
  <si>
    <t>Christ- the Redeemer</t>
  </si>
  <si>
    <t>FIND("-",D60)</t>
  </si>
  <si>
    <t>Machu Picchu#</t>
  </si>
  <si>
    <t>FIND("#",D61)</t>
  </si>
  <si>
    <t>Chichen_Itza</t>
  </si>
  <si>
    <t>FIND("_",D62)</t>
  </si>
  <si>
    <t>Dragon Fruit</t>
  </si>
  <si>
    <t>EXACT("Dragon Fruit",D64)</t>
  </si>
  <si>
    <t>MANGO</t>
  </si>
  <si>
    <t>EXACT("Mango",D65)</t>
  </si>
  <si>
    <t>Jack FRUIT</t>
  </si>
  <si>
    <t>EXACT("Jack FRUIT",D66)</t>
  </si>
  <si>
    <t>graPe</t>
  </si>
  <si>
    <t>EXACT("Grape",D67)</t>
  </si>
  <si>
    <t>Avacado</t>
  </si>
  <si>
    <t>EXACT("Avacado",D68)</t>
  </si>
  <si>
    <t>Mumbai — City of Dreams</t>
  </si>
  <si>
    <t>Economical Capital of India</t>
  </si>
  <si>
    <t>REPLACE(D70,9,20,E70)</t>
  </si>
  <si>
    <t>Mumbai —Economical Capital of India</t>
  </si>
  <si>
    <t>Jaipur — Pink City</t>
  </si>
  <si>
    <t>Paris of India</t>
  </si>
  <si>
    <t>REPLACE(D71,9,20,E71)</t>
  </si>
  <si>
    <t>Jaipur —Paris of India</t>
  </si>
  <si>
    <t>Kolkata — Cultural Capital of India</t>
  </si>
  <si>
    <t>City of Joy</t>
  </si>
  <si>
    <t>REPLACE(D72,10,30,E72)</t>
  </si>
  <si>
    <t>Kolkata —City of Joy</t>
  </si>
  <si>
    <t>Bengaluru — Silicon Valley of India</t>
  </si>
  <si>
    <t>Garden City</t>
  </si>
  <si>
    <t>REPLACE(D73,12,30,E73)</t>
  </si>
  <si>
    <t>Bengaluru —Garden City</t>
  </si>
  <si>
    <t>Hyderabad — City of Pearls</t>
  </si>
  <si>
    <t>Biryani Capital of India</t>
  </si>
  <si>
    <t>REPLACE(D74,12,30,E74)</t>
  </si>
  <si>
    <t>Hyderabad —Biryani Capital of India</t>
  </si>
  <si>
    <t>Sr.NO</t>
  </si>
  <si>
    <t>John</t>
  </si>
  <si>
    <t>Mack</t>
  </si>
  <si>
    <t>CONCAT(D2,E2)</t>
  </si>
  <si>
    <t>John Mack</t>
  </si>
  <si>
    <t>My Name</t>
  </si>
  <si>
    <t>is Taylor</t>
  </si>
  <si>
    <t>CONCAT(D3,E3)</t>
  </si>
  <si>
    <t>My Name is Taylor</t>
  </si>
  <si>
    <t>Mac</t>
  </si>
  <si>
    <t>Book</t>
  </si>
  <si>
    <t>CONCAT(D4,"-",E4)</t>
  </si>
  <si>
    <t>Mac-Book</t>
  </si>
  <si>
    <t>"Hello"</t>
  </si>
  <si>
    <t>"World"</t>
  </si>
  <si>
    <t>CONCAT(D5," ",E5)</t>
  </si>
  <si>
    <t>"Hello" "World"</t>
  </si>
  <si>
    <t>Nagpur</t>
  </si>
  <si>
    <t>CONCAT(D6," ",E6)</t>
  </si>
  <si>
    <t>1047 Nagpur</t>
  </si>
  <si>
    <t>User123</t>
  </si>
  <si>
    <t>LEFT(D8,3)</t>
  </si>
  <si>
    <t>Use</t>
  </si>
  <si>
    <t>1Excel_Dynamics</t>
  </si>
  <si>
    <t>LEFT(D9,6)</t>
  </si>
  <si>
    <t>1Excel</t>
  </si>
  <si>
    <t>Data_user</t>
  </si>
  <si>
    <t>LEFT(D10,2)</t>
  </si>
  <si>
    <t>Da</t>
  </si>
  <si>
    <t>LEFT(D11)</t>
  </si>
  <si>
    <t>M</t>
  </si>
  <si>
    <t>Basic math</t>
  </si>
  <si>
    <t>LEFT(D12,7)</t>
  </si>
  <si>
    <t>Basic m</t>
  </si>
  <si>
    <r>
      <rPr>
        <rFont val="Calibri, sans-serif"/>
        <color rgb="FF000000"/>
        <sz val="11.0"/>
      </rPr>
      <t>USERDATA</t>
    </r>
  </si>
  <si>
    <t>RIGHT(D14,2)</t>
  </si>
  <si>
    <t>TA</t>
  </si>
  <si>
    <t>12ARC</t>
  </si>
  <si>
    <t>RIGHT(D15,4)</t>
  </si>
  <si>
    <t>2ARC</t>
  </si>
  <si>
    <t>Output12</t>
  </si>
  <si>
    <t>RIGHT(D16,3)</t>
  </si>
  <si>
    <t>t12</t>
  </si>
  <si>
    <t>DataScience</t>
  </si>
  <si>
    <t>RIGHT(D17,4)</t>
  </si>
  <si>
    <t>ence</t>
  </si>
  <si>
    <t>Password</t>
  </si>
  <si>
    <t>RIGHT(D18,4)</t>
  </si>
  <si>
    <t>word</t>
  </si>
  <si>
    <t>excel</t>
  </si>
  <si>
    <t>EXCEL</t>
  </si>
  <si>
    <t>EXACT(D20,E20)</t>
  </si>
  <si>
    <t>DOg</t>
  </si>
  <si>
    <t>EXACT(D21,E21)</t>
  </si>
  <si>
    <t>ABC</t>
  </si>
  <si>
    <t>EXACT(D22,E22)</t>
  </si>
  <si>
    <t>1_user</t>
  </si>
  <si>
    <t>EXACT(D23,E23)</t>
  </si>
  <si>
    <t>arC</t>
  </si>
  <si>
    <t>EXACT(D24,E24)</t>
  </si>
  <si>
    <t>Function</t>
  </si>
  <si>
    <t>MID(D26,3,4)</t>
  </si>
  <si>
    <t>ncti</t>
  </si>
  <si>
    <r>
      <rPr>
        <rFont val="Calibri, sans-serif"/>
        <color rgb="FF000000"/>
        <sz val="11.0"/>
      </rPr>
      <t>Samsung_user</t>
    </r>
  </si>
  <si>
    <t>MID(D27,4,5)</t>
  </si>
  <si>
    <t>sung_</t>
  </si>
  <si>
    <t>India</t>
  </si>
  <si>
    <t>MID(D28,2,3)</t>
  </si>
  <si>
    <t>ndi</t>
  </si>
  <si>
    <t>User_data</t>
  </si>
  <si>
    <t>MID(D29,4,6)</t>
  </si>
  <si>
    <t>r_data</t>
  </si>
  <si>
    <t>Website</t>
  </si>
  <si>
    <t>MID(D30,2,5)</t>
  </si>
  <si>
    <t>ebsit</t>
  </si>
  <si>
    <t>Workbook</t>
  </si>
  <si>
    <t>CLEAN(D32)</t>
  </si>
  <si>
    <t>User-File</t>
  </si>
  <si>
    <t>CLEAN(D33)</t>
  </si>
  <si>
    <t>T - Shirt</t>
  </si>
  <si>
    <t>CLEAN(D34)</t>
  </si>
  <si>
    <t>Laptop</t>
  </si>
  <si>
    <t>CLEAN(D35)</t>
  </si>
  <si>
    <t>Internet</t>
  </si>
  <si>
    <t>CLEAN(D36)</t>
  </si>
  <si>
    <t>Apple</t>
  </si>
  <si>
    <t>LEN(D38)</t>
  </si>
  <si>
    <t>Data Analysis</t>
  </si>
  <si>
    <t>LEN(D39)</t>
  </si>
  <si>
    <t>Excel12</t>
  </si>
  <si>
    <t>LEN(D40)</t>
  </si>
  <si>
    <t>LEN(D41)</t>
  </si>
  <si>
    <t>ARC-Tech</t>
  </si>
  <si>
    <t>LEN(D42)</t>
  </si>
  <si>
    <t>MANAGEMENT</t>
  </si>
  <si>
    <t>LOWER(D44)</t>
  </si>
  <si>
    <t>management</t>
  </si>
  <si>
    <t>LOWER(D45)</t>
  </si>
  <si>
    <t>institute</t>
  </si>
  <si>
    <t>Excel Workbook</t>
  </si>
  <si>
    <t>LOWER(D46)</t>
  </si>
  <si>
    <t>excel workbook</t>
  </si>
  <si>
    <t>Place</t>
  </si>
  <si>
    <t>LOWER(D47)</t>
  </si>
  <si>
    <t>place</t>
  </si>
  <si>
    <t>Un1que</t>
  </si>
  <si>
    <t>LOWER(D48)</t>
  </si>
  <si>
    <t>un1que</t>
  </si>
  <si>
    <t>airtel</t>
  </si>
  <si>
    <t>UPPER(D50)</t>
  </si>
  <si>
    <t>AIRTEL</t>
  </si>
  <si>
    <t>Wildcraft</t>
  </si>
  <si>
    <t>UPPER(D51)</t>
  </si>
  <si>
    <t>WILDCRAFT</t>
  </si>
  <si>
    <t>Sales-Data</t>
  </si>
  <si>
    <t>UPPER(D52)</t>
  </si>
  <si>
    <t>SALES-DATA</t>
  </si>
  <si>
    <t>Vehicle</t>
  </si>
  <si>
    <t>UPPER(D53)</t>
  </si>
  <si>
    <t>VEHICLE</t>
  </si>
  <si>
    <t>placement</t>
  </si>
  <si>
    <t>UPPER(D54)</t>
  </si>
  <si>
    <t>PLACEMENT</t>
  </si>
  <si>
    <t>Department</t>
  </si>
  <si>
    <t>FIND("p",D56,1)</t>
  </si>
  <si>
    <t>FIND("p",D57,4)</t>
  </si>
  <si>
    <t>Pune1024</t>
  </si>
  <si>
    <t>FIND("2",D58,4)</t>
  </si>
  <si>
    <r>
      <rPr>
        <rFont val="Calibri, sans-serif"/>
        <color rgb="FF000000"/>
        <sz val="11.0"/>
      </rPr>
      <t>john10@gmail.com</t>
    </r>
  </si>
  <si>
    <t>FIND("@",D59,4)</t>
  </si>
  <si>
    <t>John Taylor</t>
  </si>
  <si>
    <t>FIND(" ",D60,2)</t>
  </si>
  <si>
    <t>Data-Analysis</t>
  </si>
  <si>
    <t>REPLACE(D62,6,8,"Science")</t>
  </si>
  <si>
    <t>Data-Science</t>
  </si>
  <si>
    <t>HelloExcel</t>
  </si>
  <si>
    <t>REPLACE(D63,6,5,"World")</t>
  </si>
  <si>
    <t>HelloWorld</t>
  </si>
  <si>
    <t>EMPID1022</t>
  </si>
  <si>
    <t>REPLACE(D64,6,4,"1023")</t>
  </si>
  <si>
    <t>EMPID1023</t>
  </si>
  <si>
    <t>Mark121</t>
  </si>
  <si>
    <t>REPLACE(D65,5,0,"Fuel")</t>
  </si>
  <si>
    <t>MarkFuel121</t>
  </si>
  <si>
    <t>Microsoft-Office</t>
  </si>
  <si>
    <t>REPLACE(D66,11,6,"Excel")</t>
  </si>
  <si>
    <t>Microsoft-Excel</t>
  </si>
  <si>
    <t>sachin</t>
  </si>
  <si>
    <t>PROPER(D68)</t>
  </si>
  <si>
    <t>Sachin</t>
  </si>
  <si>
    <t>software</t>
  </si>
  <si>
    <t>PROPER(D69)</t>
  </si>
  <si>
    <t>Software</t>
  </si>
  <si>
    <t>data-analysis</t>
  </si>
  <si>
    <t>PROPER(D70)</t>
  </si>
  <si>
    <t>hr department</t>
  </si>
  <si>
    <t>PROPER(D71)</t>
  </si>
  <si>
    <t>Hr Department</t>
  </si>
  <si>
    <t>training</t>
  </si>
  <si>
    <t>PROPER(D72)</t>
  </si>
  <si>
    <t>Training</t>
  </si>
  <si>
    <t>Name</t>
  </si>
  <si>
    <t>SEARCH("a",D74,1)</t>
  </si>
  <si>
    <t>Banana</t>
  </si>
  <si>
    <t>SEARCH("a",D75,5)</t>
  </si>
  <si>
    <t>Printer</t>
  </si>
  <si>
    <t>SEARCH("N",D76)</t>
  </si>
  <si>
    <t>Television</t>
  </si>
  <si>
    <t>SEARCH("e",D77,3)</t>
  </si>
  <si>
    <t>elephant</t>
  </si>
  <si>
    <t>SEARCH("a",D78,4)</t>
  </si>
  <si>
    <t>Java</t>
  </si>
  <si>
    <t>SUBSTITUTE("Java","Java","python")</t>
  </si>
  <si>
    <t>python</t>
  </si>
  <si>
    <t>User_1001</t>
  </si>
  <si>
    <t>SUBSTITUTE("User_1001","User_1001","1002")</t>
  </si>
  <si>
    <t>sheet1</t>
  </si>
  <si>
    <t>SUBSTITUTE("sheet1","sheet1","Task")</t>
  </si>
  <si>
    <t>Task</t>
  </si>
  <si>
    <t>I like Java</t>
  </si>
  <si>
    <t>SUBSTITUTE("I like Java","I like Java","I don't like Java")</t>
  </si>
  <si>
    <t>I don't like Java</t>
  </si>
  <si>
    <t>White &amp; White</t>
  </si>
  <si>
    <t>SUBSTITUTE("White &amp; White","White &amp; White","Black &amp; White")</t>
  </si>
  <si>
    <t>Black &amp; White</t>
  </si>
  <si>
    <t>Aastha Murmare</t>
  </si>
  <si>
    <t>Sr.No</t>
  </si>
  <si>
    <t>Hello People</t>
  </si>
  <si>
    <t>UPPER(E6)</t>
  </si>
  <si>
    <t>HELLO PEOPLE</t>
  </si>
  <si>
    <t>Aastha</t>
  </si>
  <si>
    <t>UPPER(E7)</t>
  </si>
  <si>
    <t>AASTHA</t>
  </si>
  <si>
    <t>fantastic</t>
  </si>
  <si>
    <t>UPPER(E8)</t>
  </si>
  <si>
    <t>FANTASTIC</t>
  </si>
  <si>
    <t>excel2026</t>
  </si>
  <si>
    <t>UPPER(E9)</t>
  </si>
  <si>
    <t>EXCEL2026</t>
  </si>
  <si>
    <t>analytics</t>
  </si>
  <si>
    <t>UPPER(E10)</t>
  </si>
  <si>
    <t>ANALYTICS</t>
  </si>
  <si>
    <t>LOWER(E12)</t>
  </si>
  <si>
    <t>hello people</t>
  </si>
  <si>
    <t>TechnoLogy</t>
  </si>
  <si>
    <t>LOWER(E13)</t>
  </si>
  <si>
    <t>technology</t>
  </si>
  <si>
    <t>Computing</t>
  </si>
  <si>
    <t>LOWER(E14)</t>
  </si>
  <si>
    <t>computing</t>
  </si>
  <si>
    <t>development</t>
  </si>
  <si>
    <t>LOWER(E15)</t>
  </si>
  <si>
    <t>Python</t>
  </si>
  <si>
    <t>LOWER(E16)</t>
  </si>
  <si>
    <t>Hello</t>
  </si>
  <si>
    <t>World</t>
  </si>
  <si>
    <t>CONCAT(E18,F18)</t>
  </si>
  <si>
    <t>Analytics</t>
  </si>
  <si>
    <t>CONCAT(E19,F19)</t>
  </si>
  <si>
    <t>Data Analytics</t>
  </si>
  <si>
    <t>Cloud</t>
  </si>
  <si>
    <t>CONCAT(E20,F20)</t>
  </si>
  <si>
    <t>Cloud Computing</t>
  </si>
  <si>
    <t>Web</t>
  </si>
  <si>
    <t>Development</t>
  </si>
  <si>
    <t>CONCAT(E21,F21)</t>
  </si>
  <si>
    <t>WebDevelopment</t>
  </si>
  <si>
    <t>Astha</t>
  </si>
  <si>
    <t>Murmare</t>
  </si>
  <si>
    <t>CONCAT(E22,F22)</t>
  </si>
  <si>
    <t>AsthaMurmare</t>
  </si>
  <si>
    <t>LEN(E24)</t>
  </si>
  <si>
    <t>LEN(E25)</t>
  </si>
  <si>
    <t>Technology</t>
  </si>
  <si>
    <t>LEN(E26)</t>
  </si>
  <si>
    <t>Machine</t>
  </si>
  <si>
    <t>LEN(E27)</t>
  </si>
  <si>
    <t>Hello people</t>
  </si>
  <si>
    <t>LEN(E28)</t>
  </si>
  <si>
    <t>data science</t>
  </si>
  <si>
    <t>PROPER(E30)</t>
  </si>
  <si>
    <t>Data Science</t>
  </si>
  <si>
    <t>web development</t>
  </si>
  <si>
    <t>PROPER(E31)</t>
  </si>
  <si>
    <t>Web Development</t>
  </si>
  <si>
    <t>Cloud computing</t>
  </si>
  <si>
    <t>PROPER(E32)</t>
  </si>
  <si>
    <t>astha murmare</t>
  </si>
  <si>
    <t>PROPER(E33)</t>
  </si>
  <si>
    <t>Astha Murmare</t>
  </si>
  <si>
    <t>machine</t>
  </si>
  <si>
    <t>PROPER(E34)</t>
  </si>
  <si>
    <t>Database</t>
  </si>
  <si>
    <t>LEFT(E36,4)</t>
  </si>
  <si>
    <t>LEFT(E37,2)</t>
  </si>
  <si>
    <t>As</t>
  </si>
  <si>
    <t>LEFT(E38,6)</t>
  </si>
  <si>
    <t>Murmar</t>
  </si>
  <si>
    <t>LEFT(E39,5)</t>
  </si>
  <si>
    <t>Pytho</t>
  </si>
  <si>
    <t>LEFT(E40,8)</t>
  </si>
  <si>
    <t>Developm</t>
  </si>
  <si>
    <t>RIGHT(E42,4)</t>
  </si>
  <si>
    <t>base</t>
  </si>
  <si>
    <t>RIGHT(E43,4)</t>
  </si>
  <si>
    <t>stha</t>
  </si>
  <si>
    <t>RIGHT(E44,4)</t>
  </si>
  <si>
    <t>mare</t>
  </si>
  <si>
    <t>RIGHT(E45,2)</t>
  </si>
  <si>
    <t>on</t>
  </si>
  <si>
    <t>RIGHT(E46,5)</t>
  </si>
  <si>
    <t>pment</t>
  </si>
  <si>
    <t>FIND("i",E48,3)</t>
  </si>
  <si>
    <t>SQL</t>
  </si>
  <si>
    <t>FIND("Q",E49,1)</t>
  </si>
  <si>
    <t>Intelligence</t>
  </si>
  <si>
    <t>FIND("i",E50,5)</t>
  </si>
  <si>
    <t>FIND("a",E51,3)</t>
  </si>
  <si>
    <t>Science</t>
  </si>
  <si>
    <t>FIND("e",E52,5)</t>
  </si>
  <si>
    <t>MID(E54,4,8)</t>
  </si>
  <si>
    <t>haMurmar</t>
  </si>
  <si>
    <t>MID(E55,3,5)</t>
  </si>
  <si>
    <t>chnol</t>
  </si>
  <si>
    <t>MID(E56,3,3)</t>
  </si>
  <si>
    <t>mpu</t>
  </si>
  <si>
    <t>Artificial</t>
  </si>
  <si>
    <t>MID(E57,5,2)</t>
  </si>
  <si>
    <t>fi</t>
  </si>
  <si>
    <t>MID(E58,5,1)</t>
  </si>
  <si>
    <t>l</t>
  </si>
  <si>
    <t>EXACT(E60,F60)</t>
  </si>
  <si>
    <t>EXACT(E61,F61)</t>
  </si>
  <si>
    <t>MURMARE</t>
  </si>
  <si>
    <t>murmare</t>
  </si>
  <si>
    <t>EXACT(E62,F62)</t>
  </si>
  <si>
    <t>EXACT(E63,F63)</t>
  </si>
  <si>
    <t>cloud</t>
  </si>
  <si>
    <t>EXACT(E64,F64)</t>
  </si>
  <si>
    <t>REPLACE(E66,2,4,"y")</t>
  </si>
  <si>
    <t>Ay</t>
  </si>
  <si>
    <t>REPLACE(E67,3,6,"g")</t>
  </si>
  <si>
    <t>Mug</t>
  </si>
  <si>
    <t>Developer</t>
  </si>
  <si>
    <t>REPLACE(E68,1,4,"t")</t>
  </si>
  <si>
    <t>tloper</t>
  </si>
  <si>
    <t>REPLACE(E69,2,3,"t")</t>
  </si>
  <si>
    <t>Etl</t>
  </si>
  <si>
    <t>Railway</t>
  </si>
  <si>
    <t>REPLACE(E70,2,4,"t")</t>
  </si>
  <si>
    <t>Rtay</t>
  </si>
  <si>
    <t>CHAR(E72)</t>
  </si>
  <si>
    <t>A</t>
  </si>
  <si>
    <t>CHAR(E73)</t>
  </si>
  <si>
    <t>B</t>
  </si>
  <si>
    <t>CHARACTER</t>
  </si>
  <si>
    <t>CHAR(E74)</t>
  </si>
  <si>
    <t>a</t>
  </si>
  <si>
    <t>CHAR(E75)</t>
  </si>
  <si>
    <t>$</t>
  </si>
  <si>
    <t>CHAR(E76)</t>
  </si>
  <si>
    <t>W</t>
  </si>
  <si>
    <t>SEARCH("c",E78)</t>
  </si>
  <si>
    <t>SEARCH("e",E79)</t>
  </si>
  <si>
    <t>SEARCH</t>
  </si>
  <si>
    <t>SEARCH("t",E80)</t>
  </si>
  <si>
    <t>SEARCH("i",E81)</t>
  </si>
  <si>
    <t>SEARCH("a",E82)</t>
  </si>
  <si>
    <t>RABIYA KHAN</t>
  </si>
  <si>
    <t>TEXT METHOD</t>
  </si>
  <si>
    <t>Milk Bread</t>
  </si>
  <si>
    <t>CLEAN(D6)</t>
  </si>
  <si>
    <t>order#123</t>
  </si>
  <si>
    <t>CLEAN(D7)</t>
  </si>
  <si>
    <t>cafe&amp;pizza</t>
  </si>
  <si>
    <t>CLEAN(D8)</t>
  </si>
  <si>
    <t>charger    -plug</t>
  </si>
  <si>
    <t>CLEAN(D9)</t>
  </si>
  <si>
    <t>AI - ML</t>
  </si>
  <si>
    <t>CLEAN(D10)</t>
  </si>
  <si>
    <t>Chicken</t>
  </si>
  <si>
    <t>Biryani</t>
  </si>
  <si>
    <t>CONCAT(D13,E13)</t>
  </si>
  <si>
    <t>cold</t>
  </si>
  <si>
    <t>coffee</t>
  </si>
  <si>
    <t>CONCAT(D14,E14)</t>
  </si>
  <si>
    <t>pav</t>
  </si>
  <si>
    <t>bhaji</t>
  </si>
  <si>
    <t>CONCAT(D15,E15)</t>
  </si>
  <si>
    <t>Paneer</t>
  </si>
  <si>
    <t>Momos</t>
  </si>
  <si>
    <t>CONCAT(D16,E16)</t>
  </si>
  <si>
    <t>Masala</t>
  </si>
  <si>
    <t>Dosa</t>
  </si>
  <si>
    <t>CONCAT(D17,E17)</t>
  </si>
  <si>
    <t>C</t>
  </si>
  <si>
    <t>mumbai</t>
  </si>
  <si>
    <t>EXACT(D19,E19)</t>
  </si>
  <si>
    <t xml:space="preserve">chai </t>
  </si>
  <si>
    <t>Chai</t>
  </si>
  <si>
    <t>Engineer</t>
  </si>
  <si>
    <t>engineer</t>
  </si>
  <si>
    <t>mentor</t>
  </si>
  <si>
    <t>D</t>
  </si>
  <si>
    <t>CANADA</t>
  </si>
  <si>
    <t>FIND("N",D25)</t>
  </si>
  <si>
    <t>LONDON</t>
  </si>
  <si>
    <t>FIND("D",D26)</t>
  </si>
  <si>
    <t>FIND("N",D27)</t>
  </si>
  <si>
    <t>SOUTH KOREA</t>
  </si>
  <si>
    <t>FIND("K",D28)</t>
  </si>
  <si>
    <t>FIND("I",D29)</t>
  </si>
  <si>
    <t>E</t>
  </si>
  <si>
    <t>Student</t>
  </si>
  <si>
    <t>LEFT(D31,4)</t>
  </si>
  <si>
    <t>Teacher</t>
  </si>
  <si>
    <t>LEFT(D32,3)</t>
  </si>
  <si>
    <t>Library</t>
  </si>
  <si>
    <t>LEFT(D33,5)</t>
  </si>
  <si>
    <t>LEFT(D34,7)</t>
  </si>
  <si>
    <t>Classroom</t>
  </si>
  <si>
    <t>LEFT(D35,5)</t>
  </si>
  <si>
    <t>F</t>
  </si>
  <si>
    <t>Data structure</t>
  </si>
  <si>
    <t>RIGHT(D37,9)</t>
  </si>
  <si>
    <t>Operating system</t>
  </si>
  <si>
    <t>RIGHT(D38,4)</t>
  </si>
  <si>
    <t>RIGHT(D39,9)</t>
  </si>
  <si>
    <t>Artificial intelligence</t>
  </si>
  <si>
    <t>RIGHT(D40,15)</t>
  </si>
  <si>
    <t>Computer network</t>
  </si>
  <si>
    <t>RIGHT(D41,7)</t>
  </si>
  <si>
    <t>G</t>
  </si>
  <si>
    <t>Elephant</t>
  </si>
  <si>
    <t>MID(D43,3,8)</t>
  </si>
  <si>
    <t>Tiger</t>
  </si>
  <si>
    <t>MID(D44,2,5)</t>
  </si>
  <si>
    <t>Giraffe</t>
  </si>
  <si>
    <t>MID(D45,3,6)</t>
  </si>
  <si>
    <t>Dolphin</t>
  </si>
  <si>
    <t>MID(D46,4,7)</t>
  </si>
  <si>
    <t>Penguin</t>
  </si>
  <si>
    <t>MID(D47,1,7)</t>
  </si>
  <si>
    <t>H</t>
  </si>
  <si>
    <t>Shah Rukh Khan</t>
  </si>
  <si>
    <t>LOWER(D49)</t>
  </si>
  <si>
    <t>Leonardo DiCaprio</t>
  </si>
  <si>
    <t>LOWER(D50)</t>
  </si>
  <si>
    <t xml:space="preserve"> ALLU ARJUN</t>
  </si>
  <si>
    <t>LOWER(D51)</t>
  </si>
  <si>
    <t xml:space="preserve"> CHEN zheyuan</t>
  </si>
  <si>
    <t>LOWER(D52)</t>
  </si>
  <si>
    <t>Bilal ABBAS</t>
  </si>
  <si>
    <t>LOWER(D53)</t>
  </si>
  <si>
    <t>I</t>
  </si>
  <si>
    <t>alia bhatt</t>
  </si>
  <si>
    <t>UPPER(D55)</t>
  </si>
  <si>
    <t>Scarlett Johansson</t>
  </si>
  <si>
    <t>UPPER(D56)</t>
  </si>
  <si>
    <t>SAMANTHA prabhu</t>
  </si>
  <si>
    <t>UPPER(D57)</t>
  </si>
  <si>
    <t>Zhao lusi</t>
  </si>
  <si>
    <t>UPPER(D58)</t>
  </si>
  <si>
    <t>hania Amir</t>
  </si>
  <si>
    <t>UPPER(D59)</t>
  </si>
  <si>
    <t>J</t>
  </si>
  <si>
    <t>Virat kohli</t>
  </si>
  <si>
    <t>LEN(D61)</t>
  </si>
  <si>
    <t>Babar Azam</t>
  </si>
  <si>
    <t>LEN(D62)</t>
  </si>
  <si>
    <t>Joe root</t>
  </si>
  <si>
    <t>LEN(D63)</t>
  </si>
  <si>
    <t>Steve smith</t>
  </si>
  <si>
    <t>LEN(D64)</t>
  </si>
  <si>
    <t>Ben stokes</t>
  </si>
  <si>
    <t>LEN(D65)</t>
  </si>
  <si>
    <t>K</t>
  </si>
  <si>
    <t>Indira Gandhi</t>
  </si>
  <si>
    <t>REPLACE(D67,7,12,"shi")</t>
  </si>
  <si>
    <t>Jawaharlal Nehru</t>
  </si>
  <si>
    <t>REPLACE(D68,6,12,"lal")</t>
  </si>
  <si>
    <t>A.P.J Abdul Kalam</t>
  </si>
  <si>
    <t>REPLACE(D69,6,12," kalam")</t>
  </si>
  <si>
    <t>B. R. Ambedkar</t>
  </si>
  <si>
    <t>REPLACE(D70,1,0," ")</t>
  </si>
  <si>
    <t>Pratibha Patil</t>
  </si>
  <si>
    <t>REPLACE(D71,9,12,"@")</t>
  </si>
  <si>
    <t>L</t>
  </si>
  <si>
    <t>avengers endgame</t>
  </si>
  <si>
    <t>PROPER(D74)</t>
  </si>
  <si>
    <t>avatar the way of water</t>
  </si>
  <si>
    <t>PROPER(D75)</t>
  </si>
  <si>
    <t>3 idiots</t>
  </si>
  <si>
    <t>PROPER(D76)</t>
  </si>
  <si>
    <t>train to busan</t>
  </si>
  <si>
    <t>PROPER(D77)</t>
  </si>
  <si>
    <t>all of us are dead</t>
  </si>
  <si>
    <t>PROPER(D78)</t>
  </si>
  <si>
    <t>Vishakha Navghare</t>
  </si>
  <si>
    <t>Jai</t>
  </si>
  <si>
    <t>CONCAT(E3,E4)</t>
  </si>
  <si>
    <t>Veeru</t>
  </si>
  <si>
    <t>Radha</t>
  </si>
  <si>
    <t>CONCAT(E6,E7)</t>
  </si>
  <si>
    <t>Sham</t>
  </si>
  <si>
    <t>CONCAT(E9,E10)</t>
  </si>
  <si>
    <t>End</t>
  </si>
  <si>
    <t>Strange</t>
  </si>
  <si>
    <t>CONCAT(E12,E13)</t>
  </si>
  <si>
    <t>CONCAT(E15,E16)</t>
  </si>
  <si>
    <t>Rainbow</t>
  </si>
  <si>
    <t>FIND("n",E18)</t>
  </si>
  <si>
    <t>Color</t>
  </si>
  <si>
    <t>FIND("C",E19)</t>
  </si>
  <si>
    <t>Space</t>
  </si>
  <si>
    <t>FIND("c",E20)</t>
  </si>
  <si>
    <t>Boss</t>
  </si>
  <si>
    <t>FIND("s",E21)</t>
  </si>
  <si>
    <t>Jack</t>
  </si>
  <si>
    <t>Red</t>
  </si>
  <si>
    <t>EXACT(E24,E25)</t>
  </si>
  <si>
    <t>Pink</t>
  </si>
  <si>
    <t>pink</t>
  </si>
  <si>
    <t>Orange</t>
  </si>
  <si>
    <t>EXACT(E30,E31)</t>
  </si>
  <si>
    <t>Orauge</t>
  </si>
  <si>
    <t>brown</t>
  </si>
  <si>
    <t>Brown</t>
  </si>
  <si>
    <t>Purple</t>
  </si>
  <si>
    <t>EXACT(E36,E37)</t>
  </si>
  <si>
    <t>RedShade</t>
  </si>
  <si>
    <t>LEFT(E39,3)</t>
  </si>
  <si>
    <t>Pinkwink</t>
  </si>
  <si>
    <t>LEFT(E40,4)</t>
  </si>
  <si>
    <t>OrangeOrange</t>
  </si>
  <si>
    <t>LEFT(E41,6)</t>
  </si>
  <si>
    <t>BrownCrown</t>
  </si>
  <si>
    <t>LEFT(E42,5)</t>
  </si>
  <si>
    <t>Purplehurdle</t>
  </si>
  <si>
    <t>LEFT(E43,6)</t>
  </si>
  <si>
    <t>RIGHT(E45,5)</t>
  </si>
  <si>
    <t>RIGHT(E46,4)</t>
  </si>
  <si>
    <t>RIGHT(E47,6)</t>
  </si>
  <si>
    <t>RIGHT(E48,5)</t>
  </si>
  <si>
    <t>RIGHT(E49,6)</t>
  </si>
  <si>
    <t>LEN(E51)</t>
  </si>
  <si>
    <t>LEN(E52)</t>
  </si>
  <si>
    <t>LEN(E53)</t>
  </si>
  <si>
    <t>LEN(E54)</t>
  </si>
  <si>
    <t>LEN(E55)</t>
  </si>
  <si>
    <t>LOWER(E57)</t>
  </si>
  <si>
    <t>pINK</t>
  </si>
  <si>
    <t>LOWER(E58)</t>
  </si>
  <si>
    <t>ORANGE</t>
  </si>
  <si>
    <t>LOWER(E59)</t>
  </si>
  <si>
    <t>Blue</t>
  </si>
  <si>
    <t>LOWER(E60)</t>
  </si>
  <si>
    <t>PurPLE</t>
  </si>
  <si>
    <t>LOWER(E61)</t>
  </si>
  <si>
    <t>UPPER(E63)</t>
  </si>
  <si>
    <t>UPPER(E64)</t>
  </si>
  <si>
    <t>UPPER(E65)</t>
  </si>
  <si>
    <t>UPPER(E66)</t>
  </si>
  <si>
    <t>UPPER(E67)</t>
  </si>
  <si>
    <t>PROPER(E69)</t>
  </si>
  <si>
    <t>PROPER(E70)</t>
  </si>
  <si>
    <t>PROPER(E71)</t>
  </si>
  <si>
    <t>PROPER(E72)</t>
  </si>
  <si>
    <t>PROPER(E73)</t>
  </si>
  <si>
    <t>REPLACE(E75,4,5,"Bus")</t>
  </si>
  <si>
    <t>REPLACE(E76,5,4,"Drink")</t>
  </si>
  <si>
    <t>REPLACE(E77,7,6," ")</t>
  </si>
  <si>
    <t>REPLACE(E78,1,5,"Royal")</t>
  </si>
  <si>
    <t>REPLACE(E79,1,6," ")</t>
  </si>
  <si>
    <t>CLEAN(B2)</t>
  </si>
  <si>
    <t>Data Entry</t>
  </si>
  <si>
    <t>CLEAN(B3)</t>
  </si>
  <si>
    <t>ExcelTraining</t>
  </si>
  <si>
    <t>CLEAN(B4)</t>
  </si>
  <si>
    <t>HRReport</t>
  </si>
  <si>
    <t>CLEAN(B5)</t>
  </si>
  <si>
    <t>EmployeeList</t>
  </si>
  <si>
    <t>CLEAN(B6)</t>
  </si>
  <si>
    <t>HR</t>
  </si>
  <si>
    <t>Report</t>
  </si>
  <si>
    <t>CONCAT(B7,C7)</t>
  </si>
  <si>
    <t xml:space="preserve">HR </t>
  </si>
  <si>
    <t>Manager</t>
  </si>
  <si>
    <t>CONCAT(B8,C8)</t>
  </si>
  <si>
    <t xml:space="preserve">Data </t>
  </si>
  <si>
    <t>Analyst</t>
  </si>
  <si>
    <t>CONCAT(B9,C9)</t>
  </si>
  <si>
    <t xml:space="preserve">Women </t>
  </si>
  <si>
    <t>Day</t>
  </si>
  <si>
    <t>CONCAT(B10,C10)</t>
  </si>
  <si>
    <t xml:space="preserve">Excel </t>
  </si>
  <si>
    <t>CONCAT(B11,C11)</t>
  </si>
  <si>
    <t>FIND("l",B12,"4")</t>
  </si>
  <si>
    <t>FIND("g",B13,"3")</t>
  </si>
  <si>
    <t>FIND("x",B14,"2")</t>
  </si>
  <si>
    <t>Office</t>
  </si>
  <si>
    <t>FIND("c",B15,"5")</t>
  </si>
  <si>
    <t>Find("e",B16,"6")</t>
  </si>
  <si>
    <t>Employee</t>
  </si>
  <si>
    <t>EXACT(B17,C17)</t>
  </si>
  <si>
    <t>EXACT(B18,C18)</t>
  </si>
  <si>
    <t>hr</t>
  </si>
  <si>
    <t>EXACT(B19,C19)</t>
  </si>
  <si>
    <t>data</t>
  </si>
  <si>
    <t>EXACT(B20,C20)</t>
  </si>
  <si>
    <t xml:space="preserve">Nagpur </t>
  </si>
  <si>
    <t>nagpur</t>
  </si>
  <si>
    <t>EXACT(B21,C21)</t>
  </si>
  <si>
    <t>LEFT(B22,"3")</t>
  </si>
  <si>
    <t>LEFT(B23,"5")</t>
  </si>
  <si>
    <t>LEFT("Excel",2)</t>
  </si>
  <si>
    <t>Ex</t>
  </si>
  <si>
    <t>LEFT("Office",3)</t>
  </si>
  <si>
    <t>Off</t>
  </si>
  <si>
    <t>LEFT("Employee",4)</t>
  </si>
  <si>
    <t>Empl</t>
  </si>
  <si>
    <t>LEN(B27)</t>
  </si>
  <si>
    <t>LEN(B28)</t>
  </si>
  <si>
    <t>LEN(B29)</t>
  </si>
  <si>
    <t>LEN(B30)</t>
  </si>
  <si>
    <t>LEN(B31)</t>
  </si>
  <si>
    <t>lower(B32)</t>
  </si>
  <si>
    <t>HR MANAGER</t>
  </si>
  <si>
    <t>lower(B33)</t>
  </si>
  <si>
    <t>DATA</t>
  </si>
  <si>
    <t>lower(B34)</t>
  </si>
  <si>
    <t>OFFICE</t>
  </si>
  <si>
    <t>lower(B35)</t>
  </si>
  <si>
    <t>TRAINING</t>
  </si>
  <si>
    <t>lower(B36)</t>
  </si>
  <si>
    <t>MID(B37,2,5)</t>
  </si>
  <si>
    <t>MID(B38,1,3)</t>
  </si>
  <si>
    <t>MID(B39,2,5)</t>
  </si>
  <si>
    <t>MID(B40,3,5)</t>
  </si>
  <si>
    <t>MID(B41,2,4)</t>
  </si>
  <si>
    <t>PROPER(B42)</t>
  </si>
  <si>
    <t>hr manager</t>
  </si>
  <si>
    <t>PROPER(B43)</t>
  </si>
  <si>
    <t>excel training</t>
  </si>
  <si>
    <t>PROPER(B44)</t>
  </si>
  <si>
    <t>data analyst</t>
  </si>
  <si>
    <t>PROPER(B45)</t>
  </si>
  <si>
    <t>women day</t>
  </si>
  <si>
    <t>PROPER(B46)</t>
  </si>
  <si>
    <t>RIGHT(B47,3)</t>
  </si>
  <si>
    <t>RIGHT(B48,2)</t>
  </si>
  <si>
    <t>RIGHT(B49,4)</t>
  </si>
  <si>
    <t>RIGHT(B50,3)</t>
  </si>
  <si>
    <t>RIGHT(B51,3)</t>
  </si>
  <si>
    <t>REPLACE(B52,1,4,"penci")</t>
  </si>
  <si>
    <t>REPLACE(B53,1,3,"kan")</t>
  </si>
  <si>
    <t>Cadbury</t>
  </si>
  <si>
    <t>REPLACE(B54,1,5,"februa")</t>
  </si>
  <si>
    <t>Icecream</t>
  </si>
  <si>
    <t>REPLACE(B55,4,8,"box")</t>
  </si>
  <si>
    <t>Excel Data</t>
  </si>
  <si>
    <t>REPLACE(B56,1,5,"Employee")</t>
  </si>
  <si>
    <t>UPPER(B57)</t>
  </si>
  <si>
    <t>UPPER(B58)</t>
  </si>
  <si>
    <t>UPPER(B59)</t>
  </si>
  <si>
    <t>office</t>
  </si>
  <si>
    <t>UPPER(B60)</t>
  </si>
  <si>
    <t>UPPER(B61)</t>
  </si>
  <si>
    <t>NISHA BHAGAT</t>
  </si>
  <si>
    <t>VALUES</t>
  </si>
  <si>
    <t>A.</t>
  </si>
  <si>
    <t>dark</t>
  </si>
  <si>
    <t>chocolate</t>
  </si>
  <si>
    <t>CONCAT(F6,G6)</t>
  </si>
  <si>
    <t>Non</t>
  </si>
  <si>
    <t>Vegetarian</t>
  </si>
  <si>
    <t>CONCAT(F7,G7)</t>
  </si>
  <si>
    <t>butter</t>
  </si>
  <si>
    <t>fly</t>
  </si>
  <si>
    <t>CONCAT(F8,G8)</t>
  </si>
  <si>
    <t>Eye</t>
  </si>
  <si>
    <t>sight</t>
  </si>
  <si>
    <t>CONCAT(F9,G9)</t>
  </si>
  <si>
    <t>Home</t>
  </si>
  <si>
    <t>Made</t>
  </si>
  <si>
    <t>CONCAT(F10,G10)</t>
  </si>
  <si>
    <t>B.</t>
  </si>
  <si>
    <t>friendship</t>
  </si>
  <si>
    <t>CLEAN(F12)</t>
  </si>
  <si>
    <t>Backbone</t>
  </si>
  <si>
    <t>CLEAN(F13)</t>
  </si>
  <si>
    <t>CLEAN(F14)</t>
  </si>
  <si>
    <t>CLEAN(F15)</t>
  </si>
  <si>
    <t>garden</t>
  </si>
  <si>
    <t>CLEAN(F16)</t>
  </si>
  <si>
    <t>C.</t>
  </si>
  <si>
    <t>IceCream</t>
  </si>
  <si>
    <t>Ice-Cream</t>
  </si>
  <si>
    <t>EXACT(F18,G18)</t>
  </si>
  <si>
    <t>Medicine</t>
  </si>
  <si>
    <t>medicine</t>
  </si>
  <si>
    <t>EXACT(F19,G19)</t>
  </si>
  <si>
    <t>juice</t>
  </si>
  <si>
    <t>EXACT(F20,G20)</t>
  </si>
  <si>
    <t>FOOD</t>
  </si>
  <si>
    <t>food</t>
  </si>
  <si>
    <t>EXACT(F21,G21)</t>
  </si>
  <si>
    <t>WAFERS</t>
  </si>
  <si>
    <t>EXACT(F22,G22)</t>
  </si>
  <si>
    <t>D.</t>
  </si>
  <si>
    <t>FIND("t",F24,"4")</t>
  </si>
  <si>
    <t>door</t>
  </si>
  <si>
    <t>FIND("o",F25,"1")</t>
  </si>
  <si>
    <t>floor</t>
  </si>
  <si>
    <t>FIND("o",F26,"2")</t>
  </si>
  <si>
    <t>mammy</t>
  </si>
  <si>
    <t>FIND("m",F27,"1")</t>
  </si>
  <si>
    <t>cook</t>
  </si>
  <si>
    <t>FIND("o",F28,"2")</t>
  </si>
  <si>
    <t>E.</t>
  </si>
  <si>
    <t>LEFT(F30,3)</t>
  </si>
  <si>
    <t>LEFT(F31,2)</t>
  </si>
  <si>
    <t>LEFT(F32,5)</t>
  </si>
  <si>
    <t>nashik</t>
  </si>
  <si>
    <t>LEFT(F33,4)</t>
  </si>
  <si>
    <t>akola</t>
  </si>
  <si>
    <t>LEFT(F34,1)</t>
  </si>
  <si>
    <t>F.</t>
  </si>
  <si>
    <t>calender</t>
  </si>
  <si>
    <t>RIGHT(F36,5)</t>
  </si>
  <si>
    <t>rabit</t>
  </si>
  <si>
    <t>RIGHT(F37,2)</t>
  </si>
  <si>
    <t>flower</t>
  </si>
  <si>
    <t>RIGHT(F38,3)</t>
  </si>
  <si>
    <t>bouquet</t>
  </si>
  <si>
    <t>RIGHT(F39,4)</t>
  </si>
  <si>
    <t>birthday</t>
  </si>
  <si>
    <t>RIGHT(F40,3)</t>
  </si>
  <si>
    <t>G.</t>
  </si>
  <si>
    <t>alien</t>
  </si>
  <si>
    <t>MID(F42,2,3)</t>
  </si>
  <si>
    <t>fish</t>
  </si>
  <si>
    <t>MID(F43,2,2)</t>
  </si>
  <si>
    <t>cloth</t>
  </si>
  <si>
    <t>MID(F44,2,3)</t>
  </si>
  <si>
    <t>temperature</t>
  </si>
  <si>
    <t>MID(F45,6,3)</t>
  </si>
  <si>
    <t>clouds</t>
  </si>
  <si>
    <t>MID(F46,2,4)</t>
  </si>
  <si>
    <t>H.</t>
  </si>
  <si>
    <t>railway</t>
  </si>
  <si>
    <t>REPLACE(F48,1,4,"high")</t>
  </si>
  <si>
    <t>january</t>
  </si>
  <si>
    <t>REPLACE(F49,1,3,"febr")</t>
  </si>
  <si>
    <t>special</t>
  </si>
  <si>
    <t>REPLACE(F50,3,5,"ace")</t>
  </si>
  <si>
    <t>groupstudy</t>
  </si>
  <si>
    <t>REPLACE(F51,1,5,"self")</t>
  </si>
  <si>
    <t>cell</t>
  </si>
  <si>
    <t>REPLACE(F52,1,1,"b")</t>
  </si>
  <si>
    <t>I.</t>
  </si>
  <si>
    <t>Computer</t>
  </si>
  <si>
    <t>LOWER(F54)</t>
  </si>
  <si>
    <t>CHIPS</t>
  </si>
  <si>
    <t>LOWER(F55)</t>
  </si>
  <si>
    <t>PHone</t>
  </si>
  <si>
    <t>LOWER(F56)</t>
  </si>
  <si>
    <t>BuildING</t>
  </si>
  <si>
    <t>LOWER(F57)</t>
  </si>
  <si>
    <t>MAChiNe</t>
  </si>
  <si>
    <t>LOWER(F58)</t>
  </si>
  <si>
    <t>J.</t>
  </si>
  <si>
    <t>eagle</t>
  </si>
  <si>
    <t>tree</t>
  </si>
  <si>
    <t>sparrow</t>
  </si>
  <si>
    <t>UPPER(F62)</t>
  </si>
  <si>
    <t>water</t>
  </si>
  <si>
    <t>UPPER(F63)</t>
  </si>
  <si>
    <t>cat</t>
  </si>
  <si>
    <t>UPPER(F64)</t>
  </si>
  <si>
    <t>K.</t>
  </si>
  <si>
    <t>window</t>
  </si>
  <si>
    <t>LEN(F66)</t>
  </si>
  <si>
    <t>glass</t>
  </si>
  <si>
    <t>LEN(F67)</t>
  </si>
  <si>
    <t>ice</t>
  </si>
  <si>
    <t>LEN(F68)</t>
  </si>
  <si>
    <t>rectangle</t>
  </si>
  <si>
    <t>LEN(F69)</t>
  </si>
  <si>
    <t>lipstick</t>
  </si>
  <si>
    <t>LEN(F70)</t>
  </si>
  <si>
    <t>L.</t>
  </si>
  <si>
    <t>singing</t>
  </si>
  <si>
    <t>PROPER(F72)</t>
  </si>
  <si>
    <t>time tablE</t>
  </si>
  <si>
    <t>PROPER(F73)</t>
  </si>
  <si>
    <t>dancEing</t>
  </si>
  <si>
    <t>PROPER(F74)</t>
  </si>
  <si>
    <t>EYES</t>
  </si>
  <si>
    <t>PROPER(F75)</t>
  </si>
  <si>
    <t>DReam</t>
  </si>
  <si>
    <t>PROPER(F76)</t>
  </si>
  <si>
    <t>CHAR</t>
  </si>
  <si>
    <t>Cup</t>
  </si>
  <si>
    <t>Cake</t>
  </si>
  <si>
    <t>F11&amp;CHAR(10)&amp;G11</t>
  </si>
  <si>
    <t>Khushi</t>
  </si>
  <si>
    <t>Saami</t>
  </si>
  <si>
    <t>F12&amp;CHAR(10)&amp;G12</t>
  </si>
  <si>
    <t>Samosa</t>
  </si>
  <si>
    <t>Chaat</t>
  </si>
  <si>
    <t>F13&amp;CHAR(10)&amp;G13</t>
  </si>
  <si>
    <t>Lion</t>
  </si>
  <si>
    <t>F14&amp;CHAR(10)&amp;G14</t>
  </si>
  <si>
    <t>Meher</t>
  </si>
  <si>
    <t>F15&amp;CHAR(10)&amp;G15</t>
  </si>
  <si>
    <t>CONCAT(F$12,G$12)</t>
  </si>
  <si>
    <t>CONCAT(F$14,G$14)</t>
  </si>
  <si>
    <t>CONCAT(F$15," * ",G$15)</t>
  </si>
  <si>
    <t>CONCAT(F$16," - ",G$16)</t>
  </si>
  <si>
    <t>Sagar 
Wasnik</t>
  </si>
  <si>
    <t>CLEAN(F17)</t>
  </si>
  <si>
    <t>Khushi -
Ramteke</t>
  </si>
  <si>
    <t>CLEAN(F18)</t>
  </si>
  <si>
    <t>Savlon 
Khan</t>
  </si>
  <si>
    <t>CLEAN(F19)</t>
  </si>
  <si>
    <t>Sam 
Ramteke</t>
  </si>
  <si>
    <t>CLEAN(F20)</t>
  </si>
  <si>
    <t>Amresh 
Puri</t>
  </si>
  <si>
    <t>Star</t>
  </si>
  <si>
    <t>Light</t>
  </si>
  <si>
    <t>EXACT(F25,G25)</t>
  </si>
  <si>
    <t>GOLGAPPE</t>
  </si>
  <si>
    <t>EXACT(F26,G26)</t>
  </si>
  <si>
    <t>TWILIGHT</t>
  </si>
  <si>
    <t>zone</t>
  </si>
  <si>
    <t>EXACT(F27,G27)</t>
  </si>
  <si>
    <t>galaxy30</t>
  </si>
  <si>
    <t>EXACT(F28,G28)</t>
  </si>
  <si>
    <t>SKY</t>
  </si>
  <si>
    <t>DivING</t>
  </si>
  <si>
    <t>EXACT(F29,G29)</t>
  </si>
  <si>
    <t>Home Tab</t>
  </si>
  <si>
    <t>FIND("T",F32)</t>
  </si>
  <si>
    <t>Selena</t>
  </si>
  <si>
    <t>FIND("e",F33,3)</t>
  </si>
  <si>
    <t>Data - 20</t>
  </si>
  <si>
    <t>FIND("20",F34,5)</t>
  </si>
  <si>
    <t>Youtube-A2</t>
  </si>
  <si>
    <t>FIND("tube",F35)</t>
  </si>
  <si>
    <t>The Weeknd</t>
  </si>
  <si>
    <t>FIND("nd",F36)</t>
  </si>
  <si>
    <t>Sao Paulo</t>
  </si>
  <si>
    <t>LEFT(F39,3)</t>
  </si>
  <si>
    <t>LEFT(F40,2)</t>
  </si>
  <si>
    <t>Font-P</t>
  </si>
  <si>
    <t>LEFT(F41,6)</t>
  </si>
  <si>
    <t>Show</t>
  </si>
  <si>
    <t>LEFT(F42,2)</t>
  </si>
  <si>
    <t>P-Try</t>
  </si>
  <si>
    <t>LEFT(F43,3)</t>
  </si>
  <si>
    <t>ApplePie</t>
  </si>
  <si>
    <t>RIGHT(F46,3)</t>
  </si>
  <si>
    <t>Rain-Forest</t>
  </si>
  <si>
    <t>RIGHT(F47,9)</t>
  </si>
  <si>
    <t>X -1Direction</t>
  </si>
  <si>
    <t>RIGHT(F48,11)</t>
  </si>
  <si>
    <t>Autum</t>
  </si>
  <si>
    <t>RIGHT(F49,2)</t>
  </si>
  <si>
    <t>Copy</t>
  </si>
  <si>
    <t>RIGHT(F50,1)</t>
  </si>
  <si>
    <t>MID(F53,1,3)</t>
  </si>
  <si>
    <t>Holdin'</t>
  </si>
  <si>
    <t>MID(F54,4,4)</t>
  </si>
  <si>
    <t>Cat</t>
  </si>
  <si>
    <t>Shift</t>
  </si>
  <si>
    <t>MID(F56,3,1)</t>
  </si>
  <si>
    <t>Justin</t>
  </si>
  <si>
    <t>MID(F57,1,4)</t>
  </si>
  <si>
    <t>5SOS</t>
  </si>
  <si>
    <t>LOWER(F60)</t>
  </si>
  <si>
    <t>bETTer</t>
  </si>
  <si>
    <t>LOWER(F61)</t>
  </si>
  <si>
    <t>TREaT</t>
  </si>
  <si>
    <t>LOWER(F62)</t>
  </si>
  <si>
    <t>HE</t>
  </si>
  <si>
    <t>LOWER(F63)</t>
  </si>
  <si>
    <t>LARGE</t>
  </si>
  <si>
    <t>LOWER(F64)</t>
  </si>
  <si>
    <t>right</t>
  </si>
  <si>
    <t>UPPER(F67)</t>
  </si>
  <si>
    <t>FELL-up</t>
  </si>
  <si>
    <t>UPPER(F68)</t>
  </si>
  <si>
    <t>aTTentION</t>
  </si>
  <si>
    <t>UPPER(F69)</t>
  </si>
  <si>
    <t>duMb</t>
  </si>
  <si>
    <t>UPPER(F70)</t>
  </si>
  <si>
    <t>Sea</t>
  </si>
  <si>
    <t>UPPER(F71)</t>
  </si>
  <si>
    <t>Snake</t>
  </si>
  <si>
    <t>LEN(F74)</t>
  </si>
  <si>
    <t>Extraordinary</t>
  </si>
  <si>
    <t>LEN(F75)</t>
  </si>
  <si>
    <t>Up*</t>
  </si>
  <si>
    <t>LEN(F76)</t>
  </si>
  <si>
    <t>Milky-way</t>
  </si>
  <si>
    <t>LEN(F77)</t>
  </si>
  <si>
    <t>snow</t>
  </si>
  <si>
    <t>LEN(F78)</t>
  </si>
  <si>
    <t>Black:color</t>
  </si>
  <si>
    <t>REPLACE(F81,6,6,":white")</t>
  </si>
  <si>
    <t>Courtroom</t>
  </si>
  <si>
    <t>REPLACE(F82,6,6,"1")</t>
  </si>
  <si>
    <t>Honey-</t>
  </si>
  <si>
    <t>REPLACE(F83,7,3,"Bee")</t>
  </si>
  <si>
    <t>copy20</t>
  </si>
  <si>
    <t>REPLACE(F84,3,4,"25")</t>
  </si>
  <si>
    <t>Number</t>
  </si>
  <si>
    <t>REPLACE(F85,7,5,"1")</t>
  </si>
  <si>
    <t>bEauty</t>
  </si>
  <si>
    <t>PROPER(F88)</t>
  </si>
  <si>
    <t>ALOOCHAAT</t>
  </si>
  <si>
    <t>PROPER(F89)</t>
  </si>
  <si>
    <t>Down-Town</t>
  </si>
  <si>
    <t>PROPER(F90)</t>
  </si>
  <si>
    <t>paint</t>
  </si>
  <si>
    <t>PROPER(F91)</t>
  </si>
  <si>
    <t>sAm - 123</t>
  </si>
  <si>
    <t>PROPER(F92)</t>
  </si>
  <si>
    <t>day</t>
  </si>
  <si>
    <t>CONCAT(E4,F4)</t>
  </si>
  <si>
    <t>Jammu</t>
  </si>
  <si>
    <t>Kashmir</t>
  </si>
  <si>
    <t>CONCAT(E5,F5)</t>
  </si>
  <si>
    <t>store</t>
  </si>
  <si>
    <t>CONCAT(E6,F6)</t>
  </si>
  <si>
    <t>Note</t>
  </si>
  <si>
    <t>book</t>
  </si>
  <si>
    <t>CONCAT(E7,F7)</t>
  </si>
  <si>
    <t>Hand</t>
  </si>
  <si>
    <t>bag</t>
  </si>
  <si>
    <t>CONCAT(E8,F8)</t>
  </si>
  <si>
    <t>shifa      -qazii</t>
  </si>
  <si>
    <t>CLEAN(E10)</t>
  </si>
  <si>
    <t>dining table</t>
  </si>
  <si>
    <t>CLEAN(E12)</t>
  </si>
  <si>
    <t>timeTable</t>
  </si>
  <si>
    <t>CLEAN(E13)</t>
  </si>
  <si>
    <t>user@id</t>
  </si>
  <si>
    <t>tea Spoon</t>
  </si>
  <si>
    <t>CLEAN(E15)</t>
  </si>
  <si>
    <t>shifa</t>
  </si>
  <si>
    <t>Shifa</t>
  </si>
  <si>
    <t>EXACT(E19,F19)</t>
  </si>
  <si>
    <t>EXACT(E20,F20)</t>
  </si>
  <si>
    <t>part-time</t>
  </si>
  <si>
    <t>part time</t>
  </si>
  <si>
    <t>EXACT(E21,F21)</t>
  </si>
  <si>
    <t>EXACT(E22,F22)</t>
  </si>
  <si>
    <t>Cooler</t>
  </si>
  <si>
    <t>EXACT(E23,F23)</t>
  </si>
  <si>
    <t>chain</t>
  </si>
  <si>
    <t>FIND("c",E26)</t>
  </si>
  <si>
    <t>Balcony</t>
  </si>
  <si>
    <t>FIND("y",E27)</t>
  </si>
  <si>
    <t>Bed</t>
  </si>
  <si>
    <t>FIND("e",E28)</t>
  </si>
  <si>
    <t>sofa</t>
  </si>
  <si>
    <t>FIND("f",E29)</t>
  </si>
  <si>
    <t>FIND("d",E30)</t>
  </si>
  <si>
    <t>LEFT(E33,4)</t>
  </si>
  <si>
    <t>veg-biryani</t>
  </si>
  <si>
    <t>LEFT(E34,8)</t>
  </si>
  <si>
    <t>panipuri</t>
  </si>
  <si>
    <t>LEFT(E35,5)</t>
  </si>
  <si>
    <t>aaluchaat</t>
  </si>
  <si>
    <t>LEFT(E36,6)</t>
  </si>
  <si>
    <t>sevpuri</t>
  </si>
  <si>
    <t>LEFT(E37,3)</t>
  </si>
  <si>
    <t>bangladesh</t>
  </si>
  <si>
    <t>RIGHT(E40,5)</t>
  </si>
  <si>
    <t>Iran</t>
  </si>
  <si>
    <t>RIGHT(E41,4)</t>
  </si>
  <si>
    <t>RIGHT(E42,2)</t>
  </si>
  <si>
    <t>russia</t>
  </si>
  <si>
    <t>RIGHT(E44,2)</t>
  </si>
  <si>
    <t>my demon</t>
  </si>
  <si>
    <t>MID(E47,3,7)</t>
  </si>
  <si>
    <t>hidden love</t>
  </si>
  <si>
    <t>MID(E48,4,6)</t>
  </si>
  <si>
    <t>true beauty</t>
  </si>
  <si>
    <t>MID(E49,4,8)</t>
  </si>
  <si>
    <t>buisness proposal</t>
  </si>
  <si>
    <t>MID(E50,4,8)</t>
  </si>
  <si>
    <t>Gen Z</t>
  </si>
  <si>
    <t>MID(E51,2,4)</t>
  </si>
  <si>
    <t>KATRINA</t>
  </si>
  <si>
    <t>HANIA</t>
  </si>
  <si>
    <t>MAHIRA</t>
  </si>
  <si>
    <t>LOWER(E56)</t>
  </si>
  <si>
    <t>YUMNA</t>
  </si>
  <si>
    <t>DANANEER</t>
  </si>
  <si>
    <t>danish</t>
  </si>
  <si>
    <t>UPPER(E61)</t>
  </si>
  <si>
    <t>usman</t>
  </si>
  <si>
    <t>UPPER(E62)</t>
  </si>
  <si>
    <t>bilal abbas</t>
  </si>
  <si>
    <t>salman khan</t>
  </si>
  <si>
    <t>shahnawaz ali</t>
  </si>
  <si>
    <t>all is well</t>
  </si>
  <si>
    <t>LEN(E68)</t>
  </si>
  <si>
    <t>dream big</t>
  </si>
  <si>
    <t>LEN(E69)</t>
  </si>
  <si>
    <t>stay positive</t>
  </si>
  <si>
    <t>LEN(E70)</t>
  </si>
  <si>
    <t>trust the process</t>
  </si>
  <si>
    <t>LEN(E71)</t>
  </si>
  <si>
    <t>stay strong</t>
  </si>
  <si>
    <t>LEN(E72)</t>
  </si>
  <si>
    <t>notepad</t>
  </si>
  <si>
    <t>REPLACE(E75,5,7,"book")</t>
  </si>
  <si>
    <t>isaac sharma</t>
  </si>
  <si>
    <t>REPLACE(E76,6,11," newton")</t>
  </si>
  <si>
    <t>virat dhawan</t>
  </si>
  <si>
    <t>REPLACE(E77,6,11," kohli")</t>
  </si>
  <si>
    <t>rohit saraf</t>
  </si>
  <si>
    <t>REPLACE(E78,6,10," sharma")</t>
  </si>
  <si>
    <t>MS Modi</t>
  </si>
  <si>
    <t>REPLACE(E79,3,6," Dhoni")</t>
  </si>
  <si>
    <t>ShifA QAziI</t>
  </si>
  <si>
    <t>PROPER(E82)</t>
  </si>
  <si>
    <t>kaUsAr QaZiI</t>
  </si>
  <si>
    <t>PROPER(E83)</t>
  </si>
  <si>
    <t>sAiF QaZiI</t>
  </si>
  <si>
    <t>PROPER(E84)</t>
  </si>
  <si>
    <t>FaiYaZ QaZIi</t>
  </si>
  <si>
    <t>PROPER(E85)</t>
  </si>
  <si>
    <t>AzIM QaAZii</t>
  </si>
  <si>
    <t>PROPER(E86)</t>
  </si>
  <si>
    <t xml:space="preserve">RUCHITA </t>
  </si>
  <si>
    <t>JOIN/CONCAT</t>
  </si>
  <si>
    <t>Motor</t>
  </si>
  <si>
    <t>CONCAT(D6,E6)</t>
  </si>
  <si>
    <t xml:space="preserve">Air </t>
  </si>
  <si>
    <t>conditionar</t>
  </si>
  <si>
    <t>Maker</t>
  </si>
  <si>
    <t xml:space="preserve"> CONCAT(E8,F8)</t>
  </si>
  <si>
    <t>Water</t>
  </si>
  <si>
    <t>Pump</t>
  </si>
  <si>
    <t>CONCAT(E9,F9)</t>
  </si>
  <si>
    <t>Washing</t>
  </si>
  <si>
    <t xml:space="preserve"> CONCAT(E10,F10)</t>
  </si>
  <si>
    <t>Pen</t>
  </si>
  <si>
    <t>CLEAN(E14)</t>
  </si>
  <si>
    <t>Mobile</t>
  </si>
  <si>
    <t>CLEAN(E16)</t>
  </si>
  <si>
    <t>CPU</t>
  </si>
  <si>
    <t>CLEAN(E17)</t>
  </si>
  <si>
    <t>berry</t>
  </si>
  <si>
    <t>Strawberry</t>
  </si>
  <si>
    <t>strawberry</t>
  </si>
  <si>
    <t>Notebook</t>
  </si>
  <si>
    <t>FIND("b",E25,5)</t>
  </si>
  <si>
    <t>FIND("i",E26,2)</t>
  </si>
  <si>
    <t>FIND("d",E27,4)</t>
  </si>
  <si>
    <t>FIND("o",E28,7)</t>
  </si>
  <si>
    <t>Homework</t>
  </si>
  <si>
    <t>FIND("k",E29,8)</t>
  </si>
  <si>
    <t>TCS</t>
  </si>
  <si>
    <t>LEFT(E31,2)</t>
  </si>
  <si>
    <t>Reliance</t>
  </si>
  <si>
    <t>LEFT(E32,4)</t>
  </si>
  <si>
    <t>Lenovo</t>
  </si>
  <si>
    <t>LEFT(E33,3)</t>
  </si>
  <si>
    <t>Nikon</t>
  </si>
  <si>
    <t>LEFT(E34,4)</t>
  </si>
  <si>
    <t>Samsung</t>
  </si>
  <si>
    <t>LEFT(E35,6)</t>
  </si>
  <si>
    <t>RIGHT(E37,3)</t>
  </si>
  <si>
    <t>Jaipur</t>
  </si>
  <si>
    <t>RIGHT(E38,2)</t>
  </si>
  <si>
    <t>RIGHT(E39,5)</t>
  </si>
  <si>
    <t>RIGHT(E40,7)</t>
  </si>
  <si>
    <t>Surat</t>
  </si>
  <si>
    <t>Table</t>
  </si>
  <si>
    <t>LOWER(E43)</t>
  </si>
  <si>
    <t>Chair</t>
  </si>
  <si>
    <t>LOWER(E44)</t>
  </si>
  <si>
    <t>Fan</t>
  </si>
  <si>
    <t>LOWER(E45)</t>
  </si>
  <si>
    <t>Window</t>
  </si>
  <si>
    <t>LOWER(E46)</t>
  </si>
  <si>
    <t>Bottle</t>
  </si>
  <si>
    <t>LOWER(E47)</t>
  </si>
  <si>
    <t>paper</t>
  </si>
  <si>
    <t>UPPER(E49)</t>
  </si>
  <si>
    <t>Marker</t>
  </si>
  <si>
    <t>UPPER(E50)</t>
  </si>
  <si>
    <t>Folder</t>
  </si>
  <si>
    <t>UPPER(E51)</t>
  </si>
  <si>
    <t>Car</t>
  </si>
  <si>
    <t>UPPER(E52)</t>
  </si>
  <si>
    <t>Food</t>
  </si>
  <si>
    <t>UPPER(E53)</t>
  </si>
  <si>
    <t>Station</t>
  </si>
  <si>
    <t>LEN(E56)</t>
  </si>
  <si>
    <t>Garden</t>
  </si>
  <si>
    <t>LEN(E57)</t>
  </si>
  <si>
    <t>Tree</t>
  </si>
  <si>
    <t>LEN(E58)</t>
  </si>
  <si>
    <t>LEN(E59)</t>
  </si>
  <si>
    <t>Bigbasket</t>
  </si>
  <si>
    <t>MID(E61,4,2)</t>
  </si>
  <si>
    <t>January</t>
  </si>
  <si>
    <t>MID(E62,3,6)</t>
  </si>
  <si>
    <t>Vegetable</t>
  </si>
  <si>
    <t>MID(E63,5,7)</t>
  </si>
  <si>
    <t>Month</t>
  </si>
  <si>
    <t>MID(E64,3,4)</t>
  </si>
  <si>
    <t>Watch</t>
  </si>
  <si>
    <t>MID(E65,2,5)</t>
  </si>
  <si>
    <t>Barnch</t>
  </si>
  <si>
    <t>REPLACE(E67,4,2,"n")</t>
  </si>
  <si>
    <t xml:space="preserve">Saving </t>
  </si>
  <si>
    <t>REPLACE(E68,3,5,"v")</t>
  </si>
  <si>
    <t>Passbook</t>
  </si>
  <si>
    <t>REPLACE(E69,4,6,"b")</t>
  </si>
  <si>
    <t>Customer</t>
  </si>
  <si>
    <t>REPLACE(E70,6,3,"t")</t>
  </si>
  <si>
    <t>Current</t>
  </si>
  <si>
    <t>REPLACE(E71,5,2,"u")</t>
  </si>
  <si>
    <t>Online class</t>
  </si>
  <si>
    <t>Business studies</t>
  </si>
  <si>
    <t>PROPER(E74)</t>
  </si>
  <si>
    <t>Computer science</t>
  </si>
  <si>
    <t>PROPER(E75)</t>
  </si>
  <si>
    <t>Digital marketing</t>
  </si>
  <si>
    <t>PROPER(E76)</t>
  </si>
  <si>
    <t>Technical skills</t>
  </si>
  <si>
    <t>PROPER(E77)</t>
  </si>
  <si>
    <t>JUHI</t>
  </si>
  <si>
    <t>Sr. no</t>
  </si>
  <si>
    <t>CONTACT</t>
  </si>
  <si>
    <t>sun</t>
  </si>
  <si>
    <t>CONCAT(D5,D6)</t>
  </si>
  <si>
    <t>light</t>
  </si>
  <si>
    <t>CONCAT(D8,D9)</t>
  </si>
  <si>
    <t xml:space="preserve">Key </t>
  </si>
  <si>
    <t>CONCAT(D11,D12)</t>
  </si>
  <si>
    <t>Board</t>
  </si>
  <si>
    <t>Lap</t>
  </si>
  <si>
    <t>CONCAT(D14,D15)</t>
  </si>
  <si>
    <t>Top</t>
  </si>
  <si>
    <t>CONCAT(D17,D18)</t>
  </si>
  <si>
    <t>tannis</t>
  </si>
  <si>
    <t>LEN("pen")</t>
  </si>
  <si>
    <t>LEN("book")</t>
  </si>
  <si>
    <t>LEN("Sun")</t>
  </si>
  <si>
    <t>Moon</t>
  </si>
  <si>
    <t>LEN("Moon")</t>
  </si>
  <si>
    <t>LEN("Star")</t>
  </si>
  <si>
    <t xml:space="preserve">Upper </t>
  </si>
  <si>
    <t>UPPER("India")</t>
  </si>
  <si>
    <t>UPPER("Laptop")</t>
  </si>
  <si>
    <t>UPPER("Excel")</t>
  </si>
  <si>
    <t>UPPER("Book")</t>
  </si>
  <si>
    <t>UPPER("Sun")</t>
  </si>
  <si>
    <t>LOWER("India")</t>
  </si>
  <si>
    <t>LOWER("Laptop")</t>
  </si>
  <si>
    <t>LOWER("Book")</t>
  </si>
  <si>
    <t>LOWER("Sun")</t>
  </si>
  <si>
    <t>LOWER("Moon")</t>
  </si>
  <si>
    <t>India country</t>
  </si>
  <si>
    <t>PROPER("India country")</t>
  </si>
  <si>
    <t>laptop computer</t>
  </si>
  <si>
    <t>PROPER("laptop computer")</t>
  </si>
  <si>
    <t>ms excel</t>
  </si>
  <si>
    <t>PROPER("ms excel")</t>
  </si>
  <si>
    <t>PROPER("data science")</t>
  </si>
  <si>
    <t>birthday party</t>
  </si>
  <si>
    <t>PROPER("birthday party")</t>
  </si>
  <si>
    <t>Sr.no</t>
  </si>
  <si>
    <t>Sandesh</t>
  </si>
  <si>
    <t>CONCAT(E$5,E$6)</t>
  </si>
  <si>
    <t>Arc</t>
  </si>
  <si>
    <t>CONCAT(E$8,E$9)</t>
  </si>
  <si>
    <t>sheet</t>
  </si>
  <si>
    <t>CONCAT(E$11,E$12)</t>
  </si>
  <si>
    <t>Word</t>
  </si>
  <si>
    <t>CONCAT(E$14,E$15)</t>
  </si>
  <si>
    <t>Document</t>
  </si>
  <si>
    <t>CONCAT(E$17,E$18)</t>
  </si>
  <si>
    <t>Work</t>
  </si>
  <si>
    <t>&gt;</t>
  </si>
  <si>
    <t>CLEAN(E21)</t>
  </si>
  <si>
    <t>Sum</t>
  </si>
  <si>
    <t>CLEAN(E22)</t>
  </si>
  <si>
    <t>Family</t>
  </si>
  <si>
    <t>CLEAN(E23)</t>
  </si>
  <si>
    <t>CLEAN(D24)</t>
  </si>
  <si>
    <t>value</t>
  </si>
  <si>
    <t>CLEAN(E25)</t>
  </si>
  <si>
    <t>EXCAT</t>
  </si>
  <si>
    <t>EXACT(D28,D29)</t>
  </si>
  <si>
    <t>work</t>
  </si>
  <si>
    <t>EXACT(D30,D31)</t>
  </si>
  <si>
    <t>Format</t>
  </si>
  <si>
    <t>EXACT(D32,D33)</t>
  </si>
  <si>
    <t>power</t>
  </si>
  <si>
    <t>EXACT(D34,D35)</t>
  </si>
  <si>
    <t>Bank</t>
  </si>
  <si>
    <t>Serial</t>
  </si>
  <si>
    <t>EXACT(D36,D37)</t>
  </si>
  <si>
    <t>number</t>
  </si>
  <si>
    <t>FIND("d",E39,3)</t>
  </si>
  <si>
    <t>FIND("u",D40,3)</t>
  </si>
  <si>
    <t>FIND("d",E41,4)</t>
  </si>
  <si>
    <t>FIND("t",E42,5)</t>
  </si>
  <si>
    <t>FIND("r",D43,2)</t>
  </si>
  <si>
    <t>LEFT(E45,3)</t>
  </si>
  <si>
    <t>San</t>
  </si>
  <si>
    <t>Power</t>
  </si>
  <si>
    <t>LEFT(E46,2)</t>
  </si>
  <si>
    <t>Po</t>
  </si>
  <si>
    <t>LEFT(E47,5)</t>
  </si>
  <si>
    <t>Noteb</t>
  </si>
  <si>
    <t>LEFT(E48,4)</t>
  </si>
  <si>
    <t>Form</t>
  </si>
  <si>
    <t>LEFT(E49,6)</t>
  </si>
  <si>
    <t>Formul</t>
  </si>
  <si>
    <t>RIGHT(E51,3)</t>
  </si>
  <si>
    <t>esh</t>
  </si>
  <si>
    <t>RIGHT(E52,4)</t>
  </si>
  <si>
    <t>ower</t>
  </si>
  <si>
    <t>RIGHT(E53,6)</t>
  </si>
  <si>
    <t>tebook</t>
  </si>
  <si>
    <t>RIGHT(E54,5)</t>
  </si>
  <si>
    <t>ormat</t>
  </si>
  <si>
    <t>RIGHT(E55,3)</t>
  </si>
  <si>
    <t>ula</t>
  </si>
  <si>
    <t>MID(E57,2,6)</t>
  </si>
  <si>
    <t>MID(E58,2,6)</t>
  </si>
  <si>
    <t>MID(E59,2,6)</t>
  </si>
  <si>
    <t>MID(E60,2,6)</t>
  </si>
  <si>
    <t>MID(E61,2,6)</t>
  </si>
  <si>
    <t>LOWER(E63)</t>
  </si>
  <si>
    <t>LOWER(E64)</t>
  </si>
  <si>
    <t>LOWER(E65)</t>
  </si>
  <si>
    <t>LOWER(E66)</t>
  </si>
  <si>
    <t>LOWER(E67)</t>
  </si>
  <si>
    <t>UPPER(E69)</t>
  </si>
  <si>
    <t>UPPER(E70)</t>
  </si>
  <si>
    <t>UPPER(E71)</t>
  </si>
  <si>
    <t>UPPER(E72)</t>
  </si>
  <si>
    <t>UPPER(E73)</t>
  </si>
  <si>
    <t>REPLACE(E75,3,5,"E")</t>
  </si>
  <si>
    <t>REPLACE(E76,3,5,"E")</t>
  </si>
  <si>
    <t>REPLACE(E77,3,5,"E")</t>
  </si>
  <si>
    <t>REPLACE(E78,3,5,"E")</t>
  </si>
  <si>
    <t>REPLACE(E79,3,5,"E")</t>
  </si>
  <si>
    <t>PROPER(E81)</t>
  </si>
  <si>
    <t>WiLLAMS17</t>
  </si>
  <si>
    <t>Char</t>
  </si>
  <si>
    <t>CONCATENATE(C$9, CHAR(10)," - ",C$10)</t>
  </si>
  <si>
    <t>CONCATENATE(D$13,CHAR(10)," - ",D$12)</t>
  </si>
  <si>
    <t>CONCATENATE(D$15,CHAR(10)," - ",D$16)</t>
  </si>
  <si>
    <t>CONCATENATE(D$18,CHAR(10)," -",D$19)</t>
  </si>
  <si>
    <t>CONCATENATE(D22,CHAR(10)," - ",D23)</t>
  </si>
  <si>
    <t>Join / Concat</t>
  </si>
  <si>
    <t>CONCATENATE(C$9," - ",C$10)</t>
  </si>
  <si>
    <t>CONCATENATE(D$13," - ",D$12)</t>
  </si>
  <si>
    <t>Asmit</t>
  </si>
  <si>
    <t>CONCATENATE(D15,D16)</t>
  </si>
  <si>
    <t>glasses</t>
  </si>
  <si>
    <t>Back</t>
  </si>
  <si>
    <t>CONCATENATE(D$19," -",D$20)</t>
  </si>
  <si>
    <t>Stage</t>
  </si>
  <si>
    <t>Dead</t>
  </si>
  <si>
    <t>CONCATENATE(D22," - ",D23)</t>
  </si>
  <si>
    <t>line</t>
  </si>
  <si>
    <t>CLEAN(D26)</t>
  </si>
  <si>
    <t>CLEAN(D28)</t>
  </si>
  <si>
    <t>CLEAN(D31)</t>
  </si>
  <si>
    <t>EXACT(F4,F10)</t>
  </si>
  <si>
    <t>EXACT(F5,F13)</t>
  </si>
  <si>
    <t>EXACT(F6,F16)</t>
  </si>
  <si>
    <t>EXACT(F7,F19)</t>
  </si>
  <si>
    <t>EXACT(F8,F22)</t>
  </si>
  <si>
    <t>Midschool</t>
  </si>
  <si>
    <t>FIND("d",D41,1)</t>
  </si>
  <si>
    <t>Happy Birthday</t>
  </si>
  <si>
    <t>FIND("B",D42,1)</t>
  </si>
  <si>
    <t>Uniform</t>
  </si>
  <si>
    <t>FIND("r",D43,1)</t>
  </si>
  <si>
    <t>Spreadsheets</t>
  </si>
  <si>
    <t>FIND("e",D44,1)</t>
  </si>
  <si>
    <t>Google-Sheet</t>
  </si>
  <si>
    <t>FIND("-",D45,1)</t>
  </si>
  <si>
    <t>LEFT(D47,3)</t>
  </si>
  <si>
    <t>LEFT(D48,5)</t>
  </si>
  <si>
    <t>LEFT(D49,5)</t>
  </si>
  <si>
    <t>LEFT(D50,9)</t>
  </si>
  <si>
    <t>LEFT(D51,11</t>
  </si>
  <si>
    <t>RIGHT(D53,6)</t>
  </si>
  <si>
    <t>RIGHT(D55,3)</t>
  </si>
  <si>
    <t>RIGHT(D56,8)</t>
  </si>
  <si>
    <t>RIGHT(D57,9)</t>
  </si>
  <si>
    <t>MID(D59,3,5)</t>
  </si>
  <si>
    <t>MID(D60,5,2)</t>
  </si>
  <si>
    <t>MID(D61,3,5)</t>
  </si>
  <si>
    <t>MID(D62,5,4)</t>
  </si>
  <si>
    <t>MID(D63,5,3)</t>
  </si>
  <si>
    <t>LOWER(D65)</t>
  </si>
  <si>
    <t>LOWER(D66)</t>
  </si>
  <si>
    <t>LOWER(D67)</t>
  </si>
  <si>
    <t>LOWER(D68)</t>
  </si>
  <si>
    <t>LOWER(D69)</t>
  </si>
  <si>
    <t>UPPER(D71)</t>
  </si>
  <si>
    <t>UPPER(D72)</t>
  </si>
  <si>
    <t>UPPER(D73)</t>
  </si>
  <si>
    <t>UPPER(D74)</t>
  </si>
  <si>
    <t>UPPER(D75)</t>
  </si>
  <si>
    <t>LEN(D77)</t>
  </si>
  <si>
    <t>LEN(D78)</t>
  </si>
  <si>
    <t>LEN(D79)</t>
  </si>
  <si>
    <t>LEN(D80)</t>
  </si>
  <si>
    <t>LEN(D81)</t>
  </si>
  <si>
    <t>MiDsChool</t>
  </si>
  <si>
    <t>PROPER(D83)</t>
  </si>
  <si>
    <t>haPpy BirtTdaY</t>
  </si>
  <si>
    <t>PROPER(D84)</t>
  </si>
  <si>
    <t>unifOrM</t>
  </si>
  <si>
    <t>PROPER(D85)</t>
  </si>
  <si>
    <t>spreaDsheets</t>
  </si>
  <si>
    <t>PROPER(D86)</t>
  </si>
  <si>
    <t>google-sheet</t>
  </si>
  <si>
    <t>PROPER(D87)</t>
  </si>
  <si>
    <t>REPLACE(D89,1,5,"T")</t>
  </si>
  <si>
    <t>REPLACE(D90,1,5,"G1")</t>
  </si>
  <si>
    <t>REPLACE(D91,2,4,"87")</t>
  </si>
  <si>
    <t>REPLACE(D92,2,4,"XYZ")</t>
  </si>
  <si>
    <t>REPLACE(D93,7,8,"%")</t>
  </si>
  <si>
    <t>no.</t>
  </si>
  <si>
    <t>lucky</t>
  </si>
  <si>
    <t>CONCAT(D5,CHAR(5)," - ",D6)</t>
  </si>
  <si>
    <t>lucky _x0005_atharva</t>
  </si>
  <si>
    <t>atharva</t>
  </si>
  <si>
    <t>CONCAT(D8,CHAR(32),D9)</t>
  </si>
  <si>
    <t>atharva ninawe</t>
  </si>
  <si>
    <t>ninawe</t>
  </si>
  <si>
    <t>char 32 is space</t>
  </si>
  <si>
    <t>CONCAT(D11,CHAR(169),D12)</t>
  </si>
  <si>
    <t>atharva ©ninawe</t>
  </si>
  <si>
    <t>char 169 is copy right symbol</t>
  </si>
  <si>
    <t>CONCAT(CHAR(149),D14,CHAR(10)," - ",CHAR(149),D15)</t>
  </si>
  <si>
    <t>•atharva 
  - •ninawe</t>
  </si>
  <si>
    <t>char 149 is bullet symbol $ char 10 is for line break</t>
  </si>
  <si>
    <t>CONCAT(D17,CHAR(10),D18)</t>
  </si>
  <si>
    <t>atharva 
 ninawe</t>
  </si>
  <si>
    <t>char 10 is for line break</t>
  </si>
  <si>
    <t>ATHARVA</t>
  </si>
  <si>
    <t>CONCAT(D$20," - ",D$21)</t>
  </si>
  <si>
    <t>ATHARVA - NINAWE</t>
  </si>
  <si>
    <t>NINAWE</t>
  </si>
  <si>
    <t>multiple text strings, numbers, or cell values into one continuous string.</t>
  </si>
  <si>
    <t>1,00,000</t>
  </si>
  <si>
    <t>CONCAT(" TOTAL SALES: ",D23)</t>
  </si>
  <si>
    <t>TOTAL SALES: 100000</t>
  </si>
  <si>
    <t>Add Text with Cell Value</t>
  </si>
  <si>
    <t>CONCAT(D26," LIVES IN ",D27)</t>
  </si>
  <si>
    <t>ATHARVA LIVES IN NAGPUR</t>
  </si>
  <si>
    <t>NAGPUR</t>
  </si>
  <si>
    <t>Create a Sentence from Multiple Cells</t>
  </si>
  <si>
    <t>GUN</t>
  </si>
  <si>
    <t>CONCAT("Product: ",D29,CHAR(10),"Price: ",D30)</t>
  </si>
  <si>
    <t>Product: GUN
 Price: 100000</t>
  </si>
  <si>
    <t>Insert Line Breaks with CHAR(10)</t>
  </si>
  <si>
    <t>ASUS</t>
  </si>
  <si>
    <t>CONCAT(CHAR(169),D32)</t>
  </si>
  <si>
    <t>©ASUS</t>
  </si>
  <si>
    <t>Add Symbols with CHAR</t>
  </si>
  <si>
    <t>Laptop&amp;CHAR(10)&amp;"Pro"</t>
  </si>
  <si>
    <t>Laptop
 Pro</t>
  </si>
  <si>
    <t>LaptopPro</t>
  </si>
  <si>
    <t>123&amp;CHAR(7)&amp;456</t>
  </si>
  <si>
    <t>123_x0007_456</t>
  </si>
  <si>
    <t>CLEAN(D37)</t>
  </si>
  <si>
    <t>UVW&amp;CHAR(7)&amp;"XYZ"</t>
  </si>
  <si>
    <t>UVW_x0007_XYZ</t>
  </si>
  <si>
    <t>CLEAN(D39)</t>
  </si>
  <si>
    <t>UVWXYZ</t>
  </si>
  <si>
    <t>123&amp;SUM(1,2,3)&amp;"456"</t>
  </si>
  <si>
    <t>CLEAN(D41)</t>
  </si>
  <si>
    <t>atharva&amp;CHAR(44)&amp;"ni"</t>
  </si>
  <si>
    <t>atharva,ni</t>
  </si>
  <si>
    <t>CLEAN(D43)</t>
  </si>
  <si>
    <t>EXACT(D45,D46)</t>
  </si>
  <si>
    <t>both condition is same</t>
  </si>
  <si>
    <t>EXACT(D48,D49)</t>
  </si>
  <si>
    <t>both condition is not same</t>
  </si>
  <si>
    <t>omg</t>
  </si>
  <si>
    <t>EXACT("OMG",D51)</t>
  </si>
  <si>
    <t>123©456</t>
  </si>
  <si>
    <t>EXACT(D53,D54)</t>
  </si>
  <si>
    <t>formula is same</t>
  </si>
  <si>
    <t>EXACT(D56,D57)</t>
  </si>
  <si>
    <t>123•456</t>
  </si>
  <si>
    <t>formula is not same</t>
  </si>
  <si>
    <t>ATHARVA NINAWE</t>
  </si>
  <si>
    <t>FIND("NINA",D59)</t>
  </si>
  <si>
    <t>FIND("nina",D61)</t>
  </si>
  <si>
    <t>FIND("a",D63)</t>
  </si>
  <si>
    <t>FIND("a",D65,3)</t>
  </si>
  <si>
    <t>GOOGLE.COM</t>
  </si>
  <si>
    <t>FIND(".",D67)</t>
  </si>
  <si>
    <t>LEFT(D69,4)</t>
  </si>
  <si>
    <t>ATHA</t>
  </si>
  <si>
    <t>ABCD1234</t>
  </si>
  <si>
    <t>LEFT(D71,4)</t>
  </si>
  <si>
    <t>ABCD</t>
  </si>
  <si>
    <t>ASUS-12344</t>
  </si>
  <si>
    <t>LEFT(D73,FIND("-",D73)-1)</t>
  </si>
  <si>
    <t>OMG-1TR</t>
  </si>
  <si>
    <t>LEFT(D75,FIND("-",D75 )-1)</t>
  </si>
  <si>
    <t>OMG</t>
  </si>
  <si>
    <t>LEFT(TEXT(D77,"dd-mm-yyyy"),2)</t>
  </si>
  <si>
    <t>RIGHT(D79,4)</t>
  </si>
  <si>
    <t>RVA</t>
  </si>
  <si>
    <t>RIGHT(D81,4)</t>
  </si>
  <si>
    <t>RIGHT(D83,FIND("-",D83)-1)</t>
  </si>
  <si>
    <t>RIGHT(D85,FIND("-",D85 )-1)</t>
  </si>
  <si>
    <t>1TR</t>
  </si>
  <si>
    <t>RIGHT(TEXT(D87,"dd-mm-yyyy"),3)</t>
  </si>
  <si>
    <t>ATHARVANINAWE</t>
  </si>
  <si>
    <t>MID(D89,2,6)</t>
  </si>
  <si>
    <t>THARVA</t>
  </si>
  <si>
    <t>AB12345XY</t>
  </si>
  <si>
    <t>MID(D91,3,5)</t>
  </si>
  <si>
    <t>MID(TEXT(D93,"DD-MM-YYYY"),1,3)</t>
  </si>
  <si>
    <t>04-</t>
  </si>
  <si>
    <r>
      <rPr>
        <rFont val="&quot;Aptos Narrow&quot;, sans-serif"/>
        <color rgb="FF1155CC"/>
        <sz val="11.0"/>
        <u/>
      </rPr>
      <t>ATHARV#GOLD.COM</t>
    </r>
  </si>
  <si>
    <t>MID(D95,7,9)</t>
  </si>
  <si>
    <t>#GOLD.COM</t>
  </si>
  <si>
    <t>MID FIND CLEAR</t>
  </si>
  <si>
    <t>MID(D97,4,9)</t>
  </si>
  <si>
    <t>FIND CLE</t>
  </si>
  <si>
    <t>LOWER(D99)</t>
  </si>
  <si>
    <r>
      <rPr>
        <rFont val="&quot;Aptos Narrow&quot;, sans-serif"/>
        <color rgb="FF1155CC"/>
        <sz val="11.0"/>
        <u/>
      </rPr>
      <t>AtharvaNINAWe@gmail.com</t>
    </r>
  </si>
  <si>
    <t>LOWER(D101)</t>
  </si>
  <si>
    <t>atharvaninawe@gmail.com</t>
  </si>
  <si>
    <t>athARvAniNAwE</t>
  </si>
  <si>
    <t>LOWER(D103)</t>
  </si>
  <si>
    <t>atharvaninawe</t>
  </si>
  <si>
    <t>ABC123XYZ</t>
  </si>
  <si>
    <t>LOWER(D105)</t>
  </si>
  <si>
    <t>abc123xyz</t>
  </si>
  <si>
    <t>HELLO world</t>
  </si>
  <si>
    <t>LOWER(D107)</t>
  </si>
  <si>
    <t>hello world</t>
  </si>
  <si>
    <t>UPPER(D109)</t>
  </si>
  <si>
    <r>
      <rPr>
        <rFont val="&quot;Aptos Narrow&quot;, sans-serif"/>
        <color rgb="FF1155CC"/>
        <sz val="11.0"/>
        <u/>
      </rPr>
      <t>AtharvaNINAWe@gmail.com</t>
    </r>
  </si>
  <si>
    <t>UPPER(D111)</t>
  </si>
  <si>
    <t>ATHARVANINAWE@GMAIL.COM</t>
  </si>
  <si>
    <t>UPPER(D113)</t>
  </si>
  <si>
    <t>UPPER(D115)</t>
  </si>
  <si>
    <t>UPPER(D117)</t>
  </si>
  <si>
    <t>HELLO WORLD</t>
  </si>
  <si>
    <t>LEN(D119)</t>
  </si>
  <si>
    <t>LEN(D121)</t>
  </si>
  <si>
    <t>LEN(D123)</t>
  </si>
  <si>
    <r>
      <rPr>
        <rFont val="&quot;Aptos Narrow&quot;, sans-serif"/>
        <color rgb="FF1155CC"/>
        <sz val="11.0"/>
        <u/>
      </rPr>
      <t>Atharvaninawe@gmail.com</t>
    </r>
  </si>
  <si>
    <t>LEN(D125)</t>
  </si>
  <si>
    <t># atharva #</t>
  </si>
  <si>
    <t>LEN(D127)</t>
  </si>
  <si>
    <t>REPLACE(D129,3,1,124)</t>
  </si>
  <si>
    <t>AT124ARVA</t>
  </si>
  <si>
    <t>indian culture</t>
  </si>
  <si>
    <t>REPLACE(D131,8,7,"army")</t>
  </si>
  <si>
    <t>indian army</t>
  </si>
  <si>
    <t>REPLACE(D133,1,6,"******")</t>
  </si>
  <si>
    <t>******0155</t>
  </si>
  <si>
    <t>REPLACE(TEXT(D135,"dd-mm-yyyy"),7,4,"2005")</t>
  </si>
  <si>
    <t>black clover</t>
  </si>
  <si>
    <t>REPLACE(D137,6,1,"")</t>
  </si>
  <si>
    <t>blackclover</t>
  </si>
  <si>
    <t>TRIM</t>
  </si>
  <si>
    <t>TRIM(D139)</t>
  </si>
  <si>
    <t>" EXCEL "</t>
  </si>
  <si>
    <t>TRIM(D141)</t>
  </si>
  <si>
    <t>Microsoft Excel Functions</t>
  </si>
  <si>
    <t>TRIM(D143)</t>
  </si>
  <si>
    <t>ATH A RVA NINA WE</t>
  </si>
  <si>
    <t>TRIM(D145)</t>
  </si>
  <si>
    <t>LEN(D147)</t>
  </si>
  <si>
    <t>LEN(TRIM(D147 ))</t>
  </si>
  <si>
    <t>DATE AND TIME</t>
  </si>
  <si>
    <t>DATE</t>
  </si>
  <si>
    <t>TODAY()</t>
  </si>
  <si>
    <t>DATE&amp;TIME</t>
  </si>
  <si>
    <t>NOW()</t>
  </si>
  <si>
    <t>YEAR</t>
  </si>
  <si>
    <t>YEAR(TODAY())</t>
  </si>
  <si>
    <t>MONTH</t>
  </si>
  <si>
    <t>MONTH(TODAY())</t>
  </si>
  <si>
    <t>DAY</t>
  </si>
  <si>
    <t>DAY(TODAY())</t>
  </si>
  <si>
    <t>VALUE(D159)</t>
  </si>
  <si>
    <t>VALUE(D161)</t>
  </si>
  <si>
    <t>VALUE(D163)</t>
  </si>
  <si>
    <t>VALUE(D165)+10</t>
  </si>
  <si>
    <t>VALUE(D167)</t>
  </si>
  <si>
    <t>ATHarvaNINawe</t>
  </si>
  <si>
    <t>PROPER(D169)</t>
  </si>
  <si>
    <t>Atharvaninawe</t>
  </si>
  <si>
    <t>MicroSOFt ExCEl FuncTION</t>
  </si>
  <si>
    <t>PROPER(D171)</t>
  </si>
  <si>
    <t>Microsoft Excel Function</t>
  </si>
  <si>
    <t>BlAcK ClOvEr</t>
  </si>
  <si>
    <t>PROPER(D173)</t>
  </si>
  <si>
    <t>Black Clover</t>
  </si>
  <si>
    <t>overloard</t>
  </si>
  <si>
    <t>PROPER(D175)</t>
  </si>
  <si>
    <t>Overloard</t>
  </si>
  <si>
    <t>muSHOku Teansei</t>
  </si>
  <si>
    <t>PROPER(D177)</t>
  </si>
  <si>
    <t>Mushoku Teansei</t>
  </si>
  <si>
    <t>Dhiraj</t>
  </si>
  <si>
    <t>Method No.</t>
  </si>
  <si>
    <t>Sr NO.</t>
  </si>
  <si>
    <t xml:space="preserve">Technology </t>
  </si>
  <si>
    <t xml:space="preserve">Dhiraj </t>
  </si>
  <si>
    <t>CONCAT(E$7,E$8)</t>
  </si>
  <si>
    <t>CONCAT(E$9,E$10)</t>
  </si>
  <si>
    <t>Sheet</t>
  </si>
  <si>
    <t>Best</t>
  </si>
  <si>
    <t>CONCAT(E$13,E$14)</t>
  </si>
  <si>
    <t>Partner</t>
  </si>
  <si>
    <t>CLEAN(E18)</t>
  </si>
  <si>
    <t>CLEAN(E19)</t>
  </si>
  <si>
    <t>CLEAN(E20)</t>
  </si>
  <si>
    <t xml:space="preserve">Exel </t>
  </si>
  <si>
    <t>EXACT(E23,E24)</t>
  </si>
  <si>
    <t>EXACT(E25,E26)</t>
  </si>
  <si>
    <t>workbook</t>
  </si>
  <si>
    <t>New</t>
  </si>
  <si>
    <t>EXACT(E27,E8)</t>
  </si>
  <si>
    <t>Textbook</t>
  </si>
  <si>
    <t xml:space="preserve">Google </t>
  </si>
  <si>
    <t>Files</t>
  </si>
  <si>
    <t>Random</t>
  </si>
  <si>
    <t xml:space="preserve">University </t>
  </si>
  <si>
    <t>FIND("n",C34,1)</t>
  </si>
  <si>
    <t>FIND("n",C35,1)</t>
  </si>
  <si>
    <t>FIND("n",C36,1)</t>
  </si>
  <si>
    <t>FIND("n",C37,1)</t>
  </si>
  <si>
    <t>FIND("n",C38,1)</t>
  </si>
  <si>
    <t>LEFT(C41,2)</t>
  </si>
  <si>
    <t>LEFT(C42,4)</t>
  </si>
  <si>
    <t>LEFT(C43,5)</t>
  </si>
  <si>
    <t>Industry</t>
  </si>
  <si>
    <t>LEFT(C44,1)</t>
  </si>
  <si>
    <t>Perfume</t>
  </si>
  <si>
    <t>LEFT(C45,2)</t>
  </si>
  <si>
    <t>RIGHT(C47,4)</t>
  </si>
  <si>
    <t>Google</t>
  </si>
  <si>
    <t>RIGHT(C48,3)</t>
  </si>
  <si>
    <t>RIGHT(C49,4)</t>
  </si>
  <si>
    <t>RIGHT(C50,)</t>
  </si>
  <si>
    <t>RIGHT(C51,2)</t>
  </si>
  <si>
    <t>MID(C54,1,3)</t>
  </si>
  <si>
    <t>DHIRAJ</t>
  </si>
  <si>
    <t>COLLEGE</t>
  </si>
  <si>
    <t>VISUAL</t>
  </si>
  <si>
    <t>FORMAT</t>
  </si>
  <si>
    <t>LOWER(E62)</t>
  </si>
  <si>
    <t>STATERGY</t>
  </si>
  <si>
    <t>dhiraj</t>
  </si>
  <si>
    <t>UPPER(C65)</t>
  </si>
  <si>
    <t>shubham</t>
  </si>
  <si>
    <t>UPPER(C66)</t>
  </si>
  <si>
    <t>arnav</t>
  </si>
  <si>
    <t>UPPER(C67)</t>
  </si>
  <si>
    <t>rohit</t>
  </si>
  <si>
    <t>UPPER(C68)</t>
  </si>
  <si>
    <t>akshay</t>
  </si>
  <si>
    <t>UPPER(C69)</t>
  </si>
  <si>
    <t>REPLACE(C71,1,3,"hm")</t>
  </si>
  <si>
    <t>REPLACE(C72,2,4,"oj")</t>
  </si>
  <si>
    <t>REPLACE(C73,2,3,"kl")</t>
  </si>
  <si>
    <t>REPLACE(C74,1,3,"hm")</t>
  </si>
  <si>
    <t>REPLACE(C75,1,4,"jkl")</t>
  </si>
  <si>
    <t>AbhIsHek</t>
  </si>
  <si>
    <t>PROPER(C77)</t>
  </si>
  <si>
    <t>COllegE</t>
  </si>
  <si>
    <t>PROPER(C78)</t>
  </si>
  <si>
    <t>LaPtOP</t>
  </si>
  <si>
    <t>PROPER(C79)</t>
  </si>
  <si>
    <t>uniCOrn</t>
  </si>
  <si>
    <t>PROPER(C80)</t>
  </si>
  <si>
    <t>TecHNoLogY</t>
  </si>
  <si>
    <t>PROPER(C81)</t>
  </si>
  <si>
    <t>Sr. No.</t>
  </si>
  <si>
    <t>Values</t>
  </si>
  <si>
    <t>NAME:- Suhani Nagalwade</t>
  </si>
  <si>
    <t>TRIM(D2)</t>
  </si>
  <si>
    <t>TRIM(D3)</t>
  </si>
  <si>
    <t>TRIM(D4)</t>
  </si>
  <si>
    <t>State</t>
  </si>
  <si>
    <t>TRIM(D5)</t>
  </si>
  <si>
    <t>TRIM(D6)</t>
  </si>
  <si>
    <t>Data+Break</t>
  </si>
  <si>
    <t>CHAR(7)+"Text"</t>
  </si>
  <si>
    <t>Web_Scrape</t>
  </si>
  <si>
    <t>Tab++*=Value</t>
  </si>
  <si>
    <t>CLEAN(D11)</t>
  </si>
  <si>
    <t>Sum+++++</t>
  </si>
  <si>
    <t>CLEAN(D12)</t>
  </si>
  <si>
    <t>PineApple</t>
  </si>
  <si>
    <t>UPPER(D14)</t>
  </si>
  <si>
    <t>EMP101</t>
  </si>
  <si>
    <t>UPPER(D15)</t>
  </si>
  <si>
    <t>Maharashtra</t>
  </si>
  <si>
    <t>UPPER(D16)</t>
  </si>
  <si>
    <t>galaxy14</t>
  </si>
  <si>
    <t>UPPER(D17)</t>
  </si>
  <si>
    <t>dance</t>
  </si>
  <si>
    <t>UPPER(D18)</t>
  </si>
  <si>
    <t>SuhaNi@.com</t>
  </si>
  <si>
    <t>LOWER(D20)</t>
  </si>
  <si>
    <t>Offer2026</t>
  </si>
  <si>
    <t>LOWER(D21)</t>
  </si>
  <si>
    <t>YouTube</t>
  </si>
  <si>
    <t>LOWER(D22)</t>
  </si>
  <si>
    <t>LOWER(D23)</t>
  </si>
  <si>
    <t>User ID</t>
  </si>
  <si>
    <t>LOWER(D24)</t>
  </si>
  <si>
    <t>niya khan</t>
  </si>
  <si>
    <t>PROPER(D26)</t>
  </si>
  <si>
    <t>PROPER(D27)</t>
  </si>
  <si>
    <t>haldiram</t>
  </si>
  <si>
    <t>PROPER(D28)</t>
  </si>
  <si>
    <t>sr. no.</t>
  </si>
  <si>
    <t>PROPER(D29)</t>
  </si>
  <si>
    <t>cOmPuter ScieNce</t>
  </si>
  <si>
    <t>PROPER(D30)</t>
  </si>
  <si>
    <t>India@123</t>
  </si>
  <si>
    <t>LEFT(D32, 2)</t>
  </si>
  <si>
    <t>LEFT(D33,3)</t>
  </si>
  <si>
    <t>LEFT(D34, 5)</t>
  </si>
  <si>
    <t>LEFT(D35, 7)</t>
  </si>
  <si>
    <t>Fruits</t>
  </si>
  <si>
    <t>LEFT(D36, 3)</t>
  </si>
  <si>
    <t>RIGHT(D38,3)</t>
  </si>
  <si>
    <t>AbCdEF</t>
  </si>
  <si>
    <t>RIGHT(D39,4)</t>
  </si>
  <si>
    <t>User_Name</t>
  </si>
  <si>
    <t>RIGHT(D40,5)</t>
  </si>
  <si>
    <t>RIGHT(D41,6)</t>
  </si>
  <si>
    <t>Employee_ID</t>
  </si>
  <si>
    <t>RIGHT(D42,3)</t>
  </si>
  <si>
    <t>ABC-1234-XY</t>
  </si>
  <si>
    <t>MID(D44, 5, 4)</t>
  </si>
  <si>
    <t>Ref:990-Alpha</t>
  </si>
  <si>
    <t>MID(D45, 5, 3)</t>
  </si>
  <si>
    <t>Dept_Sales_US</t>
  </si>
  <si>
    <t>MID(D46, 6, 5)</t>
  </si>
  <si>
    <t>2026_MAR_08</t>
  </si>
  <si>
    <t>MID(D47, 6, 3)</t>
  </si>
  <si>
    <t>ID_007_Active</t>
  </si>
  <si>
    <t>MID(D48, 4, 3)</t>
  </si>
  <si>
    <t>LEN(D51)</t>
  </si>
  <si>
    <t>A.B.C.D.E</t>
  </si>
  <si>
    <t>LEN(D52)</t>
  </si>
  <si>
    <t>" "</t>
  </si>
  <si>
    <t>LEN(D53)</t>
  </si>
  <si>
    <t>….!....</t>
  </si>
  <si>
    <t>LEN(D54)</t>
  </si>
  <si>
    <t>SUBSTITUTE</t>
  </si>
  <si>
    <t>NewDelhi</t>
  </si>
  <si>
    <t>SUBSTITUTE(D56,"wD","w D")</t>
  </si>
  <si>
    <t>EMP01,EMP02</t>
  </si>
  <si>
    <t>SUBSTITUTE(D57,"EMP","empl_")</t>
  </si>
  <si>
    <t>DataSet</t>
  </si>
  <si>
    <t>SUBSTITUTE(D58,"S","s")</t>
  </si>
  <si>
    <t>ViVo1960</t>
  </si>
  <si>
    <t>SUBSTITUTE(D59,"V","v")</t>
  </si>
  <si>
    <t>Data_Base</t>
  </si>
  <si>
    <t>SUBSTITUTE(D60,"_","")</t>
  </si>
  <si>
    <t>REPLACE(D62,3,2,"26")</t>
  </si>
  <si>
    <t>Ram</t>
  </si>
  <si>
    <t>REPLACE(D63, 1, 1, "S")</t>
  </si>
  <si>
    <t>ID_000</t>
  </si>
  <si>
    <t>REPLACE(D64, 4, 3, "999")</t>
  </si>
  <si>
    <t>Admin</t>
  </si>
  <si>
    <t>REPLACE(D65, 1, 1, "AA")</t>
  </si>
  <si>
    <t>Rs.4999</t>
  </si>
  <si>
    <t>REPLACE(D66,7, 2, "50")</t>
  </si>
  <si>
    <t>FIND("l", D68)</t>
  </si>
  <si>
    <t>c.Tutorial</t>
  </si>
  <si>
    <t>FIND(".",D69)</t>
  </si>
  <si>
    <t>TuTorial</t>
  </si>
  <si>
    <t>FIND("T", D70)</t>
  </si>
  <si>
    <t>Carrate</t>
  </si>
  <si>
    <t>FIND("r",D71)</t>
  </si>
  <si>
    <t>FIND(" ", D72)</t>
  </si>
  <si>
    <t>Vscode</t>
  </si>
  <si>
    <t>SEARCH("c", D74)</t>
  </si>
  <si>
    <t>SEARCH(":",D75)</t>
  </si>
  <si>
    <t>Empl ID</t>
  </si>
  <si>
    <t>SEARCH("I", D76)</t>
  </si>
  <si>
    <t>Orange City</t>
  </si>
  <si>
    <t>SEARCH("Ci", D77)</t>
  </si>
  <si>
    <t>Good Day</t>
  </si>
  <si>
    <t>SEARCH(" ",D78)</t>
  </si>
  <si>
    <t>CONCAT(D80,D81)</t>
  </si>
  <si>
    <t>Set</t>
  </si>
  <si>
    <t>CONCAT(D82,D83)</t>
  </si>
  <si>
    <t>ID</t>
  </si>
  <si>
    <t>CONCAT(D84,D85)</t>
  </si>
  <si>
    <t>CONCAT(D86,D87,D88)</t>
  </si>
  <si>
    <t>Recording_</t>
  </si>
  <si>
    <t>CONCAT(D89,D90)</t>
  </si>
  <si>
    <t>TEXTJOIN</t>
  </si>
  <si>
    <t>TEXTJOIN(":",TRUE,D92,D93,D94)</t>
  </si>
  <si>
    <t>P</t>
  </si>
  <si>
    <t>S</t>
  </si>
  <si>
    <t>TEXTJOIN("-",TRUE,D95,D96,D97)</t>
  </si>
  <si>
    <t>March</t>
  </si>
  <si>
    <t>YES</t>
  </si>
  <si>
    <t>TEXTJOIN("/",TRUE,D98,D99)</t>
  </si>
  <si>
    <t>NO</t>
  </si>
  <si>
    <t>TEXTJOIN("_",TRUE,D100,D101)</t>
  </si>
  <si>
    <t>Mr.</t>
  </si>
  <si>
    <t>TEXTJOIN("",TRUE,D102,D103)</t>
  </si>
  <si>
    <t>TEXT</t>
  </si>
  <si>
    <t>TEXT(D105, "#,###")</t>
  </si>
  <si>
    <t>TEXT(D10, "0.0%")</t>
  </si>
  <si>
    <t>TEXT(D107, "MMM-YY")</t>
  </si>
  <si>
    <t>TEXT(D108, "# ??/??")</t>
  </si>
  <si>
    <t>TEXT(D109, "$ 0.00")</t>
  </si>
  <si>
    <t>VALUE(D111)</t>
  </si>
  <si>
    <t>VALUE(D112)</t>
  </si>
  <si>
    <t>VALUE(D113)</t>
  </si>
  <si>
    <t>VALUE(D114)</t>
  </si>
  <si>
    <t>VALUE(D115)</t>
  </si>
  <si>
    <t>REPT</t>
  </si>
  <si>
    <t>*</t>
  </si>
  <si>
    <t>REPT(D117,D118)</t>
  </si>
  <si>
    <t>-</t>
  </si>
  <si>
    <t>REPT(D119,D120)</t>
  </si>
  <si>
    <t>Good</t>
  </si>
  <si>
    <t>REPT(D121,D122)</t>
  </si>
  <si>
    <t>REPT(D123,D124)</t>
  </si>
  <si>
    <t>Ok</t>
  </si>
  <si>
    <t>REPT(D125, D126)</t>
  </si>
  <si>
    <t>EXACT(D128,D129)</t>
  </si>
  <si>
    <t>EXACT(D130,D131)</t>
  </si>
  <si>
    <t>EXACT(D132,D133)</t>
  </si>
  <si>
    <t>EXACT(D134,D135)</t>
  </si>
  <si>
    <t>Yes</t>
  </si>
  <si>
    <t>EXACT(D136,D137)</t>
  </si>
  <si>
    <t>Ishika bhisikar</t>
  </si>
  <si>
    <t xml:space="preserve">method </t>
  </si>
  <si>
    <t>formula</t>
  </si>
  <si>
    <t>output</t>
  </si>
  <si>
    <t>high</t>
  </si>
  <si>
    <t>CONCAT(F5,E5)</t>
  </si>
  <si>
    <t>drive</t>
  </si>
  <si>
    <t>long</t>
  </si>
  <si>
    <t>CONCAT(F6,E6)</t>
  </si>
  <si>
    <t>chat</t>
  </si>
  <si>
    <t>chit-</t>
  </si>
  <si>
    <t>CONCAT(F7,E7)</t>
  </si>
  <si>
    <t>ment</t>
  </si>
  <si>
    <t>argue</t>
  </si>
  <si>
    <t>CONCAT(F8,E8)</t>
  </si>
  <si>
    <t>cooling</t>
  </si>
  <si>
    <t>thermal-</t>
  </si>
  <si>
    <t>CONCAT(F9,E9)</t>
  </si>
  <si>
    <t>LEFT(E11,2)</t>
  </si>
  <si>
    <t>Gathering</t>
  </si>
  <si>
    <t>LEFT(E12,4)</t>
  </si>
  <si>
    <t>LEFT(E13,6)</t>
  </si>
  <si>
    <t>difference</t>
  </si>
  <si>
    <t>LEFT(E14,3)</t>
  </si>
  <si>
    <t>following</t>
  </si>
  <si>
    <t>LEFT(E15,5)</t>
  </si>
  <si>
    <t>RIGHT(E17,5)</t>
  </si>
  <si>
    <t>RIGHT(E18,2)</t>
  </si>
  <si>
    <t>RIGHT(E19,3)</t>
  </si>
  <si>
    <t>RIGHT(E20,6)</t>
  </si>
  <si>
    <t>RIGHT(E21,1)</t>
  </si>
  <si>
    <t>beginning</t>
  </si>
  <si>
    <t>LEN(E23)</t>
  </si>
  <si>
    <t>formulation</t>
  </si>
  <si>
    <t>totally</t>
  </si>
  <si>
    <t>individual</t>
  </si>
  <si>
    <t>participate</t>
  </si>
  <si>
    <t>FIND("m",E29)</t>
  </si>
  <si>
    <t>Lining</t>
  </si>
  <si>
    <t>FIND("g",E30)</t>
  </si>
  <si>
    <t>Condition</t>
  </si>
  <si>
    <t>FIND("d",E31)</t>
  </si>
  <si>
    <t>Circulation</t>
  </si>
  <si>
    <t>FIND("C",E32)</t>
  </si>
  <si>
    <t>Monitor</t>
  </si>
  <si>
    <t>FIND("i",E33)</t>
  </si>
  <si>
    <t>Ashish Bonde</t>
  </si>
  <si>
    <t xml:space="preserve">Text Functions </t>
  </si>
  <si>
    <t>Hello   World</t>
  </si>
  <si>
    <t xml:space="preserve">Management         </t>
  </si>
  <si>
    <t>Ashish</t>
  </si>
  <si>
    <t>CONCAT(E20,E19)</t>
  </si>
  <si>
    <t>CONCAT(E22,E21)</t>
  </si>
  <si>
    <t xml:space="preserve">Business </t>
  </si>
  <si>
    <t>CONCAT(E23,E24)</t>
  </si>
  <si>
    <t xml:space="preserve">Bonde </t>
  </si>
  <si>
    <t>CONCAT(E25,E26)</t>
  </si>
  <si>
    <t>patil</t>
  </si>
  <si>
    <t>Photos</t>
  </si>
  <si>
    <t>CONCAT(E28,E27)</t>
  </si>
  <si>
    <t xml:space="preserve"> EXACT(E30,E31)</t>
  </si>
  <si>
    <t>EXACT(E32,E33)</t>
  </si>
  <si>
    <t>System</t>
  </si>
  <si>
    <t>EXACT(E34,E35)</t>
  </si>
  <si>
    <t>EXACT(E38,E39)</t>
  </si>
  <si>
    <t>Ashish-ARC</t>
  </si>
  <si>
    <t>FIND("A",E41)</t>
  </si>
  <si>
    <t>Hellow-World</t>
  </si>
  <si>
    <t>FIND("W",E42)</t>
  </si>
  <si>
    <t>Information-tech</t>
  </si>
  <si>
    <t>FIND("m",E43)</t>
  </si>
  <si>
    <t>Ashish-Bonde</t>
  </si>
  <si>
    <t>FIND("B",E44)</t>
  </si>
  <si>
    <t>Excel-Data</t>
  </si>
  <si>
    <t>FIND("c",E45)</t>
  </si>
  <si>
    <t>Ashish-data</t>
  </si>
  <si>
    <t>LEFT(E47,"5")</t>
  </si>
  <si>
    <t>Manage-Storage</t>
  </si>
  <si>
    <t>LEFT(E48,"10")</t>
  </si>
  <si>
    <t>Problem-Statement</t>
  </si>
  <si>
    <t>LEFT(E49,"3")</t>
  </si>
  <si>
    <t>Format-Data</t>
  </si>
  <si>
    <t>LEFT(E50,"7")</t>
  </si>
  <si>
    <t>Clean-Function</t>
  </si>
  <si>
    <t>LEFT(E51,"12")</t>
  </si>
  <si>
    <t>Hello World</t>
  </si>
  <si>
    <t>Google Photos</t>
  </si>
  <si>
    <t>Chat Gpt</t>
  </si>
  <si>
    <t>Gemini AI</t>
  </si>
  <si>
    <t>FUNCTION</t>
  </si>
  <si>
    <t>DATABASE</t>
  </si>
  <si>
    <t>FUNCTIONS</t>
  </si>
  <si>
    <t>ASHISH</t>
  </si>
  <si>
    <t>BONDE PATIL</t>
  </si>
  <si>
    <t>Storage</t>
  </si>
  <si>
    <t>Telegram</t>
  </si>
  <si>
    <t>Microsoft</t>
  </si>
  <si>
    <t>UPPER(E68)</t>
  </si>
  <si>
    <t>Instagram</t>
  </si>
  <si>
    <t>Google Storage</t>
  </si>
  <si>
    <t>REPLACE(E71,3,4,"Data")</t>
  </si>
  <si>
    <t>REPLACE(E72,5,1,"Charge")</t>
  </si>
  <si>
    <t>Microsoft Edge</t>
  </si>
  <si>
    <t>REPLACE(E73,10,4,"port")</t>
  </si>
  <si>
    <t>REPLACE(E74,7,6,"Patill")</t>
  </si>
  <si>
    <t>REPLACE(E75,5,1,"data")</t>
  </si>
  <si>
    <t>MID(E77,3,7)</t>
  </si>
  <si>
    <t>Management</t>
  </si>
  <si>
    <t>MID(E79,1,4)</t>
  </si>
  <si>
    <t>Drive</t>
  </si>
  <si>
    <t>MID(E80,2,5)</t>
  </si>
  <si>
    <t xml:space="preserve">Storage </t>
  </si>
  <si>
    <t>MID(E81,4,6)</t>
  </si>
  <si>
    <t>Bonde Patil</t>
  </si>
  <si>
    <t>RIGHT(E83,6)</t>
  </si>
  <si>
    <t>Literature Review</t>
  </si>
  <si>
    <t>RIGHT(E84,12)</t>
  </si>
  <si>
    <t>Corporate</t>
  </si>
  <si>
    <t>RIGHT(E85,7)</t>
  </si>
  <si>
    <t>RIGHT(E86,4)</t>
  </si>
  <si>
    <t>Youtube</t>
  </si>
  <si>
    <t>RIGHT(E87,4)</t>
  </si>
  <si>
    <t>SEARCH("n",E89)</t>
  </si>
  <si>
    <t>SEARCH("a",E90)</t>
  </si>
  <si>
    <t>Coconut</t>
  </si>
  <si>
    <t>SEARCH("C",E91)</t>
  </si>
  <si>
    <t>Anaconda</t>
  </si>
  <si>
    <t>SEARCH("d",E92)</t>
  </si>
  <si>
    <t>SEARCH("r",E93)</t>
  </si>
  <si>
    <t>I like Tea</t>
  </si>
  <si>
    <t>SUBSTITUTE(E95,"Tea","Coffie")</t>
  </si>
  <si>
    <t>SUBSTITUTE(E96,"Bonde","Patil")</t>
  </si>
  <si>
    <t>Business Analyst</t>
  </si>
  <si>
    <t>SUBSTITUTE(E97,"Business","Data")</t>
  </si>
  <si>
    <t>Data Management</t>
  </si>
  <si>
    <t>SUBSTITUTE(E98,"Management","Base")</t>
  </si>
  <si>
    <t>SUBSTITUTE(E99,"Orange","Nagpur")</t>
  </si>
  <si>
    <t>ANIKET MANVATE</t>
  </si>
  <si>
    <t xml:space="preserve">FIND </t>
  </si>
  <si>
    <t>ARC-ANIKET</t>
  </si>
  <si>
    <t>FIND("N",E7,4)</t>
  </si>
  <si>
    <t>DEVELOP ON TOP</t>
  </si>
  <si>
    <t>FIND("L",E8,2)</t>
  </si>
  <si>
    <t>INDIA-11</t>
  </si>
  <si>
    <t>FIND("N",E9,1)</t>
  </si>
  <si>
    <t>VIRAT-18</t>
  </si>
  <si>
    <t>FIND("R",E10,2)</t>
  </si>
  <si>
    <t>AB DE VILLIERS</t>
  </si>
  <si>
    <t>FIND("L",E11,2)</t>
  </si>
  <si>
    <t>Aniket</t>
  </si>
  <si>
    <t>EXACT(E13,E14)</t>
  </si>
  <si>
    <t>Manvate</t>
  </si>
  <si>
    <t>EXACT(E15,E16)</t>
  </si>
  <si>
    <t>Business Analytics</t>
  </si>
  <si>
    <t>method</t>
  </si>
  <si>
    <t>EXACT(E17,E18)</t>
  </si>
  <si>
    <t xml:space="preserve">Tomorrow </t>
  </si>
  <si>
    <t>EXACT(E19,E20)</t>
  </si>
  <si>
    <t>wedding</t>
  </si>
  <si>
    <t>EXACT(E21,E22)</t>
  </si>
  <si>
    <t>marriage</t>
  </si>
  <si>
    <t xml:space="preserve">I have </t>
  </si>
  <si>
    <t>CONCAT(E24,E25)</t>
  </si>
  <si>
    <t>Legpress -</t>
  </si>
  <si>
    <t>CONCAT(E26,E27)</t>
  </si>
  <si>
    <t>CONCAT(E28,E29)</t>
  </si>
  <si>
    <t xml:space="preserve">Saved to </t>
  </si>
  <si>
    <t>CONCAT(E30,E31)</t>
  </si>
  <si>
    <t xml:space="preserve">extensions </t>
  </si>
  <si>
    <t>CONCAT(E32,E33)</t>
  </si>
  <si>
    <t>LEFT(E35,4)</t>
  </si>
  <si>
    <t>Network Analysis</t>
  </si>
  <si>
    <t>LEFT(E36,5)</t>
  </si>
  <si>
    <t>Woodland 17</t>
  </si>
  <si>
    <t>LEFT(E37,4)</t>
  </si>
  <si>
    <t>Reasonable-Hai</t>
  </si>
  <si>
    <t>LEFT(E38,11)</t>
  </si>
  <si>
    <t>Arc-Aniket</t>
  </si>
  <si>
    <t>aniket Manvate</t>
  </si>
  <si>
    <t>RIGHT(E41,8)</t>
  </si>
  <si>
    <t>ARC-Classes</t>
  </si>
  <si>
    <t>RIGHT(E42,8)</t>
  </si>
  <si>
    <t>Extensions x 100</t>
  </si>
  <si>
    <t>RIGHT(E43,6)</t>
  </si>
  <si>
    <t>Egmini</t>
  </si>
  <si>
    <t>Google-Beta</t>
  </si>
  <si>
    <t>RIGHT(E45,7)</t>
  </si>
  <si>
    <t>kaisan</t>
  </si>
  <si>
    <t>Roll No. 21</t>
  </si>
  <si>
    <t>Shinchan Nohara</t>
  </si>
  <si>
    <t>LEN(E50)</t>
  </si>
  <si>
    <t>Ghardar</t>
  </si>
  <si>
    <t>Illuminati</t>
  </si>
  <si>
    <t>MID(E53,3,8)</t>
  </si>
  <si>
    <t>Session</t>
  </si>
  <si>
    <t>MID(E54,2,4)</t>
  </si>
  <si>
    <t>Strong Player</t>
  </si>
  <si>
    <t>MID(E55,4,7)</t>
  </si>
  <si>
    <t>Mind Muscle</t>
  </si>
  <si>
    <t>MID(E56,5,9)</t>
  </si>
  <si>
    <t>Understanding</t>
  </si>
  <si>
    <t>MID(E57,7,10)</t>
  </si>
  <si>
    <t>Upper Case</t>
  </si>
  <si>
    <t>REPLACE(D59,2,4,"a")</t>
  </si>
  <si>
    <t>Lower Wear</t>
  </si>
  <si>
    <t>REPLACE(E60,3,4,"321")</t>
  </si>
  <si>
    <t>2nd Attempt</t>
  </si>
  <si>
    <t>REPLACE(E61,1,8,"nike")</t>
  </si>
  <si>
    <t>Keyboard</t>
  </si>
  <si>
    <t>REPLACE(E62,4,6,"YOU")</t>
  </si>
  <si>
    <t>Stranger 18</t>
  </si>
  <si>
    <t>REPLACE(E63,8,2,"OP")</t>
  </si>
  <si>
    <t>For_what</t>
  </si>
  <si>
    <t>SEARCH("w",E65,2)</t>
  </si>
  <si>
    <t>Community</t>
  </si>
  <si>
    <t>SEARCH("n",E66,5)</t>
  </si>
  <si>
    <t>Cricket</t>
  </si>
  <si>
    <t>SEARCH("c",E67)</t>
  </si>
  <si>
    <t>DairyMilk</t>
  </si>
  <si>
    <t>SEARCH("M",E68)</t>
  </si>
  <si>
    <t>WorldWideWeb</t>
  </si>
  <si>
    <t>SEARCH("e",E69)</t>
  </si>
  <si>
    <t>CAPSLOCK</t>
  </si>
  <si>
    <t>LOWER(E71)</t>
  </si>
  <si>
    <t>TABLET</t>
  </si>
  <si>
    <t>LOWER(E72)</t>
  </si>
  <si>
    <t>LAPTOP</t>
  </si>
  <si>
    <t>LOWER(E73)</t>
  </si>
  <si>
    <t>LAST STANDOUT</t>
  </si>
  <si>
    <t>LOWER(E74)</t>
  </si>
  <si>
    <t>COMING</t>
  </si>
  <si>
    <t>LOWER(E75)</t>
  </si>
  <si>
    <t>samsung</t>
  </si>
  <si>
    <t>UPPER(E77)</t>
  </si>
  <si>
    <t>nikon</t>
  </si>
  <si>
    <t>UPPER(E78)</t>
  </si>
  <si>
    <t>mirrorless</t>
  </si>
  <si>
    <t>UPPER(E79)</t>
  </si>
  <si>
    <t>sony experia</t>
  </si>
  <si>
    <t>UPPER(E80)</t>
  </si>
  <si>
    <t>canon</t>
  </si>
  <si>
    <t>UPPER(E81)</t>
  </si>
  <si>
    <t>SUBSTITUE</t>
  </si>
  <si>
    <t>ARC = Classes</t>
  </si>
  <si>
    <t>SUBSTITUTE(E83,"Classes","Placements")</t>
  </si>
  <si>
    <t>Samsung Galaxy</t>
  </si>
  <si>
    <t>SUBSTITUTE(E84,"Samsung","MilkyWay")</t>
  </si>
  <si>
    <t>Asus Gaming</t>
  </si>
  <si>
    <t>SUBSTITUTE(E85,"Gaming","TUF Gaming")</t>
  </si>
  <si>
    <t>Explosion site</t>
  </si>
  <si>
    <t>SUBSTITUTE(E86,"Explosion","Web")</t>
  </si>
  <si>
    <t>Education Loan</t>
  </si>
  <si>
    <t>SUBSTITUTE(E87,"Education","Gold")</t>
  </si>
  <si>
    <t>SHWET DOMDE</t>
  </si>
  <si>
    <t>Method Name</t>
  </si>
  <si>
    <t>Example</t>
  </si>
  <si>
    <t>TRIM($E7)</t>
  </si>
  <si>
    <t>TRIM($E8)</t>
  </si>
  <si>
    <t xml:space="preserve">  Shwet</t>
  </si>
  <si>
    <t>Shwet</t>
  </si>
  <si>
    <t>TRIM($E9)</t>
  </si>
  <si>
    <t>Data   Analyst</t>
  </si>
  <si>
    <t>Data Analyst</t>
  </si>
  <si>
    <t>TRIM($E10)</t>
  </si>
  <si>
    <t>TRIM($E11)</t>
  </si>
  <si>
    <t xml:space="preserve">  Shwet Domde</t>
  </si>
  <si>
    <t>Shwet Domde</t>
  </si>
  <si>
    <t>PROPER($E13)</t>
  </si>
  <si>
    <t>PROPER($E14)</t>
  </si>
  <si>
    <t>PROPER($E15)</t>
  </si>
  <si>
    <t>shwet domde</t>
  </si>
  <si>
    <t>PROPER($E16)</t>
  </si>
  <si>
    <t>nagpur city</t>
  </si>
  <si>
    <t>Nagpur City</t>
  </si>
  <si>
    <t>PROPER($E17)</t>
  </si>
  <si>
    <t>machine learning</t>
  </si>
  <si>
    <t>Machine Learning</t>
  </si>
  <si>
    <t>Old Text</t>
  </si>
  <si>
    <t>New Text</t>
  </si>
  <si>
    <t>SUBSTITUTE(E19,$H$19,$I19,1)</t>
  </si>
  <si>
    <t>Apple juice</t>
  </si>
  <si>
    <t>Orange juice</t>
  </si>
  <si>
    <t>SUBSTITUTE(E20,$H$19,$I20,1)</t>
  </si>
  <si>
    <t>Banana juice</t>
  </si>
  <si>
    <t>SUBSTITUTE(E21,$H$19,$I21,1)</t>
  </si>
  <si>
    <t>strawberry juice</t>
  </si>
  <si>
    <t>SUBSTITUTE(E22,$H$19,$I22,1)</t>
  </si>
  <si>
    <t>grapes juice</t>
  </si>
  <si>
    <t>grapes</t>
  </si>
  <si>
    <t>SUBSTITUTE(E23,$H$19,$I23,1)</t>
  </si>
  <si>
    <t>mango juice</t>
  </si>
  <si>
    <t>REPT($E25,3)</t>
  </si>
  <si>
    <t>Hi</t>
  </si>
  <si>
    <t>HiHiHi</t>
  </si>
  <si>
    <t>REPT($E26,3)</t>
  </si>
  <si>
    <t>***</t>
  </si>
  <si>
    <t>REPT($E27,3)</t>
  </si>
  <si>
    <t>Excel Excel Excel</t>
  </si>
  <si>
    <t>REPT($28,3)</t>
  </si>
  <si>
    <t>AAA</t>
  </si>
  <si>
    <t>REPT($29,3)</t>
  </si>
  <si>
    <t>Go</t>
  </si>
  <si>
    <t>GoGoGo</t>
  </si>
  <si>
    <t>TEXTJOIN(",",TRUE,$E31,$E32)</t>
  </si>
  <si>
    <t>shwet</t>
  </si>
  <si>
    <t>shwet,excel</t>
  </si>
  <si>
    <t>TEXTJOIN("-",TRUE,$E33,$E34)</t>
  </si>
  <si>
    <t>TEXTJOIN(" ",TRUE,$E35,$E36)</t>
  </si>
  <si>
    <t>TEXTJOIN(",",TRUE,$E37,$E38)</t>
  </si>
  <si>
    <t>A,B</t>
  </si>
  <si>
    <t>TEXTJOIN("/",TRUE,$E39,$E40)</t>
  </si>
  <si>
    <t>CHAR($E42)</t>
  </si>
  <si>
    <t>CHAR($E43)</t>
  </si>
  <si>
    <t>CHAR($E44)</t>
  </si>
  <si>
    <t>CHAR($E45)</t>
  </si>
  <si>
    <t>CHAR($E46)</t>
  </si>
  <si>
    <t>!</t>
  </si>
  <si>
    <t>DOLLAR</t>
  </si>
  <si>
    <t>DOLLAR($E48)</t>
  </si>
  <si>
    <t>₹ 200.00</t>
  </si>
  <si>
    <t>DOLLAR($E49)</t>
  </si>
  <si>
    <t>₹ 30.00</t>
  </si>
  <si>
    <t>DOLLAR($E50)</t>
  </si>
  <si>
    <t>₹ 400.00</t>
  </si>
  <si>
    <t>DOLLAR($E51)</t>
  </si>
  <si>
    <t>₹ 2,000.00</t>
  </si>
  <si>
    <t>DOLLAR($E52)</t>
  </si>
  <si>
    <t>₹ 1,000.00</t>
  </si>
  <si>
    <t>FIXED</t>
  </si>
  <si>
    <t>FIXED($E54,2)</t>
  </si>
  <si>
    <t>FIXED($E55,1)</t>
  </si>
  <si>
    <t>FIXED($E56,0)</t>
  </si>
  <si>
    <t>FIXED($E57,2)</t>
  </si>
  <si>
    <t>FIXED($E58,2)</t>
  </si>
  <si>
    <t>TEXT BEFORE</t>
  </si>
  <si>
    <t>TEXTBEFORE($E60,"-")</t>
  </si>
  <si>
    <t>shwet-Arc</t>
  </si>
  <si>
    <t>TEXTBEFORE(E61,",")</t>
  </si>
  <si>
    <t>apple,mango</t>
  </si>
  <si>
    <t>TEXTBEFORE(E62," ")</t>
  </si>
  <si>
    <t>helllo world</t>
  </si>
  <si>
    <t>helllo</t>
  </si>
  <si>
    <t>TEXTBEFORE($E63,"-")</t>
  </si>
  <si>
    <t>TEXTBEFORE($E64,"-")</t>
  </si>
  <si>
    <t>Business-Analyst</t>
  </si>
  <si>
    <t>UNICHAR</t>
  </si>
  <si>
    <t>UNICHAR($E66)</t>
  </si>
  <si>
    <t>☃</t>
  </si>
  <si>
    <t>UNICHAR($E67)</t>
  </si>
  <si>
    <t>★</t>
  </si>
  <si>
    <t>UNICHAR($E68)</t>
  </si>
  <si>
    <t>☇</t>
  </si>
  <si>
    <t>UNICHAR($E69)</t>
  </si>
  <si>
    <t>♒</t>
  </si>
  <si>
    <t>UNICHAR($E70)</t>
  </si>
  <si>
    <t>♪</t>
  </si>
  <si>
    <t>UNICHAR($E71)</t>
  </si>
  <si>
    <t>♴</t>
  </si>
  <si>
    <t>No.</t>
  </si>
  <si>
    <t>Input 1</t>
  </si>
  <si>
    <t>Input 2</t>
  </si>
  <si>
    <t>Join/CONCAT</t>
  </si>
  <si>
    <t>Free</t>
  </si>
  <si>
    <t>Kick</t>
  </si>
  <si>
    <t>Free-Kick</t>
  </si>
  <si>
    <t>CONCAT(G8,"-",H8)</t>
  </si>
  <si>
    <t>FIFA World</t>
  </si>
  <si>
    <t>Cup 2026</t>
  </si>
  <si>
    <t>FIFA World Cup 2026</t>
  </si>
  <si>
    <t>CONCAT(G9," ",H9)</t>
  </si>
  <si>
    <t>Mandala</t>
  </si>
  <si>
    <t>Pattern</t>
  </si>
  <si>
    <t>Mandala Pattern</t>
  </si>
  <si>
    <t>CONCAT(G10," ",H10)</t>
  </si>
  <si>
    <t>Barce</t>
  </si>
  <si>
    <t>lona</t>
  </si>
  <si>
    <t>Barcelona</t>
  </si>
  <si>
    <t>CONCAT(G11,H11)</t>
  </si>
  <si>
    <t>8 Ballon</t>
  </si>
  <si>
    <t>D'ors</t>
  </si>
  <si>
    <t>8 Ballon D'ors</t>
  </si>
  <si>
    <t>CONCAT(G12," ",H12)</t>
  </si>
  <si>
    <t>TOTAL</t>
  </si>
  <si>
    <t>total</t>
  </si>
  <si>
    <t>EXACT(G14,H14)</t>
  </si>
  <si>
    <t>SUPER CELL</t>
  </si>
  <si>
    <t>SUPeR cELL</t>
  </si>
  <si>
    <t>EXACT(G15,H15)</t>
  </si>
  <si>
    <t>SAJANKA</t>
  </si>
  <si>
    <t>SajanKA</t>
  </si>
  <si>
    <t>EXACT(G16,H16)</t>
  </si>
  <si>
    <t>blastoyz</t>
  </si>
  <si>
    <t>Blastoyz</t>
  </si>
  <si>
    <t>EXACT(G17,H17)</t>
  </si>
  <si>
    <t>ApPLe</t>
  </si>
  <si>
    <t>EXACT(G18,H18)</t>
  </si>
  <si>
    <t>Misunderstand</t>
  </si>
  <si>
    <t>FIND("d",G20,"7")</t>
  </si>
  <si>
    <t>BlackJack</t>
  </si>
  <si>
    <t>FIND("J",G21,"2")</t>
  </si>
  <si>
    <t>Fullmetal</t>
  </si>
  <si>
    <t>FIND("e",G22,"2")</t>
  </si>
  <si>
    <t>Movie-Night</t>
  </si>
  <si>
    <t>FIND("i",G23,"2")</t>
  </si>
  <si>
    <t>SpiderMan</t>
  </si>
  <si>
    <t>FIND("M",G24,"6")</t>
  </si>
  <si>
    <t>Demonslayer</t>
  </si>
  <si>
    <t>Demons</t>
  </si>
  <si>
    <t>LEFT(G26,"6")</t>
  </si>
  <si>
    <t>Nag</t>
  </si>
  <si>
    <t>LEFT(G27,"3")</t>
  </si>
  <si>
    <t>Sincity</t>
  </si>
  <si>
    <t>Sin</t>
  </si>
  <si>
    <t>LEFT(G28,"3")</t>
  </si>
  <si>
    <t>Code</t>
  </si>
  <si>
    <t>Cod</t>
  </si>
  <si>
    <t>LEFT(G29,"3")</t>
  </si>
  <si>
    <t>Drip report</t>
  </si>
  <si>
    <t>Drip re</t>
  </si>
  <si>
    <t>LEFT(G30,"7")</t>
  </si>
  <si>
    <t>knd</t>
  </si>
  <si>
    <t>RIGHT(G32,"3")</t>
  </si>
  <si>
    <t>understand</t>
  </si>
  <si>
    <t>stand</t>
  </si>
  <si>
    <t>RIGHT(G33,"5")</t>
  </si>
  <si>
    <t>Beautiful</t>
  </si>
  <si>
    <t>iful</t>
  </si>
  <si>
    <t>RIGHT(G34,"4")</t>
  </si>
  <si>
    <t>casting</t>
  </si>
  <si>
    <t>sting</t>
  </si>
  <si>
    <t>RIGHT(G35,"5")</t>
  </si>
  <si>
    <t>SamSung</t>
  </si>
  <si>
    <t>Sung</t>
  </si>
  <si>
    <t>RIGHT(G36,"4")</t>
  </si>
  <si>
    <t>Length</t>
  </si>
  <si>
    <t>LEN(G38)</t>
  </si>
  <si>
    <t>Utkarsh Borkar</t>
  </si>
  <si>
    <t>LEN(G39)</t>
  </si>
  <si>
    <t>Conditional</t>
  </si>
  <si>
    <t>LEN(G40)</t>
  </si>
  <si>
    <t>Disappointment</t>
  </si>
  <si>
    <t>LEN(G41)</t>
  </si>
  <si>
    <t>Emotional</t>
  </si>
  <si>
    <t>LEN(G42)</t>
  </si>
  <si>
    <t>Transparent</t>
  </si>
  <si>
    <t>aren</t>
  </si>
  <si>
    <t>MID(G44,7,4)</t>
  </si>
  <si>
    <t>Messi</t>
  </si>
  <si>
    <t>si</t>
  </si>
  <si>
    <t>MID(G45,4,2)</t>
  </si>
  <si>
    <t>Induction</t>
  </si>
  <si>
    <t>Induct</t>
  </si>
  <si>
    <t>MID(G46,1,6)</t>
  </si>
  <si>
    <t>Apology</t>
  </si>
  <si>
    <t>polo</t>
  </si>
  <si>
    <t>MID(G47,2,4)</t>
  </si>
  <si>
    <t>ate</t>
  </si>
  <si>
    <t>MID(G48,2,3)</t>
  </si>
  <si>
    <t>rYaN</t>
  </si>
  <si>
    <t>Ryan</t>
  </si>
  <si>
    <t>PROPER(G50)</t>
  </si>
  <si>
    <t>sUIT</t>
  </si>
  <si>
    <t>Suit</t>
  </si>
  <si>
    <t>PROPER(G51)</t>
  </si>
  <si>
    <t>NICE</t>
  </si>
  <si>
    <t>Nice</t>
  </si>
  <si>
    <t>PROPER(G52)</t>
  </si>
  <si>
    <t>SOLo</t>
  </si>
  <si>
    <t>Solo</t>
  </si>
  <si>
    <t>PROPER(G53)</t>
  </si>
  <si>
    <t>dreamer</t>
  </si>
  <si>
    <t>Dreamer</t>
  </si>
  <si>
    <t>PROPER(G54)</t>
  </si>
  <si>
    <t>Stone</t>
  </si>
  <si>
    <t>Stand</t>
  </si>
  <si>
    <t>REPLACE(G56,3,3,"and")</t>
  </si>
  <si>
    <t>Master</t>
  </si>
  <si>
    <t>Mister</t>
  </si>
  <si>
    <t>REPLACE(G57,2,1,"i")</t>
  </si>
  <si>
    <t>SuperMan</t>
  </si>
  <si>
    <t>REPLACE(G58,2,2,"pid")</t>
  </si>
  <si>
    <t>Goofy</t>
  </si>
  <si>
    <t>Luffy</t>
  </si>
  <si>
    <t>REPLACE(G59,1,3,"Luf")</t>
  </si>
  <si>
    <t>utkarsh7020</t>
  </si>
  <si>
    <t>utkarsh9626</t>
  </si>
  <si>
    <t>REPLACE(G60,8,4,"9626")</t>
  </si>
  <si>
    <t>DIARY</t>
  </si>
  <si>
    <t>diary</t>
  </si>
  <si>
    <t>LOWER(G62)</t>
  </si>
  <si>
    <t>DISTANCE</t>
  </si>
  <si>
    <t>distance</t>
  </si>
  <si>
    <t>LOWER(G63)</t>
  </si>
  <si>
    <t>DROPOUT</t>
  </si>
  <si>
    <t>dropout</t>
  </si>
  <si>
    <t>LOWER(G64)</t>
  </si>
  <si>
    <t>SANtA MoniCA</t>
  </si>
  <si>
    <t>santa monica</t>
  </si>
  <si>
    <t>LOWER(G65)</t>
  </si>
  <si>
    <t>deMand</t>
  </si>
  <si>
    <t>demand</t>
  </si>
  <si>
    <t>LOWER(G66)</t>
  </si>
  <si>
    <t>remaining</t>
  </si>
  <si>
    <t>REMAINING</t>
  </si>
  <si>
    <t>UPPER(G68)</t>
  </si>
  <si>
    <t>accessiblity</t>
  </si>
  <si>
    <t>ACCESSIBLITY</t>
  </si>
  <si>
    <t>UPPER(G69)</t>
  </si>
  <si>
    <t>subzero</t>
  </si>
  <si>
    <t>SUBZERO</t>
  </si>
  <si>
    <t>UPPER(G70)</t>
  </si>
  <si>
    <t>legendary</t>
  </si>
  <si>
    <t>LEGENDARY</t>
  </si>
  <si>
    <t>UPPER(G71)</t>
  </si>
  <si>
    <t>induction motor</t>
  </si>
  <si>
    <t>INDUCTION MOTOR</t>
  </si>
  <si>
    <t>UPPER(G72)</t>
  </si>
  <si>
    <t>BaNana</t>
  </si>
  <si>
    <t>SEARCH("n",G74,1)</t>
  </si>
  <si>
    <t>start UP</t>
  </si>
  <si>
    <t>SEARCH("u",G75,3)</t>
  </si>
  <si>
    <t>SeamLess</t>
  </si>
  <si>
    <t>SEARCH("m",G76,5)</t>
  </si>
  <si>
    <t>Unforgetable</t>
  </si>
  <si>
    <t>SEARCH("e",G77,9)</t>
  </si>
  <si>
    <t>MindHunter</t>
  </si>
  <si>
    <t>SEARCH("n",G78,6)</t>
  </si>
  <si>
    <t>2026-2027</t>
  </si>
  <si>
    <t>2025-2027</t>
  </si>
  <si>
    <t>SUBSTITUTE(G80,"2026","2025",1)</t>
  </si>
  <si>
    <t>Fit-kick</t>
  </si>
  <si>
    <t>Free-kick</t>
  </si>
  <si>
    <t>SUBSTITUTE(G81,"Fit","Free",1)</t>
  </si>
  <si>
    <t>Water Melon</t>
  </si>
  <si>
    <t>Musk Melon</t>
  </si>
  <si>
    <t>SUBSTITUTE(G82,"Water","Musk",1)</t>
  </si>
  <si>
    <t>Ryan Reynolds</t>
  </si>
  <si>
    <t>Ryan Ramteke</t>
  </si>
  <si>
    <t>SUBSTITUTE(G83,"Reynolds","Ramteke",1)</t>
  </si>
  <si>
    <t>Super Sub</t>
  </si>
  <si>
    <t>Super Ball</t>
  </si>
  <si>
    <t>SUBSTITUTE(G84,"Sub","Ball",1)</t>
  </si>
  <si>
    <t>Utkarsh</t>
  </si>
  <si>
    <t>Maharastra</t>
  </si>
  <si>
    <t>Utkarsh, Maharastra</t>
  </si>
  <si>
    <t>TEXTJOIN(", ",TRUE,G86,H86)</t>
  </si>
  <si>
    <t>Sirpur</t>
  </si>
  <si>
    <t>Chhattisgarh</t>
  </si>
  <si>
    <t>Sirpur, Chhattisgarh</t>
  </si>
  <si>
    <t>TEXTJOIN(", ",TRUE,G87,H87)</t>
  </si>
  <si>
    <t>Beds</t>
  </si>
  <si>
    <t>Table, Beds, Pillows, Sofas</t>
  </si>
  <si>
    <t>TEXTJOIN(", ",TRUE,G88,H88,G89,H89)</t>
  </si>
  <si>
    <t>Pillows</t>
  </si>
  <si>
    <t>Sofas</t>
  </si>
  <si>
    <t>Trim, MID, Find, Left</t>
  </si>
  <si>
    <t>TEXTJOIN(", ",TRUE,E94,E44,E20,E26)</t>
  </si>
  <si>
    <t>Utkarsh, Ryan, Aman, Sanket</t>
  </si>
  <si>
    <t>TEXTJOIN(", ",TRUE,G91,H91,G92,H92)</t>
  </si>
  <si>
    <t>Aman</t>
  </si>
  <si>
    <t>Sanket</t>
  </si>
  <si>
    <t>Mango Shake</t>
  </si>
  <si>
    <t>TRIM(G94)</t>
  </si>
  <si>
    <t>Lamine Yamal</t>
  </si>
  <si>
    <t>TRIM(G95)</t>
  </si>
  <si>
    <t>Incredible</t>
  </si>
  <si>
    <t>TRIM(G96)</t>
  </si>
  <si>
    <t>Slim</t>
  </si>
  <si>
    <t>Shady</t>
  </si>
  <si>
    <t>SlimShady</t>
  </si>
  <si>
    <t>TRIM(G97&amp;H97)</t>
  </si>
  <si>
    <t>good</t>
  </si>
  <si>
    <t>bye</t>
  </si>
  <si>
    <t>goodbye</t>
  </si>
  <si>
    <t>TRIM(G98&amp;H98)</t>
  </si>
  <si>
    <t>Fixed</t>
  </si>
  <si>
    <t>FIXED(523.5968,2,TRUE)</t>
  </si>
  <si>
    <t>FIXED(98745.35476,1,TRUE)</t>
  </si>
  <si>
    <t>78,95,25,675</t>
  </si>
  <si>
    <t>FIXED(78,1,TRUE)</t>
  </si>
  <si>
    <t>T</t>
  </si>
  <si>
    <t>T(G106)</t>
  </si>
  <si>
    <t>T(G107)</t>
  </si>
  <si>
    <t>Cleanest city Nagpur</t>
  </si>
  <si>
    <t>T(G108)</t>
  </si>
  <si>
    <t>T(G109)</t>
  </si>
  <si>
    <t>Sunflower blooming</t>
  </si>
  <si>
    <t>T(G110)</t>
  </si>
  <si>
    <t>Today is Sunday</t>
  </si>
  <si>
    <t>"Today is "&amp;TEXT(G113,"dddd")</t>
  </si>
  <si>
    <t>TEXT(G114,"000000")</t>
  </si>
  <si>
    <t>TEXT(G115,"0%")</t>
  </si>
  <si>
    <t>$5,69,321</t>
  </si>
  <si>
    <t>TEXT(G116,"$#,##0")</t>
  </si>
  <si>
    <t>TEXT(G117,"MMMM")</t>
  </si>
  <si>
    <t>REPT("*",G119)</t>
  </si>
  <si>
    <t>REPT("0",3)&amp;G120</t>
  </si>
  <si>
    <t>7 I 0000</t>
  </si>
  <si>
    <t>"7 I "&amp;REPT("0",G121)</t>
  </si>
  <si>
    <t>--------------------</t>
  </si>
  <si>
    <t>REPT("-",G122)</t>
  </si>
  <si>
    <t>CHAR(107)</t>
  </si>
  <si>
    <t>CHAR(114)</t>
  </si>
  <si>
    <t>CHAR(117)</t>
  </si>
  <si>
    <t>CHAR(110)</t>
  </si>
  <si>
    <t>CHAR(97)</t>
  </si>
  <si>
    <t>CHAR(108)</t>
  </si>
  <si>
    <t>krunal</t>
  </si>
  <si>
    <t>kopare</t>
  </si>
  <si>
    <t>CONCAT(E12,F12)</t>
  </si>
  <si>
    <t>D30</t>
  </si>
  <si>
    <t>CONCAT(E13,F13)</t>
  </si>
  <si>
    <t>JOIN(E14,F14)</t>
  </si>
  <si>
    <t>JOIN(E14,F14,F15)</t>
  </si>
  <si>
    <t>XYZ</t>
  </si>
  <si>
    <t>krunal   kopare</t>
  </si>
  <si>
    <t>CLEAN
(18)</t>
  </si>
  <si>
    <t xml:space="preserve">krunal  </t>
  </si>
  <si>
    <t xml:space="preserve">ARC -D30                     </t>
  </si>
  <si>
    <t>-D30</t>
  </si>
  <si>
    <t>KRUNAL-D30</t>
  </si>
  <si>
    <t>LEFT(E24,(5))</t>
  </si>
  <si>
    <t>LEFT(E24,(4))</t>
  </si>
  <si>
    <t>LEFT(E24,(6))</t>
  </si>
  <si>
    <t>LEFT(E24,(7))</t>
  </si>
  <si>
    <t>LEFT(E24,(8))</t>
  </si>
  <si>
    <t>LEFT(E24,(10))</t>
  </si>
  <si>
    <t>RIGHT(E31,(2))</t>
  </si>
  <si>
    <t>DIVYANI</t>
  </si>
  <si>
    <t>CONCAT(D6,D5)</t>
  </si>
  <si>
    <t>City</t>
  </si>
  <si>
    <t>SEMI</t>
  </si>
  <si>
    <t>CONCAT(D8,D7)</t>
  </si>
  <si>
    <t>FINAL</t>
  </si>
  <si>
    <t>A1</t>
  </si>
  <si>
    <t>CONCAT(D10,D9)</t>
  </si>
  <si>
    <t>B2</t>
  </si>
  <si>
    <t xml:space="preserve">Newyork </t>
  </si>
  <si>
    <t>CONCAT(D12,D11)</t>
  </si>
  <si>
    <t>HELLO</t>
  </si>
  <si>
    <t>name</t>
  </si>
  <si>
    <t>CONCAT(D14,D13)</t>
  </si>
  <si>
    <t>address</t>
  </si>
  <si>
    <t>password</t>
  </si>
  <si>
    <t>LEN(D16)</t>
  </si>
  <si>
    <t>LEN(emptytext)</t>
  </si>
  <si>
    <t>a b c</t>
  </si>
  <si>
    <t>LEN(D18)</t>
  </si>
  <si>
    <t>div@gmail.com</t>
  </si>
  <si>
    <t>len(D19)</t>
  </si>
  <si>
    <t>arc2026</t>
  </si>
  <si>
    <t>len(D20)</t>
  </si>
  <si>
    <t>UPPER(D22)</t>
  </si>
  <si>
    <t>arc1@gmail.com</t>
  </si>
  <si>
    <t>UPPER(D23)</t>
  </si>
  <si>
    <t>state code:ca</t>
  </si>
  <si>
    <t>UPPER(D24)</t>
  </si>
  <si>
    <t>UPPER(D25)</t>
  </si>
  <si>
    <t>UPPER(D26)</t>
  </si>
  <si>
    <t>LOWER(D28)</t>
  </si>
  <si>
    <t>NEWTASK</t>
  </si>
  <si>
    <t>LOWER(D29)</t>
  </si>
  <si>
    <t>iD</t>
  </si>
  <si>
    <t>LOWER(D30)</t>
  </si>
  <si>
    <t>LOWER(D31)</t>
  </si>
  <si>
    <t>ARCtech</t>
  </si>
  <si>
    <t>LOWER(D32)</t>
  </si>
  <si>
    <t>img,JPG</t>
  </si>
  <si>
    <t>LEFT(D34)</t>
  </si>
  <si>
    <t>LEFT(D35)</t>
  </si>
  <si>
    <t>LEFT(D36)</t>
  </si>
  <si>
    <t>img</t>
  </si>
  <si>
    <t>LEFT(D38,D39)</t>
  </si>
  <si>
    <t>img,JPG,1</t>
  </si>
  <si>
    <t>RIGHT(D42)</t>
  </si>
  <si>
    <t>orangecity</t>
  </si>
  <si>
    <t>RIGHT(D43,D44)</t>
  </si>
  <si>
    <t>csv6</t>
  </si>
  <si>
    <t>RIGHT(D45)</t>
  </si>
  <si>
    <t>blank-table</t>
  </si>
  <si>
    <t>RIGHT(D47,D48)</t>
  </si>
  <si>
    <t>Apple-fruit,5</t>
  </si>
  <si>
    <t>RIGHT(D49)</t>
  </si>
  <si>
    <t xml:space="preserve"> School</t>
  </si>
  <si>
    <t>CLEAN(D51)</t>
  </si>
  <si>
    <t>pen</t>
  </si>
  <si>
    <t>google</t>
  </si>
  <si>
    <t>worksheet</t>
  </si>
  <si>
    <t>hello</t>
  </si>
  <si>
    <t>middleeast</t>
  </si>
  <si>
    <t>MID(D57,3,4)</t>
  </si>
  <si>
    <t>MID(D60,D61,D62</t>
  </si>
  <si>
    <t>gmail</t>
  </si>
  <si>
    <t>MID(D63,D64,D65)</t>
  </si>
  <si>
    <t>projecttask</t>
  </si>
  <si>
    <t>MID(D66,D67,D68)</t>
  </si>
  <si>
    <t>work book sheet</t>
  </si>
  <si>
    <t>MID(D69,D70,D71)</t>
  </si>
  <si>
    <t>content tracker</t>
  </si>
  <si>
    <t>FIND("r",D72,2)</t>
  </si>
  <si>
    <t>FIND("w",D74,1)</t>
  </si>
  <si>
    <t>task</t>
  </si>
  <si>
    <t>FIND("a",D76,2)</t>
  </si>
  <si>
    <t>FIND("t",D77,1)</t>
  </si>
  <si>
    <t>FIND("k",D78)</t>
  </si>
  <si>
    <t>TRIM(D80)</t>
  </si>
  <si>
    <t xml:space="preserve">   gudi-padwa</t>
  </si>
  <si>
    <t>TRIM(D81)</t>
  </si>
  <si>
    <t>new    year</t>
  </si>
  <si>
    <t>TRIM(D82)</t>
  </si>
  <si>
    <t>data     analyst</t>
  </si>
  <si>
    <t>TRIM(D83)</t>
  </si>
  <si>
    <t>TRIM(D84)</t>
  </si>
  <si>
    <t>tcs</t>
  </si>
  <si>
    <t>EXACT(D86,D87)</t>
  </si>
  <si>
    <t>KIA</t>
  </si>
  <si>
    <t>EXACT(D88,D89)</t>
  </si>
  <si>
    <t>Innova</t>
  </si>
  <si>
    <t>EXACT(D90,D91)</t>
  </si>
  <si>
    <t>innovA</t>
  </si>
  <si>
    <t>EXACT(D92,D93)</t>
  </si>
  <si>
    <t>fisH</t>
  </si>
  <si>
    <t>EXACT(D94,D95)</t>
  </si>
  <si>
    <t>SUBSTITUDE</t>
  </si>
  <si>
    <t>Webdeveloper</t>
  </si>
  <si>
    <t>cooler</t>
  </si>
  <si>
    <t>fan</t>
  </si>
  <si>
    <t>Savez Khan</t>
  </si>
  <si>
    <t>Sr No</t>
  </si>
  <si>
    <t>CONCAT(C4,C5)</t>
  </si>
  <si>
    <t>Rival</t>
  </si>
  <si>
    <t>CONCAT(C6,C7)</t>
  </si>
  <si>
    <t>jelly</t>
  </si>
  <si>
    <t>CONCAT(C8,C9)</t>
  </si>
  <si>
    <t>MOON</t>
  </si>
  <si>
    <t>CONCAT(C10,C11)</t>
  </si>
  <si>
    <t>LIGHT</t>
  </si>
  <si>
    <t>WALL</t>
  </si>
  <si>
    <t>CONCAT(C12,C13)</t>
  </si>
  <si>
    <t>PAPER</t>
  </si>
  <si>
    <t>BODYGUARD</t>
  </si>
  <si>
    <t>REPLACE(C16,1,5,"T")</t>
  </si>
  <si>
    <t>ANYWAY</t>
  </si>
  <si>
    <t>REPLACE(C17,2,5,"S")</t>
  </si>
  <si>
    <t>NOISEMAKER</t>
  </si>
  <si>
    <t>REPLACE(C18,3,2,"D")</t>
  </si>
  <si>
    <t>FISHPOND</t>
  </si>
  <si>
    <t>REPLACE(C19,2,3,"H")</t>
  </si>
  <si>
    <t>BYPASS</t>
  </si>
  <si>
    <t>REPLACE(C20,1,2,"M")</t>
  </si>
  <si>
    <t>KEYWAY</t>
  </si>
  <si>
    <t>LEN(C23)</t>
  </si>
  <si>
    <t>EARRING</t>
  </si>
  <si>
    <t>LEN(C24)</t>
  </si>
  <si>
    <t>BEDROCK</t>
  </si>
  <si>
    <t>LEN(C25)</t>
  </si>
  <si>
    <t>BANKROLL</t>
  </si>
  <si>
    <t>LEN(C26)</t>
  </si>
  <si>
    <t>CREW</t>
  </si>
  <si>
    <t>LEN(C27)</t>
  </si>
  <si>
    <t>low</t>
  </si>
  <si>
    <t>UPPER(C30)</t>
  </si>
  <si>
    <t>soft</t>
  </si>
  <si>
    <t>UPPER(C31)</t>
  </si>
  <si>
    <t>back</t>
  </si>
  <si>
    <t>UPPER(32)</t>
  </si>
  <si>
    <t>UPPER(33)</t>
  </si>
  <si>
    <t>tall</t>
  </si>
  <si>
    <t>UPPER(34)</t>
  </si>
  <si>
    <t>IN</t>
  </si>
  <si>
    <t>LOWER(C37)</t>
  </si>
  <si>
    <t>OUT</t>
  </si>
  <si>
    <t>LOWER(C38)</t>
  </si>
  <si>
    <t>PUT</t>
  </si>
  <si>
    <t>LOWER(C39)</t>
  </si>
  <si>
    <t>CAR</t>
  </si>
  <si>
    <t>LOWER(C40)</t>
  </si>
  <si>
    <t>AIR</t>
  </si>
  <si>
    <t>LOWER(C41)</t>
  </si>
  <si>
    <t>DOWN</t>
  </si>
  <si>
    <t>MID(C44,1,2)</t>
  </si>
  <si>
    <t>UNDER</t>
  </si>
  <si>
    <t>MID(C45,1,3)</t>
  </si>
  <si>
    <t xml:space="preserve">DRIVE </t>
  </si>
  <si>
    <t>MID(C46,2,4)</t>
  </si>
  <si>
    <t>DRUM</t>
  </si>
  <si>
    <t>MID(C47,2,3)</t>
  </si>
  <si>
    <t>EAR</t>
  </si>
  <si>
    <t>MID(C48,1,3)</t>
  </si>
  <si>
    <t>EYELID</t>
  </si>
  <si>
    <t>RIGHT(C51,3)</t>
  </si>
  <si>
    <t>FIRE</t>
  </si>
  <si>
    <t>RIGHT(C52,2)</t>
  </si>
  <si>
    <t>HOUSE</t>
  </si>
  <si>
    <t>RIGHT(C53,1)</t>
  </si>
  <si>
    <t>FIGHTER</t>
  </si>
  <si>
    <t>RIGHT(C54,5)</t>
  </si>
  <si>
    <t>SHELL</t>
  </si>
  <si>
    <t>RIGHT(C55,2)</t>
  </si>
  <si>
    <t>NACKLACE</t>
  </si>
  <si>
    <t>LEFT(C58,4)</t>
  </si>
  <si>
    <t>FOOTBALL</t>
  </si>
  <si>
    <t>LEFT(C59,5)</t>
  </si>
  <si>
    <t>SCREDRIVER</t>
  </si>
  <si>
    <t>LEFT(C60,3)</t>
  </si>
  <si>
    <t>WRISTWATCH</t>
  </si>
  <si>
    <t>LEFT(C61,6)</t>
  </si>
  <si>
    <t>STRAWBERRY</t>
  </si>
  <si>
    <t>LEFT(C62,7)</t>
  </si>
  <si>
    <t>BEFORE</t>
  </si>
  <si>
    <t>FIND("E",C65)</t>
  </si>
  <si>
    <t>AFTER</t>
  </si>
  <si>
    <t>FIND("T",C66)</t>
  </si>
  <si>
    <t>WHILE</t>
  </si>
  <si>
    <t>FIND("I",C67)</t>
  </si>
  <si>
    <t>HOWEVER</t>
  </si>
  <si>
    <t>FIND("V",C68)</t>
  </si>
  <si>
    <t>DESPITE</t>
  </si>
  <si>
    <t>FIND("S",C69)</t>
  </si>
  <si>
    <t>THEN</t>
  </si>
  <si>
    <t>EXACT(C72,C73)</t>
  </si>
  <si>
    <t>then</t>
  </si>
  <si>
    <t>EXACT(C74,C75)</t>
  </si>
  <si>
    <t>BUT</t>
  </si>
  <si>
    <t>EXACT(C76,C77)</t>
  </si>
  <si>
    <t>But</t>
  </si>
  <si>
    <t>also</t>
  </si>
  <si>
    <t>EXACT(C78,C79)</t>
  </si>
  <si>
    <t>Also</t>
  </si>
  <si>
    <t>wheN</t>
  </si>
  <si>
    <t>EXACT(C80,81)</t>
  </si>
  <si>
    <t>When</t>
  </si>
  <si>
    <t>OPINION</t>
  </si>
  <si>
    <t>CLEAN(C84)</t>
  </si>
  <si>
    <t>PURPOSE</t>
  </si>
  <si>
    <t>CLEAN(C85)</t>
  </si>
  <si>
    <t>ADDING</t>
  </si>
  <si>
    <t>CLEAN(C86)</t>
  </si>
  <si>
    <t>CHOICE</t>
  </si>
  <si>
    <t>CLEAN(C87)</t>
  </si>
  <si>
    <t>EXPLAIN</t>
  </si>
  <si>
    <t>CLEAN(C88)</t>
  </si>
  <si>
    <t>business analyst</t>
  </si>
  <si>
    <t>PROPER($C91)</t>
  </si>
  <si>
    <t>demi louise</t>
  </si>
  <si>
    <t>PROPER($C92)</t>
  </si>
  <si>
    <t>lily may</t>
  </si>
  <si>
    <t>PROPER($C93)</t>
  </si>
  <si>
    <t>isla ann</t>
  </si>
  <si>
    <t>PROPER($C94)</t>
  </si>
  <si>
    <t>james dean</t>
  </si>
  <si>
    <t>PROPER($C95)</t>
  </si>
  <si>
    <t>Sr no.</t>
  </si>
  <si>
    <t xml:space="preserve">Microstip </t>
  </si>
  <si>
    <t>Antenna</t>
  </si>
  <si>
    <t>Electronics</t>
  </si>
  <si>
    <t>Telecomm</t>
  </si>
  <si>
    <t>Nike</t>
  </si>
  <si>
    <t>Shoes</t>
  </si>
  <si>
    <t>Inception</t>
  </si>
  <si>
    <t>degrees</t>
  </si>
  <si>
    <t>CLEAN(E11)</t>
  </si>
  <si>
    <t>Password123</t>
  </si>
  <si>
    <t>password123</t>
  </si>
  <si>
    <t>EXACT(C17,D17)</t>
  </si>
  <si>
    <t>Blue Sky</t>
  </si>
  <si>
    <t>EXACT(C18,D18)</t>
  </si>
  <si>
    <t>EXACT(C19,D19)</t>
  </si>
  <si>
    <t>EXACT(C20,D20)</t>
  </si>
  <si>
    <t>Coffee</t>
  </si>
  <si>
    <t>EXACT(C21,D21)</t>
  </si>
  <si>
    <t>FIND("r",E23)</t>
  </si>
  <si>
    <t>Firefighter</t>
  </si>
  <si>
    <t>FIND("fight",E24)</t>
  </si>
  <si>
    <t>MacBook Pro</t>
  </si>
  <si>
    <t>FIND("P",E25)</t>
  </si>
  <si>
    <t>Golden Gate</t>
  </si>
  <si>
    <t>FIND("e",E26)</t>
  </si>
  <si>
    <t>1024-ABC</t>
  </si>
  <si>
    <t>FIND("-",E27)</t>
  </si>
  <si>
    <t>Basketball</t>
  </si>
  <si>
    <t>LEFT(E29,6)</t>
  </si>
  <si>
    <t>Sunlight</t>
  </si>
  <si>
    <t>LEFT(E30,6)</t>
  </si>
  <si>
    <t>2026-Project</t>
  </si>
  <si>
    <t>LEFT(E31,4)</t>
  </si>
  <si>
    <t>LEFT(E32,6)</t>
  </si>
  <si>
    <t>LEFT(E33,1)</t>
  </si>
  <si>
    <t>RIGHT(E35,5)</t>
  </si>
  <si>
    <t>RIGHT(E36,7)</t>
  </si>
  <si>
    <t>Report-2026</t>
  </si>
  <si>
    <t>RIGHT(E37,4)</t>
  </si>
  <si>
    <t>Coffee Cup</t>
  </si>
  <si>
    <t>RIGHT(E38,3)</t>
  </si>
  <si>
    <t>Product_ID_99</t>
  </si>
  <si>
    <t>RIGHT(E39,2)</t>
  </si>
  <si>
    <t>MID(E41,3,3)</t>
  </si>
  <si>
    <t>MID(E42,1,5)</t>
  </si>
  <si>
    <t>ID-9988-XY</t>
  </si>
  <si>
    <t>MID(E43,4,2)</t>
  </si>
  <si>
    <t>Amazing Day</t>
  </si>
  <si>
    <t>MID(E44,4,4)</t>
  </si>
  <si>
    <t>MID(E45,3,3)</t>
  </si>
  <si>
    <t>Sky</t>
  </si>
  <si>
    <t>Blueberry</t>
  </si>
  <si>
    <t>Pizza Party</t>
  </si>
  <si>
    <t>ID-456</t>
  </si>
  <si>
    <t>123 456</t>
  </si>
  <si>
    <t>REPLACE(E53,1,6,"Soft")</t>
  </si>
  <si>
    <t>Pizza-2024</t>
  </si>
  <si>
    <t>REPLACE(E54,7,4,"2026")</t>
  </si>
  <si>
    <t>Model-A</t>
  </si>
  <si>
    <t>REPLACE(E55,7,1,"V")</t>
  </si>
  <si>
    <t>Sun Day</t>
  </si>
  <si>
    <t>REPLACE(E56,1,3,"Rainy")</t>
  </si>
  <si>
    <t>ID-001</t>
  </si>
  <si>
    <t>REPLACE(E57,4,3,"029")</t>
  </si>
  <si>
    <t>sr no</t>
  </si>
  <si>
    <t>Concat / Join</t>
  </si>
  <si>
    <t>virat</t>
  </si>
  <si>
    <t>TEXTJOIN(" ",0,F5,F6,F7)</t>
  </si>
  <si>
    <t>Run</t>
  </si>
  <si>
    <t>Rohit</t>
  </si>
  <si>
    <t>CONCAT(F8,F9)</t>
  </si>
  <si>
    <t>Hitman</t>
  </si>
  <si>
    <t>hardik</t>
  </si>
  <si>
    <t>CONCAT(F10,F11</t>
  </si>
  <si>
    <t>cluch</t>
  </si>
  <si>
    <t>abhishek</t>
  </si>
  <si>
    <t>sharma</t>
  </si>
  <si>
    <t>CONCAT(F12,G12)</t>
  </si>
  <si>
    <t>hard</t>
  </si>
  <si>
    <t>sanju</t>
  </si>
  <si>
    <t>CONCAT(F13,G13)</t>
  </si>
  <si>
    <t>Sheet 1</t>
  </si>
  <si>
    <t>Sheet 2</t>
  </si>
  <si>
    <t>Sheet 3</t>
  </si>
  <si>
    <t>Sheet 4</t>
  </si>
  <si>
    <t>Sheet 5</t>
  </si>
  <si>
    <t>player 18</t>
  </si>
  <si>
    <t>player 2</t>
  </si>
  <si>
    <t>EXACT(F21,G21</t>
  </si>
  <si>
    <t>player 33</t>
  </si>
  <si>
    <t>EXACT(F23,G23)</t>
  </si>
  <si>
    <t>player 45</t>
  </si>
  <si>
    <t>EXACT(F24,G24)</t>
  </si>
  <si>
    <t>player 1</t>
  </si>
  <si>
    <t>FIND("a",F27)</t>
  </si>
  <si>
    <t>chennai</t>
  </si>
  <si>
    <t>FIND("n",F28,5)</t>
  </si>
  <si>
    <t xml:space="preserve">Bangalore </t>
  </si>
  <si>
    <t>FIND("l",F29,3)</t>
  </si>
  <si>
    <t xml:space="preserve">Kolkata </t>
  </si>
  <si>
    <t>FIND("a",F31,6)</t>
  </si>
  <si>
    <t>LEFT(F33,6)</t>
  </si>
  <si>
    <t>LEFT(F34,5)</t>
  </si>
  <si>
    <t>Chennai Super Kings</t>
  </si>
  <si>
    <t>LEFT(F35,6)</t>
  </si>
  <si>
    <t>Sunrisers Hyderabad</t>
  </si>
  <si>
    <t>LEFT(F36,9)</t>
  </si>
  <si>
    <t>Rajasthan Royals</t>
  </si>
  <si>
    <t>LEFT(F37,5)</t>
  </si>
  <si>
    <t>RIGHT(F39,5)</t>
  </si>
  <si>
    <t>RIGHT(F41,5)</t>
  </si>
  <si>
    <t>RIGHT(F42,5)</t>
  </si>
  <si>
    <t>RIGHT(F43,5)</t>
  </si>
  <si>
    <t>lower</t>
  </si>
  <si>
    <t>LOWER(F51)</t>
  </si>
  <si>
    <t>upper</t>
  </si>
  <si>
    <t>len</t>
  </si>
  <si>
    <t>LEN(F63)</t>
  </si>
  <si>
    <t>mid</t>
  </si>
  <si>
    <t>MID(F69,8,3)</t>
  </si>
  <si>
    <t>REPLACE(F75,8,7,"wankade")</t>
  </si>
  <si>
    <t>REPLACE(F76,7,11,"virat")</t>
  </si>
  <si>
    <t>REPLACE(F77,9,5,"MS")</t>
  </si>
  <si>
    <t>REPLACE(F78,11,9,"kings")</t>
  </si>
  <si>
    <t>REPLACE(F79,1,10,"jos")</t>
  </si>
  <si>
    <t>Ayush_Mendhe_DA30</t>
  </si>
  <si>
    <t>Text Functions in Exel</t>
  </si>
  <si>
    <r>
      <rPr>
        <b/>
        <color rgb="FF1155CC"/>
        <sz val="11.0"/>
        <u/>
      </rPr>
      <t>Sr.No</t>
    </r>
    <r>
      <rPr>
        <b/>
        <sz val="11.0"/>
      </rPr>
      <t>.</t>
    </r>
  </si>
  <si>
    <t>Syntax</t>
  </si>
  <si>
    <t>CHAR(table_number)</t>
  </si>
  <si>
    <t>CHAR(121)</t>
  </si>
  <si>
    <t>CHAR(115)</t>
  </si>
  <si>
    <t>CHAR(104)</t>
  </si>
  <si>
    <t>CONCAT(value1, value2)</t>
  </si>
  <si>
    <t xml:space="preserve"> </t>
  </si>
  <si>
    <t>CONCAT(H15,H19)</t>
  </si>
  <si>
    <t>JOIN(delimiter, value_or_array1, [value_or_array2, …])</t>
  </si>
  <si>
    <t>JOIN("-",H16,H17,H18)</t>
  </si>
  <si>
    <t>JOIN("_",H15,H19,H18)</t>
  </si>
  <si>
    <t>DA30</t>
  </si>
  <si>
    <t>JOIN("",H15,H19,H17)</t>
  </si>
  <si>
    <t>JOIN(" ",H15,H16,H18)</t>
  </si>
  <si>
    <t>TEXTJOIN(delimiter, ignore_empty, text1, [text2, …])</t>
  </si>
  <si>
    <t>TEXTJOIN("-",,H21,H25,H24)</t>
  </si>
  <si>
    <t>TEXTJOIN("_",0,H22,H23,H24)</t>
  </si>
  <si>
    <t>TEXTJOIN(" ",1,H22,H21,H23)</t>
  </si>
  <si>
    <t>TEXTJOIN("-",0,H22,H23,H21,H24)</t>
  </si>
  <si>
    <t>TEXTJOIN("_",0,H22,H23,H21,H24)</t>
  </si>
  <si>
    <t>CLEAN(text)</t>
  </si>
  <si>
    <t>CLEAN(H27)</t>
  </si>
  <si>
    <t>CLEAN(H28)</t>
  </si>
  <si>
    <t>CLEAN(H29)</t>
  </si>
  <si>
    <t>CLEAN(H30)</t>
  </si>
  <si>
    <t>CLEAN(H31)</t>
  </si>
  <si>
    <t>TRIM(text)</t>
  </si>
  <si>
    <t>Ayush     Mendhe</t>
  </si>
  <si>
    <t>TRIM(H33)</t>
  </si>
  <si>
    <t xml:space="preserve">      Data Analytics</t>
  </si>
  <si>
    <t>TRIM(J34)</t>
  </si>
  <si>
    <t xml:space="preserve">    ARC    Nagpur</t>
  </si>
  <si>
    <t>TRIM(J35)</t>
  </si>
  <si>
    <t xml:space="preserve">                DA  30    </t>
  </si>
  <si>
    <t>TRIM(J36)</t>
  </si>
  <si>
    <t xml:space="preserve">    Abc   Xyz   </t>
  </si>
  <si>
    <t>TRIM(J37)</t>
  </si>
  <si>
    <t>FIND(search_for, text_to_search, [starting_at])</t>
  </si>
  <si>
    <t>FIND("a",J39,4)</t>
  </si>
  <si>
    <t>FIND("a",J40,1)</t>
  </si>
  <si>
    <t>FIND("go",J41,1)</t>
  </si>
  <si>
    <t>FIND("go",J42,1)</t>
  </si>
  <si>
    <t>Tata Salt</t>
  </si>
  <si>
    <t>FIND("ta",J43,2)</t>
  </si>
  <si>
    <t>SEARCH(search_for, text_to_search, [starting_at])</t>
  </si>
  <si>
    <t>SEARCH("go",J45,1)</t>
  </si>
  <si>
    <t>SEARCH("go",J46,1)</t>
  </si>
  <si>
    <t>GOOGLE</t>
  </si>
  <si>
    <t>SEARCH("go",J47,2)</t>
  </si>
  <si>
    <t>Microprocessor</t>
  </si>
  <si>
    <t>SEARCH("ro",J48,3)</t>
  </si>
  <si>
    <t>SEARCH("ro",J49,5)</t>
  </si>
  <si>
    <t>REPLACE(text, position, length, new_text)</t>
  </si>
  <si>
    <t>Ayush-ARC1</t>
  </si>
  <si>
    <t>REPLACE(J51,2,4,"a")</t>
  </si>
  <si>
    <t>REPLACE(J52,2,4,"ta")</t>
  </si>
  <si>
    <t>REPLACE(J53,3,4,"ta")</t>
  </si>
  <si>
    <t>REPLACE(J54,3,2,"ta")</t>
  </si>
  <si>
    <t>SUBSTITUTE(text_to_search, search_for, replace_with, [occurrence_number])</t>
  </si>
  <si>
    <t>SUBSTITUTE(J57,"ARC","Arc")</t>
  </si>
  <si>
    <t>SUBSTITUTE(J58,"na","ta")</t>
  </si>
  <si>
    <t>SUBSTITUTE(J59,"na","ta",1)</t>
  </si>
  <si>
    <t>SUBSTITUTE(J60,"na","Sta",2)</t>
  </si>
  <si>
    <t>EXACT(string1, string2)</t>
  </si>
  <si>
    <t>EXACT(J63,J65)</t>
  </si>
  <si>
    <t xml:space="preserve"> Arc </t>
  </si>
  <si>
    <t>EXACT(J64,J67)</t>
  </si>
  <si>
    <t>EXACT(J65,J66)</t>
  </si>
  <si>
    <t xml:space="preserve">Arc </t>
  </si>
  <si>
    <t>EXACT(J66,J63)</t>
  </si>
  <si>
    <t xml:space="preserve"> Arc</t>
  </si>
  <si>
    <t>LEFT(string, [number_of_characters])</t>
  </si>
  <si>
    <t>LEFT(J69,2)</t>
  </si>
  <si>
    <t>LEFT(J70,5)</t>
  </si>
  <si>
    <t>Ayush</t>
  </si>
  <si>
    <t>LEFT(J71)</t>
  </si>
  <si>
    <t>Aayush-ARC123</t>
  </si>
  <si>
    <t>LEFT(J72,6)</t>
  </si>
  <si>
    <t>Multiprocesssor</t>
  </si>
  <si>
    <t>LEFT(J73,5)</t>
  </si>
  <si>
    <t>RIGHT(string, [number_of_characters])</t>
  </si>
  <si>
    <t>RIGHT(J75,10)</t>
  </si>
  <si>
    <t>GooglePixel</t>
  </si>
  <si>
    <t>RIGHT(J76,5)</t>
  </si>
  <si>
    <t>RIGHT(J77)</t>
  </si>
  <si>
    <t>RIGHT(J78,6)</t>
  </si>
  <si>
    <t>MultiBillinaire</t>
  </si>
  <si>
    <t>RIGHT(J79,10)</t>
  </si>
  <si>
    <t>MID(string, starting_at, extract_length)</t>
  </si>
  <si>
    <t>MID(J81,2,2)</t>
  </si>
  <si>
    <t>MID(J82,3,2)</t>
  </si>
  <si>
    <t>MID(J83,6,7)</t>
  </si>
  <si>
    <t>Ayush-ARC</t>
  </si>
  <si>
    <t>MID(J84,4,5)</t>
  </si>
  <si>
    <t xml:space="preserve"> Ayush 123 .</t>
  </si>
  <si>
    <t>MID(J85,2,15)</t>
  </si>
  <si>
    <t>LEN(text)</t>
  </si>
  <si>
    <t>LEN(J87)</t>
  </si>
  <si>
    <t>LEN(J88)</t>
  </si>
  <si>
    <t>LEN(J89)</t>
  </si>
  <si>
    <t>Abcd123</t>
  </si>
  <si>
    <t>LEN(J90)</t>
  </si>
  <si>
    <t>Ayush - DA30</t>
  </si>
  <si>
    <t>LEN(J91)</t>
  </si>
  <si>
    <t>UPPER(text)</t>
  </si>
  <si>
    <t>UPPER(J93)</t>
  </si>
  <si>
    <t>AbCd</t>
  </si>
  <si>
    <t>(UPPERJ94)</t>
  </si>
  <si>
    <t>xyz</t>
  </si>
  <si>
    <t>UPPER(J95)</t>
  </si>
  <si>
    <t>QRst</t>
  </si>
  <si>
    <t>UPPER(J96)</t>
  </si>
  <si>
    <t>mnOP</t>
  </si>
  <si>
    <t>UPPER(J97)</t>
  </si>
  <si>
    <t>LOWER(text)</t>
  </si>
  <si>
    <t>LOWER(J99)</t>
  </si>
  <si>
    <t>LOWER(J100)</t>
  </si>
  <si>
    <t>LOWER(J101)</t>
  </si>
  <si>
    <t>LOWER(J102)</t>
  </si>
  <si>
    <t>LOWER(J103)</t>
  </si>
  <si>
    <t>PROPER(text_to_capitalise)</t>
  </si>
  <si>
    <t>PROPER(J105)</t>
  </si>
  <si>
    <t>PROPER(J106)</t>
  </si>
  <si>
    <t>PROPER(J107)</t>
  </si>
  <si>
    <t>PROPER(J108)</t>
  </si>
  <si>
    <t>PROPER(J109)</t>
  </si>
  <si>
    <t>REPT(text_to_repeat, number_of_repetitions)</t>
  </si>
  <si>
    <t xml:space="preserve"> ARC </t>
  </si>
  <si>
    <t>REPT(J111,3)</t>
  </si>
  <si>
    <t>Abc</t>
  </si>
  <si>
    <t>REPT(J112,3)</t>
  </si>
  <si>
    <t>Zyx</t>
  </si>
  <si>
    <t>REPT(J113,5)</t>
  </si>
  <si>
    <t xml:space="preserve">Mno </t>
  </si>
  <si>
    <t>REPT(J114,4)</t>
  </si>
  <si>
    <t xml:space="preserve"> Pqr</t>
  </si>
  <si>
    <t>REPT(J115,4)</t>
  </si>
  <si>
    <t>SANSKRUTI A. DHOLE</t>
  </si>
  <si>
    <t>DIFFERENT TYPES OF EXCEL TEXT FUNCTIONS</t>
  </si>
  <si>
    <t>1. UPPER</t>
  </si>
  <si>
    <t>Defination :- Converts all text into uppercase letters.</t>
  </si>
  <si>
    <t>Syntax :- =UPPER(text)</t>
  </si>
  <si>
    <t>S.No</t>
  </si>
  <si>
    <t>Formula------&gt;Output</t>
  </si>
  <si>
    <t>delhi</t>
  </si>
  <si>
    <t>DELHI</t>
  </si>
  <si>
    <t>MUMBAI</t>
  </si>
  <si>
    <t>hyderabad</t>
  </si>
  <si>
    <t>HYDERABAD</t>
  </si>
  <si>
    <t>2. LOWER</t>
  </si>
  <si>
    <t>Defination :- Converts text into lowercase letters.</t>
  </si>
  <si>
    <t>Syntax :-</t>
  </si>
  <si>
    <t>BANANA</t>
  </si>
  <si>
    <t>banana</t>
  </si>
  <si>
    <t>orange</t>
  </si>
  <si>
    <t>GRAPES</t>
  </si>
  <si>
    <t>3. PROPER</t>
  </si>
  <si>
    <t>Defination :- Capitalizes the first letter of each word.</t>
  </si>
  <si>
    <t>Syntax :- =PROPER(text)</t>
  </si>
  <si>
    <t>excel trainer</t>
  </si>
  <si>
    <t>Excel Trainer</t>
  </si>
  <si>
    <t>INDIAN COUNTRY</t>
  </si>
  <si>
    <t>Indian Country</t>
  </si>
  <si>
    <t>computer science</t>
  </si>
  <si>
    <t>Computer Science</t>
  </si>
  <si>
    <t>DATA ANALYST</t>
  </si>
  <si>
    <t>4.CHAR</t>
  </si>
  <si>
    <t>Defination :-Returns a character based on ASCII code.</t>
  </si>
  <si>
    <t>Syntax :-=CHAR(number)</t>
  </si>
  <si>
    <t>r</t>
  </si>
  <si>
    <t>y</t>
  </si>
  <si>
    <t>n</t>
  </si>
  <si>
    <t>5. LEN</t>
  </si>
  <si>
    <t>Defination :- Counts the number of characters in text.</t>
  </si>
  <si>
    <t>Syntax =LEN(text)</t>
  </si>
  <si>
    <t>BAT</t>
  </si>
  <si>
    <t>CHARACTERS</t>
  </si>
  <si>
    <t>6. LEFT</t>
  </si>
  <si>
    <t>Defination :- Extracts characters from the left side.</t>
  </si>
  <si>
    <t>Syntax :- =LEFT(text,num_chars)</t>
  </si>
  <si>
    <t>MICROSOFT</t>
  </si>
  <si>
    <t>MICRO</t>
  </si>
  <si>
    <t>EXTEACTS</t>
  </si>
  <si>
    <t>EXTE</t>
  </si>
  <si>
    <t>FROM</t>
  </si>
  <si>
    <t>FRO</t>
  </si>
  <si>
    <t>LE</t>
  </si>
  <si>
    <t>SIDE</t>
  </si>
  <si>
    <t>7. RIGHT</t>
  </si>
  <si>
    <t>Defination :- Extracts characters from the right side.</t>
  </si>
  <si>
    <t>Syntax :- =RIGHT(text,num_chars)</t>
  </si>
  <si>
    <t>IGHT</t>
  </si>
  <si>
    <t>FT</t>
  </si>
  <si>
    <t>OWN</t>
  </si>
  <si>
    <t>R</t>
  </si>
  <si>
    <t>TRAINER</t>
  </si>
  <si>
    <t>INER</t>
  </si>
  <si>
    <t>8. MID</t>
  </si>
  <si>
    <t>Defination :- Extracts characters from the middle of text.</t>
  </si>
  <si>
    <t>Syntax :- =MID(text,start_num,num_chars)</t>
  </si>
  <si>
    <t>EDUKOTA</t>
  </si>
  <si>
    <t>DUKO</t>
  </si>
  <si>
    <t>NANOTE</t>
  </si>
  <si>
    <t>NOTE</t>
  </si>
  <si>
    <t>OOGLE</t>
  </si>
  <si>
    <t>FUNC</t>
  </si>
  <si>
    <t>GETPLUS</t>
  </si>
  <si>
    <t>ETPL</t>
  </si>
  <si>
    <t>9. CONCAT</t>
  </si>
  <si>
    <t>Defination :- Joins multiple text strings.</t>
  </si>
  <si>
    <t>Syntax :- =CONCAT(text1,text2,...)</t>
  </si>
  <si>
    <t>MUMMY</t>
  </si>
  <si>
    <t>PAPA</t>
  </si>
  <si>
    <t>MUMMYPAPA</t>
  </si>
  <si>
    <t>SWAROOP</t>
  </si>
  <si>
    <t>MRUNALI</t>
  </si>
  <si>
    <t>SWAROOPMRUNALI</t>
  </si>
  <si>
    <t>ARYAN</t>
  </si>
  <si>
    <t>ARYANAASTHA</t>
  </si>
  <si>
    <t>ASMITA</t>
  </si>
  <si>
    <t>SHRIYALI</t>
  </si>
  <si>
    <t>ASMITASHRIYALI</t>
  </si>
  <si>
    <t>ADITYA</t>
  </si>
  <si>
    <t>RISHI</t>
  </si>
  <si>
    <t>ADITYARISHI</t>
  </si>
  <si>
    <t>10. CONCATENATE</t>
  </si>
  <si>
    <t>Defination :- Combines text from multiple cells (older function).</t>
  </si>
  <si>
    <t>Syntax :- =CONCATENATE(text1,text2,...)</t>
  </si>
  <si>
    <t>ANALYST</t>
  </si>
  <si>
    <t>DATA -ANALYST</t>
  </si>
  <si>
    <t>COMPUTER</t>
  </si>
  <si>
    <t>TOOLS</t>
  </si>
  <si>
    <t>COMPUTER -TOOLS</t>
  </si>
  <si>
    <t>INSTITUDE</t>
  </si>
  <si>
    <t>ARC -INSTITUDE</t>
  </si>
  <si>
    <t>WORLD</t>
  </si>
  <si>
    <t>HELLO -WORLD</t>
  </si>
  <si>
    <t>CON</t>
  </si>
  <si>
    <t>CATENATE</t>
  </si>
  <si>
    <t>CON -CATENATE</t>
  </si>
  <si>
    <t>11. TRIM</t>
  </si>
  <si>
    <t>Defination :- Removes extra spaces from text.</t>
  </si>
  <si>
    <t>Syntax :- =TRIM(text)</t>
  </si>
  <si>
    <t>RITESH MOHIT</t>
  </si>
  <si>
    <t>ROHIT REETU</t>
  </si>
  <si>
    <t>RISHIKESH SOCIETY</t>
  </si>
  <si>
    <t>RUDRA BOLL</t>
  </si>
  <si>
    <t>RAKESH BAT</t>
  </si>
  <si>
    <t>12. FIND</t>
  </si>
  <si>
    <t>Defination :- Finds the position of a character in text (case-sensitive).</t>
  </si>
  <si>
    <t>Syntax :- =FIND(find_text,within_text)</t>
  </si>
  <si>
    <t>WHATSAPP</t>
  </si>
  <si>
    <t>INSTRAGRAM</t>
  </si>
  <si>
    <t>SNAPCHAT</t>
  </si>
  <si>
    <t>TELEGRAM</t>
  </si>
  <si>
    <t>DOCUMENT</t>
  </si>
  <si>
    <t>13. EXACT</t>
  </si>
  <si>
    <t>Defination :- Compares two text values and checks if they are exactly the same.</t>
  </si>
  <si>
    <t>Syntax :- =EXACT(text1,text2)</t>
  </si>
  <si>
    <t>ARUN</t>
  </si>
  <si>
    <t>ARJUN</t>
  </si>
  <si>
    <t>NUMBER</t>
  </si>
  <si>
    <t>text</t>
  </si>
  <si>
    <t>14. SUBSTITUTE</t>
  </si>
  <si>
    <t>Defination :- Replaces specific text in a string.</t>
  </si>
  <si>
    <t>Syntax :- =SUBSTITUTE(text,old_text,new_text)</t>
  </si>
  <si>
    <t>ARYAD</t>
  </si>
  <si>
    <t>DDSTHD</t>
  </si>
  <si>
    <t>SANSKRUTI</t>
  </si>
  <si>
    <t>SADSKRUTI</t>
  </si>
  <si>
    <t>SHOP</t>
  </si>
  <si>
    <t>SHPP</t>
  </si>
  <si>
    <t>DRINK</t>
  </si>
  <si>
    <t>DDINK</t>
  </si>
  <si>
    <t>15. REPT</t>
  </si>
  <si>
    <t>Defination :- Repeats text multiple times.</t>
  </si>
  <si>
    <t>Syntax :- =REPT(text,number_times)</t>
  </si>
  <si>
    <t>HOT</t>
  </si>
  <si>
    <t>HOTHOTHOT</t>
  </si>
  <si>
    <t>COLD</t>
  </si>
  <si>
    <t>COLDCOLDCOLDCOLD</t>
  </si>
  <si>
    <t>WATER</t>
  </si>
  <si>
    <t>WATERWATERWATERWATERWATERWATERWATER</t>
  </si>
  <si>
    <t>HOUSEHOUSEHOUSEHOUSE</t>
  </si>
  <si>
    <t>SHEET</t>
  </si>
  <si>
    <t>SHEETSHEETSHEETSHEETSHEETSHEETSHEETSHEET</t>
  </si>
  <si>
    <t>Aryan Khanorkar</t>
  </si>
  <si>
    <t>Different Types of Functions</t>
  </si>
  <si>
    <t>1 . CHARACTER</t>
  </si>
  <si>
    <t>S.NO</t>
  </si>
  <si>
    <t>TEXT FUNCTION /METHOD</t>
  </si>
  <si>
    <t>CHAR()</t>
  </si>
  <si>
    <t>CHAR(number)</t>
  </si>
  <si>
    <t>_x0007_</t>
  </si>
  <si>
    <t>N</t>
  </si>
  <si>
    <t>2 . CLEAN</t>
  </si>
  <si>
    <t>CLEAN()</t>
  </si>
  <si>
    <t>Hello
 World</t>
  </si>
  <si>
    <t>Excel
 Learning</t>
  </si>
  <si>
    <t>ExcelLearning</t>
  </si>
  <si>
    <t>Price
 500</t>
  </si>
  <si>
    <t>Price500</t>
  </si>
  <si>
    <t>Temp_x0007_25C</t>
  </si>
  <si>
    <t>Temp25C</t>
  </si>
  <si>
    <t>3 . UPPER</t>
  </si>
  <si>
    <t>UPPER()</t>
  </si>
  <si>
    <t>PYTHON</t>
  </si>
  <si>
    <t>carnival</t>
  </si>
  <si>
    <t>CARNIVAL</t>
  </si>
  <si>
    <t>runway</t>
  </si>
  <si>
    <t>RUNWAY</t>
  </si>
  <si>
    <t>crispy</t>
  </si>
  <si>
    <t>CRISPY</t>
  </si>
  <si>
    <t>resistance</t>
  </si>
  <si>
    <t>RESISTANCE</t>
  </si>
  <si>
    <t>4 . LOWER</t>
  </si>
  <si>
    <t>LOWER()</t>
  </si>
  <si>
    <t>RANDOM</t>
  </si>
  <si>
    <t>random</t>
  </si>
  <si>
    <t>AVENGER</t>
  </si>
  <si>
    <t>avenger</t>
  </si>
  <si>
    <t>THOR</t>
  </si>
  <si>
    <t>thor</t>
  </si>
  <si>
    <t>LOKI</t>
  </si>
  <si>
    <t>loki</t>
  </si>
  <si>
    <t>HULK</t>
  </si>
  <si>
    <t>hulk</t>
  </si>
  <si>
    <t>5 . FIND</t>
  </si>
  <si>
    <t>FIND()</t>
  </si>
  <si>
    <t>FIND(find_text, within_text, [start_num])</t>
  </si>
  <si>
    <t>6 . LENGTH</t>
  </si>
  <si>
    <t>LEN()</t>
  </si>
  <si>
    <t>Communication</t>
  </si>
  <si>
    <t>Engineering</t>
  </si>
  <si>
    <t>7 . CONCATENATION</t>
  </si>
  <si>
    <t>CONCAT()</t>
  </si>
  <si>
    <t>One</t>
  </si>
  <si>
    <t>CONCAT(text1, text2, ...)</t>
  </si>
  <si>
    <t>OneTwo</t>
  </si>
  <si>
    <t>Two</t>
  </si>
  <si>
    <t>ThreeFour</t>
  </si>
  <si>
    <t>Three</t>
  </si>
  <si>
    <t>FiveFour</t>
  </si>
  <si>
    <t>Four</t>
  </si>
  <si>
    <t>FourThree</t>
  </si>
  <si>
    <t>Five</t>
  </si>
  <si>
    <t>TwoOne</t>
  </si>
  <si>
    <t>8 . TEXTJOIN</t>
  </si>
  <si>
    <t>TEXTJOIN()</t>
  </si>
  <si>
    <t>Crystal</t>
  </si>
  <si>
    <t>TEXTJOIN(delimiter, ignore_empty, text1,)</t>
  </si>
  <si>
    <t>Crystal-Clear</t>
  </si>
  <si>
    <t>Clear</t>
  </si>
  <si>
    <t>Clear….Run</t>
  </si>
  <si>
    <t>No</t>
  </si>
  <si>
    <t>No~Run</t>
  </si>
  <si>
    <t>No:Ball</t>
  </si>
  <si>
    <t>Ball</t>
  </si>
  <si>
    <t>Crystal^Ball</t>
  </si>
  <si>
    <t>9 . EXACT</t>
  </si>
  <si>
    <t>EXACT()</t>
  </si>
  <si>
    <t>Earn</t>
  </si>
  <si>
    <t>EXACT(text1, text2)</t>
  </si>
  <si>
    <t>earn</t>
  </si>
  <si>
    <t>Aryan</t>
  </si>
  <si>
    <t>aryan</t>
  </si>
  <si>
    <t>10 . REPLACE</t>
  </si>
  <si>
    <t>REPLACE()</t>
  </si>
  <si>
    <t>Aryan23</t>
  </si>
  <si>
    <t>REPLACE(old_text, start_num, num_chars, new_text)</t>
  </si>
  <si>
    <t>Ask23</t>
  </si>
  <si>
    <t>Sans19</t>
  </si>
  <si>
    <t>Sans2005</t>
  </si>
  <si>
    <t>Aashu14</t>
  </si>
  <si>
    <t>Aashu2004</t>
  </si>
  <si>
    <t>Atharv13</t>
  </si>
  <si>
    <t>Atharv2004</t>
  </si>
  <si>
    <t>Ani15</t>
  </si>
  <si>
    <t>Ani2004</t>
  </si>
  <si>
    <t>11 . LEFT</t>
  </si>
  <si>
    <t>LEFT()</t>
  </si>
  <si>
    <t>LEFT(text, num_chars)</t>
  </si>
  <si>
    <t>welcome</t>
  </si>
  <si>
    <t>welco</t>
  </si>
  <si>
    <t>Bus</t>
  </si>
  <si>
    <t>Crick</t>
  </si>
  <si>
    <t>Victory</t>
  </si>
  <si>
    <t>Vict</t>
  </si>
  <si>
    <t>12 . RIGHT</t>
  </si>
  <si>
    <t>RIGHT()</t>
  </si>
  <si>
    <t>Marshall</t>
  </si>
  <si>
    <t>RIGHT(text, num_chars)</t>
  </si>
  <si>
    <t>shall</t>
  </si>
  <si>
    <t>Kingsphere</t>
  </si>
  <si>
    <t>here</t>
  </si>
  <si>
    <t>Runway</t>
  </si>
  <si>
    <t>way</t>
  </si>
  <si>
    <t>Waterfall</t>
  </si>
  <si>
    <t>fall</t>
  </si>
  <si>
    <t>Typical</t>
  </si>
  <si>
    <t>ypical</t>
  </si>
  <si>
    <t>13 . MIDDLE</t>
  </si>
  <si>
    <t>MID()</t>
  </si>
  <si>
    <t>MID(text, start_num, num_chars)</t>
  </si>
  <si>
    <t>omput</t>
  </si>
  <si>
    <t>xcel</t>
  </si>
  <si>
    <t>Learning</t>
  </si>
  <si>
    <t>arning</t>
  </si>
  <si>
    <t>Remove</t>
  </si>
  <si>
    <t>ove</t>
  </si>
  <si>
    <t>german</t>
  </si>
  <si>
    <t>rman</t>
  </si>
  <si>
    <t>14 . PROPER</t>
  </si>
  <si>
    <t>PROPER()</t>
  </si>
  <si>
    <t>PROPER(text)</t>
  </si>
  <si>
    <t>eXcel FuNction</t>
  </si>
  <si>
    <t>Excel Function</t>
  </si>
  <si>
    <t>QuaLity</t>
  </si>
  <si>
    <t>Quality</t>
  </si>
  <si>
    <t>WiNNer</t>
  </si>
  <si>
    <t>Winner</t>
  </si>
  <si>
    <t>TrimmeR</t>
  </si>
  <si>
    <t>Trimmer</t>
  </si>
  <si>
    <t>15 . REPT</t>
  </si>
  <si>
    <t>REPT()</t>
  </si>
  <si>
    <t>REPT(text, number_times)</t>
  </si>
  <si>
    <t>Water Water</t>
  </si>
  <si>
    <t>Rain</t>
  </si>
  <si>
    <t>RainRainRain</t>
  </si>
  <si>
    <t>shut</t>
  </si>
  <si>
    <t>shutshut</t>
  </si>
  <si>
    <t>up</t>
  </si>
  <si>
    <t>upupupupupupup</t>
  </si>
  <si>
    <t>go</t>
  </si>
  <si>
    <t>gogogogo</t>
  </si>
  <si>
    <t>Text Functions In Excel</t>
  </si>
  <si>
    <t>Concat/Join</t>
  </si>
  <si>
    <t>Neil</t>
  </si>
  <si>
    <t>Armstrong</t>
  </si>
  <si>
    <t xml:space="preserve"> CONCAT(C6,D6)</t>
  </si>
  <si>
    <t>APOLLO 11</t>
  </si>
  <si>
    <t>LOWER(Text)</t>
  </si>
  <si>
    <t>Buzz</t>
  </si>
  <si>
    <t>Aldrin</t>
  </si>
  <si>
    <t xml:space="preserve"> CONCAT(C7,D7)</t>
  </si>
  <si>
    <t>COLUMBIA</t>
  </si>
  <si>
    <t>Yuri</t>
  </si>
  <si>
    <t>Gagarin</t>
  </si>
  <si>
    <t xml:space="preserve"> CONCAT(C8,D8)</t>
  </si>
  <si>
    <t>ENDEAVOUR</t>
  </si>
  <si>
    <t>Kalpna</t>
  </si>
  <si>
    <t>Chawla</t>
  </si>
  <si>
    <t xml:space="preserve"> CONCAT(C9,D9)</t>
  </si>
  <si>
    <t>DISCOVERY</t>
  </si>
  <si>
    <t>Sunita</t>
  </si>
  <si>
    <t>Williams</t>
  </si>
  <si>
    <t xml:space="preserve"> CONCAT(C10,D10)</t>
  </si>
  <si>
    <t>SHUTTLE ATLANTIS</t>
  </si>
  <si>
    <t>Mercury</t>
  </si>
  <si>
    <t>EAXCT(C11,D11)</t>
  </si>
  <si>
    <t>apollo 11</t>
  </si>
  <si>
    <t>UPPER(Text)</t>
  </si>
  <si>
    <t>Venus</t>
  </si>
  <si>
    <t>VENUS</t>
  </si>
  <si>
    <t>EAXCT(C12,D12)</t>
  </si>
  <si>
    <t>columbia</t>
  </si>
  <si>
    <t>Earth</t>
  </si>
  <si>
    <t>EAXCT(C13,D13)</t>
  </si>
  <si>
    <t>endeavour</t>
  </si>
  <si>
    <t>Mars</t>
  </si>
  <si>
    <t>MaRs</t>
  </si>
  <si>
    <t>EAXCT(C14,D14)</t>
  </si>
  <si>
    <t>discovery</t>
  </si>
  <si>
    <t>Jupiter</t>
  </si>
  <si>
    <t>EAXCT(C15,D15)</t>
  </si>
  <si>
    <t>shuttle atlantis</t>
  </si>
  <si>
    <t>Find("n", I/p Text)</t>
  </si>
  <si>
    <t>Perseids</t>
  </si>
  <si>
    <t>Sirius</t>
  </si>
  <si>
    <t>Leonids</t>
  </si>
  <si>
    <t>Polaris</t>
  </si>
  <si>
    <t>Geminids</t>
  </si>
  <si>
    <t>Betalgeuse</t>
  </si>
  <si>
    <t>Quadrantids</t>
  </si>
  <si>
    <t>Rigel</t>
  </si>
  <si>
    <t>Lyrids</t>
  </si>
  <si>
    <t>Milky Way</t>
  </si>
  <si>
    <t>LEFT(String,no of char)</t>
  </si>
  <si>
    <t>Chandrayaan-1</t>
  </si>
  <si>
    <t>LEN(Text)</t>
  </si>
  <si>
    <t>Andromeda Galaxy</t>
  </si>
  <si>
    <t>Chandrayaan-2</t>
  </si>
  <si>
    <t>Triangulum Galaxy</t>
  </si>
  <si>
    <t>Chandrayaan-3</t>
  </si>
  <si>
    <t>Whirlpool Galaxy</t>
  </si>
  <si>
    <t>Aditya-L1</t>
  </si>
  <si>
    <t>Sombrero Galaxy</t>
  </si>
  <si>
    <t>Mangalyaan</t>
  </si>
  <si>
    <t>Orion</t>
  </si>
  <si>
    <t>Vega</t>
  </si>
  <si>
    <t>Titan</t>
  </si>
  <si>
    <t>Andromeda</t>
  </si>
  <si>
    <t>Nebula</t>
  </si>
  <si>
    <t xml:space="preserve">Method </t>
  </si>
  <si>
    <t>CHAR(E4)</t>
  </si>
  <si>
    <t>CHAR(E5)</t>
  </si>
  <si>
    <t>CHAR(E6)</t>
  </si>
  <si>
    <t>CHAR(E7)</t>
  </si>
  <si>
    <t>CHAR(E8)</t>
  </si>
  <si>
    <t>Concat</t>
  </si>
  <si>
    <t>Khushbu</t>
  </si>
  <si>
    <t>ONCAT(E10,E11)</t>
  </si>
  <si>
    <t>CONCAT(E13,E14</t>
  </si>
  <si>
    <t>CONCAT(E16,E17)</t>
  </si>
  <si>
    <t>CONCAT(E19,E20)</t>
  </si>
  <si>
    <t>world</t>
  </si>
  <si>
    <t>Practice</t>
  </si>
  <si>
    <t>Priyadarshini College</t>
  </si>
  <si>
    <t>Nagpur-Metro</t>
  </si>
  <si>
    <t>CLEAN(E27)</t>
  </si>
  <si>
    <t>Java_Developer</t>
  </si>
  <si>
    <t>CLEAN(E29)</t>
  </si>
  <si>
    <t>Smart_Blind_Stick</t>
  </si>
  <si>
    <t>CLEAN(E31)</t>
  </si>
  <si>
    <t>Data-Analytics</t>
  </si>
  <si>
    <t>CLEAN(E33)</t>
  </si>
  <si>
    <t>Pune</t>
  </si>
  <si>
    <t>EXACT(E41,E42)</t>
  </si>
  <si>
    <t>computer</t>
  </si>
  <si>
    <t>B.tech</t>
  </si>
  <si>
    <t>EXACT(E44,E45)</t>
  </si>
  <si>
    <t>Excel123</t>
  </si>
  <si>
    <t>EXACT(E47,E48)</t>
  </si>
  <si>
    <t>FIND("c",E50)</t>
  </si>
  <si>
    <t>student</t>
  </si>
  <si>
    <t>FIND("t",E52,3)</t>
  </si>
  <si>
    <t>Telephone</t>
  </si>
  <si>
    <t>FIND("e",E54,3)</t>
  </si>
  <si>
    <t>FIND("a",E56,3)</t>
  </si>
  <si>
    <t>FIND("p",E58)</t>
  </si>
  <si>
    <t>left</t>
  </si>
  <si>
    <t>University</t>
  </si>
  <si>
    <t>LEFT(E60,3)</t>
  </si>
  <si>
    <t>Festival</t>
  </si>
  <si>
    <t>LEFT(E62,4)</t>
  </si>
  <si>
    <t>LEFT(E64,2)</t>
  </si>
  <si>
    <t>Mountain</t>
  </si>
  <si>
    <t>LEFT(E66,4)</t>
  </si>
  <si>
    <t>Hospital</t>
  </si>
  <si>
    <t>LEFT(E68,5)</t>
  </si>
  <si>
    <t>Chocolate</t>
  </si>
  <si>
    <t>RIGHT(E70,3)</t>
  </si>
  <si>
    <t>Football</t>
  </si>
  <si>
    <t>RIGHT(E74,3)</t>
  </si>
  <si>
    <t>RIGHT(E76,4)</t>
  </si>
  <si>
    <t>RIGHT(E78,4)</t>
  </si>
  <si>
    <t>MID(E80,2,4)</t>
  </si>
  <si>
    <t>MID(E82,3,5)</t>
  </si>
  <si>
    <t>MID(E84,2,1)</t>
  </si>
  <si>
    <t>MID(E86,3,4)</t>
  </si>
  <si>
    <t>MID(E88,4,4)</t>
  </si>
  <si>
    <t>LOWER(E90)</t>
  </si>
  <si>
    <t>LOWER(E92)</t>
  </si>
  <si>
    <t>JAVA</t>
  </si>
  <si>
    <t>LOWER(E94)</t>
  </si>
  <si>
    <t>PROJECT</t>
  </si>
  <si>
    <t>LOWER(E96)</t>
  </si>
  <si>
    <t>LOWER(E98)</t>
  </si>
  <si>
    <t>example</t>
  </si>
  <si>
    <t>UPPER(E100)</t>
  </si>
  <si>
    <t>UPPER(E102)</t>
  </si>
  <si>
    <t>UPPER(E104)</t>
  </si>
  <si>
    <t>UPPER(E106)</t>
  </si>
  <si>
    <t>letter</t>
  </si>
  <si>
    <t>UPPER(E108)</t>
  </si>
  <si>
    <t>function</t>
  </si>
  <si>
    <t>LEN(E110)</t>
  </si>
  <si>
    <t>Sensitive</t>
  </si>
  <si>
    <t>LEN(E112)</t>
  </si>
  <si>
    <t>character</t>
  </si>
  <si>
    <t>LEN(E114)</t>
  </si>
  <si>
    <t>position</t>
  </si>
  <si>
    <t>LEN(E116)</t>
  </si>
  <si>
    <t>different</t>
  </si>
  <si>
    <t>LEN(E118)</t>
  </si>
  <si>
    <t>REPLACE(E120,1,3,"ABC")</t>
  </si>
  <si>
    <t>REPLACE(E122,2,3,"XYZ")</t>
  </si>
  <si>
    <t>REPLACE(E124,3,2,"BB")</t>
  </si>
  <si>
    <t>Project</t>
  </si>
  <si>
    <t>REPLACE(E126,3,2,"AA")</t>
  </si>
  <si>
    <t>REPLACE(E128,2,2,"TT")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</si>
</sst>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m-yy"/>
    <numFmt numFmtId="165" formatCode="mm-dd-yyyy"/>
    <numFmt numFmtId="166" formatCode="mm-dd-yyyy h:mm"/>
    <numFmt numFmtId="167" formatCode="h:mm am/pm"/>
    <numFmt numFmtId="168" formatCode="m/d"/>
    <numFmt numFmtId="169" formatCode="m-d"/>
    <numFmt numFmtId="170" formatCode="&quot;$&quot;#,##0.00"/>
  </numFmts>
  <fonts count="6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sz val="9.0"/>
      <color theme="1"/>
      <name val="Google Sans Mono"/>
    </font>
    <font>
      <u/>
      <color rgb="FF0000FF"/>
    </font>
    <font>
      <b/>
      <u/>
      <sz val="12.0"/>
      <color rgb="FF000000"/>
      <name val="Calibri"/>
    </font>
    <font>
      <b/>
      <sz val="12.0"/>
      <color rgb="FF000000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color rgb="FF000000"/>
      <name val="Arial"/>
    </font>
    <font>
      <color rgb="FF000000"/>
      <name val="&quot;Arial Unicode MS&quot;"/>
    </font>
    <font>
      <b/>
      <sz val="13.0"/>
      <color rgb="FF000000"/>
      <name val="Calibri"/>
    </font>
    <font>
      <b/>
      <u/>
      <sz val="12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>
      <b/>
      <color rgb="FF000000"/>
      <name val="Arial"/>
    </font>
    <font>
      <sz val="9.0"/>
      <color rgb="FF000000"/>
      <name val="&quot;Google Sans Mono&quot;"/>
    </font>
    <font>
      <b/>
      <color rgb="FF000000"/>
      <name val="Arial"/>
      <scheme val="minor"/>
    </font>
    <font>
      <b/>
      <u/>
      <color rgb="FF0000FF"/>
    </font>
    <font>
      <u/>
      <color rgb="FF0000FF"/>
    </font>
    <font>
      <sz val="11.0"/>
      <color theme="1"/>
      <name val="Arial"/>
      <scheme val="minor"/>
    </font>
    <font>
      <b/>
      <u/>
      <sz val="13.0"/>
      <color rgb="FF000000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  <font>
      <b/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5.0"/>
      <color theme="1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u/>
      <sz val="11.0"/>
      <color rgb="FF000000"/>
      <name val="&quot;Aptos Narrow&quot;"/>
    </font>
    <font>
      <sz val="11.0"/>
      <color theme="1"/>
      <name val="&quot;Aptos Narrow&quot;"/>
    </font>
    <font>
      <u/>
      <sz val="11.0"/>
      <color rgb="FF0000FF"/>
      <name val="&quot;Aptos Narrow&quot;"/>
    </font>
    <font>
      <b/>
      <sz val="11.0"/>
      <color rgb="FF1F1F1F"/>
      <name val="Calibri"/>
    </font>
    <font>
      <b/>
      <sz val="12.0"/>
      <color rgb="FF1F1F1F"/>
      <name val="Calibri"/>
    </font>
    <font>
      <b/>
      <sz val="10.0"/>
      <color rgb="FF1F1F1F"/>
      <name val="Calibri"/>
    </font>
    <font>
      <color rgb="FF444746"/>
      <name val="Calibri"/>
    </font>
    <font>
      <sz val="11.0"/>
      <color rgb="FF1F1F1F"/>
      <name val="Calibri"/>
    </font>
    <font>
      <u/>
      <color rgb="FF000000"/>
    </font>
    <font>
      <b/>
      <u/>
      <sz val="11.0"/>
      <color rgb="FF000000"/>
      <name val="Calibri"/>
    </font>
    <font>
      <u/>
      <color rgb="FF0000FF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sz val="10.0"/>
      <color rgb="FF1F1F1F"/>
      <name val="&quot;Google Sans&quot;"/>
    </font>
    <font>
      <sz val="9.0"/>
      <color rgb="FF1F1F1F"/>
      <name val="&quot;Google Sans&quot;"/>
    </font>
    <font>
      <sz val="11.0"/>
      <color rgb="FF1F1F1F"/>
      <name val="&quot;Google Sans&quot;"/>
    </font>
    <font>
      <b/>
      <u/>
      <sz val="11.0"/>
      <color rgb="FF0000FF"/>
    </font>
    <font>
      <b/>
      <sz val="11.0"/>
      <color theme="1"/>
      <name val="Arial"/>
      <scheme val="minor"/>
    </font>
    <font>
      <b/>
      <sz val="14.0"/>
      <color rgb="FF000000"/>
      <name val="&quot;Aptos Narrow&quot;"/>
    </font>
    <font>
      <b/>
      <sz val="16.0"/>
      <color rgb="FF000000"/>
      <name val="&quot;Aptos Narrow&quot;"/>
    </font>
    <font>
      <i/>
      <sz val="22.0"/>
      <color rgb="FF000000"/>
      <name val="&quot;Times New Roman&quot;"/>
    </font>
    <font>
      <sz val="20.0"/>
      <color rgb="FF000000"/>
      <name val="&quot;Times New Roman&quot;"/>
    </font>
    <font>
      <sz val="18.0"/>
      <color rgb="FF000000"/>
      <name val="&quot;Times New Roman&quot;"/>
    </font>
    <font>
      <sz val="16.0"/>
      <color rgb="FF000000"/>
      <name val="&quot;Times New Roman&quot;"/>
    </font>
    <font>
      <u/>
      <sz val="14.0"/>
      <color rgb="FF000000"/>
      <name val="&quot;Times New Roman&quot;"/>
    </font>
    <font>
      <sz val="14.0"/>
      <color rgb="FF000000"/>
      <name val="&quot;Times New Roman&quot;"/>
    </font>
    <font>
      <sz val="12.0"/>
      <color rgb="FF000000"/>
      <name val="&quot;Times New Roman&quot;"/>
    </font>
    <font>
      <sz val="16.0"/>
      <color rgb="FF000000"/>
      <name val="Arial"/>
    </font>
    <font>
      <b/>
      <sz val="16.0"/>
      <color rgb="FF000000"/>
      <name val="Calibri"/>
    </font>
    <font>
      <u/>
      <sz val="11.0"/>
      <color rgb="FF000000"/>
      <name val="Calibri"/>
    </font>
    <font>
      <b/>
      <sz val="11.0"/>
      <color theme="1"/>
      <name val="Merriweather"/>
    </font>
    <font>
      <color theme="1"/>
      <name val="Arial"/>
    </font>
  </fonts>
  <fills count="5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5B9BD5"/>
        <bgColor rgb="FF5B9BD5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A2C4C9"/>
        <bgColor rgb="FFA2C4C9"/>
      </patternFill>
    </fill>
    <fill>
      <patternFill patternType="solid">
        <fgColor rgb="FFE6B8AF"/>
        <bgColor rgb="FFE6B8AF"/>
      </patternFill>
    </fill>
    <fill>
      <patternFill patternType="solid">
        <fgColor rgb="FFA6C9EC"/>
        <bgColor rgb="FFA6C9EC"/>
      </patternFill>
    </fill>
    <fill>
      <patternFill patternType="solid">
        <fgColor rgb="FFDAE9F8"/>
        <bgColor rgb="FFDAE9F8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4B084"/>
        <bgColor rgb="FFF4B084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theme="9"/>
        <bgColor theme="9"/>
      </patternFill>
    </fill>
    <fill>
      <patternFill patternType="solid">
        <fgColor rgb="FFDBDBDB"/>
        <bgColor rgb="FFDBDBDB"/>
      </patternFill>
    </fill>
    <fill>
      <patternFill patternType="solid">
        <fgColor rgb="FFB4C6E7"/>
        <bgColor rgb="FFB4C6E7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DAF2D0"/>
        <bgColor rgb="FFDAF2D0"/>
      </patternFill>
    </fill>
    <fill>
      <patternFill patternType="solid">
        <fgColor rgb="FFF2CEEF"/>
        <bgColor rgb="FFF2CEEF"/>
      </patternFill>
    </fill>
    <fill>
      <patternFill patternType="solid">
        <fgColor rgb="FFBFBFBF"/>
        <bgColor rgb="FFBFBFBF"/>
      </patternFill>
    </fill>
    <fill>
      <patternFill patternType="solid">
        <fgColor rgb="FFF7C7AC"/>
        <bgColor rgb="FFF7C7AC"/>
      </patternFill>
    </fill>
    <fill>
      <patternFill patternType="solid">
        <fgColor rgb="FFFBE2D5"/>
        <bgColor rgb="FFFBE2D5"/>
      </patternFill>
    </fill>
    <fill>
      <patternFill patternType="solid">
        <fgColor rgb="FFC6E0B4"/>
        <bgColor rgb="FFC6E0B4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EA9999"/>
        <bgColor rgb="FFEA9999"/>
      </patternFill>
    </fill>
  </fills>
  <borders count="8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434343"/>
      </left>
      <right style="thin">
        <color rgb="FF000000"/>
      </right>
      <top style="thick">
        <color rgb="FF434343"/>
      </top>
    </border>
    <border>
      <left style="thin">
        <color rgb="FF000000"/>
      </left>
      <right style="thin">
        <color rgb="FF000000"/>
      </right>
      <top style="thick">
        <color rgb="FF434343"/>
      </top>
    </border>
    <border>
      <left style="thin">
        <color rgb="FF000000"/>
      </left>
      <right style="thin">
        <color rgb="FF000000"/>
      </right>
      <top style="thick">
        <color rgb="FF434343"/>
      </top>
      <bottom style="thick">
        <color rgb="FF434343"/>
      </bottom>
    </border>
    <border>
      <left style="thin">
        <color rgb="FF000000"/>
      </left>
      <right style="thick">
        <color rgb="FF434343"/>
      </right>
      <top style="thick">
        <color rgb="FF434343"/>
      </top>
      <bottom style="thick">
        <color rgb="FF434343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434343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434343"/>
      </top>
      <bottom style="thin">
        <color rgb="FF000000"/>
      </bottom>
    </border>
    <border>
      <left style="thin">
        <color rgb="FF000000"/>
      </left>
      <right style="thick">
        <color rgb="FF434343"/>
      </right>
      <top style="thick">
        <color rgb="FF434343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ck">
        <color rgb="FF434343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434343"/>
      </bottom>
    </border>
    <border>
      <right style="thin">
        <color rgb="FF000000"/>
      </right>
      <top style="thin">
        <color rgb="FF000000"/>
      </top>
      <bottom style="thick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434343"/>
      </bottom>
    </border>
    <border>
      <left style="thin">
        <color rgb="FF000000"/>
      </left>
      <right style="thick">
        <color rgb="FF434343"/>
      </right>
      <top style="thin">
        <color rgb="FF000000"/>
      </top>
      <bottom style="thick">
        <color rgb="FF434343"/>
      </bottom>
    </border>
    <border>
      <left style="thick">
        <color rgb="FF000000"/>
      </left>
      <right style="thick">
        <color rgb="FF000000"/>
      </right>
      <top style="thick">
        <color rgb="FF434343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5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0" fillId="0" fontId="1" numFmtId="0" xfId="0" applyFont="1"/>
    <xf borderId="2" fillId="3" fontId="2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0" fillId="0" fontId="3" numFmtId="0" xfId="0" applyFont="1"/>
    <xf borderId="4" fillId="0" fontId="1" numFmtId="0" xfId="0" applyAlignment="1" applyBorder="1" applyFont="1">
      <alignment horizontal="center"/>
    </xf>
    <xf borderId="2" fillId="0" fontId="4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readingOrder="0"/>
    </xf>
    <xf borderId="4" fillId="5" fontId="6" numFmtId="0" xfId="0" applyAlignment="1" applyBorder="1" applyFill="1" applyFont="1">
      <alignment horizontal="center" readingOrder="0" shrinkToFit="0" vertical="center" wrapText="0"/>
    </xf>
    <xf borderId="4" fillId="5" fontId="7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vertical="bottom"/>
    </xf>
    <xf borderId="3" fillId="0" fontId="8" numFmtId="0" xfId="0" applyBorder="1" applyFont="1"/>
    <xf borderId="4" fillId="0" fontId="9" numFmtId="0" xfId="0" applyAlignment="1" applyBorder="1" applyFont="1">
      <alignment horizontal="center" readingOrder="0"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6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horizontal="center" readingOrder="0" shrinkToFit="0" vertical="bottom" wrapText="0"/>
    </xf>
    <xf borderId="7" fillId="0" fontId="10" numFmtId="0" xfId="0" applyAlignment="1" applyBorder="1" applyFont="1">
      <alignment horizontal="center" readingOrder="0" vertical="bottom"/>
    </xf>
    <xf borderId="2" fillId="0" fontId="8" numFmtId="0" xfId="0" applyBorder="1" applyFont="1"/>
    <xf borderId="8" fillId="0" fontId="8" numFmtId="0" xfId="0" applyBorder="1" applyFont="1"/>
    <xf borderId="9" fillId="0" fontId="10" numFmtId="0" xfId="0" applyAlignment="1" applyBorder="1" applyFont="1">
      <alignment readingOrder="0" shrinkToFit="0" vertical="bottom" wrapText="0"/>
    </xf>
    <xf borderId="10" fillId="0" fontId="8" numFmtId="0" xfId="0" applyBorder="1" applyFont="1"/>
    <xf borderId="11" fillId="0" fontId="8" numFmtId="0" xfId="0" applyBorder="1" applyFont="1"/>
    <xf borderId="12" fillId="0" fontId="10" numFmtId="0" xfId="0" applyAlignment="1" applyBorder="1" applyFont="1">
      <alignment horizontal="center" readingOrder="0" shrinkToFit="0" vertical="bottom" wrapText="0"/>
    </xf>
    <xf borderId="13" fillId="0" fontId="10" numFmtId="0" xfId="0" applyAlignment="1" applyBorder="1" applyFont="1">
      <alignment horizontal="center" readingOrder="0" vertical="bottom"/>
    </xf>
    <xf borderId="13" fillId="0" fontId="10" numFmtId="0" xfId="0" applyAlignment="1" applyBorder="1" applyFont="1">
      <alignment horizontal="center" readingOrder="0" shrinkToFit="0" vertical="bottom" wrapText="0"/>
    </xf>
    <xf borderId="13" fillId="0" fontId="10" numFmtId="0" xfId="0" applyAlignment="1" applyBorder="1" applyFont="1">
      <alignment horizontal="center" shrinkToFit="0" vertical="bottom" wrapText="0"/>
    </xf>
    <xf borderId="14" fillId="0" fontId="8" numFmtId="0" xfId="0" applyBorder="1" applyFont="1"/>
    <xf borderId="15" fillId="0" fontId="10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/>
    </xf>
    <xf borderId="16" fillId="0" fontId="10" numFmtId="0" xfId="0" applyAlignment="1" applyBorder="1" applyFont="1">
      <alignment horizontal="center" readingOrder="0" shrinkToFit="0" vertical="bottom" wrapText="0"/>
    </xf>
    <xf borderId="17" fillId="0" fontId="10" numFmtId="0" xfId="0" applyAlignment="1" applyBorder="1" applyFont="1">
      <alignment horizontal="center" readingOrder="0" shrinkToFit="0" vertical="bottom" wrapText="0"/>
    </xf>
    <xf borderId="9" fillId="0" fontId="1" numFmtId="0" xfId="0" applyAlignment="1" applyBorder="1" applyFont="1">
      <alignment readingOrder="0"/>
    </xf>
    <xf borderId="18" fillId="0" fontId="10" numFmtId="0" xfId="0" applyAlignment="1" applyBorder="1" applyFont="1">
      <alignment horizontal="center" readingOrder="0" shrinkToFit="0" vertical="bottom" wrapText="0"/>
    </xf>
    <xf borderId="19" fillId="0" fontId="10" numFmtId="0" xfId="0" applyAlignment="1" applyBorder="1" applyFont="1">
      <alignment horizontal="center" readingOrder="0" shrinkToFit="0" vertical="bottom" wrapText="0"/>
    </xf>
    <xf borderId="20" fillId="0" fontId="10" numFmtId="0" xfId="0" applyAlignment="1" applyBorder="1" applyFont="1">
      <alignment readingOrder="0" shrinkToFit="0" vertical="bottom" wrapText="0"/>
    </xf>
    <xf borderId="21" fillId="0" fontId="10" numFmtId="0" xfId="0" applyAlignment="1" applyBorder="1" applyFont="1">
      <alignment horizontal="center" readingOrder="0" shrinkToFit="0" vertical="bottom" wrapText="0"/>
    </xf>
    <xf borderId="22" fillId="0" fontId="10" numFmtId="0" xfId="0" applyAlignment="1" applyBorder="1" applyFont="1">
      <alignment horizontal="center" shrinkToFit="0" vertical="bottom" wrapText="0"/>
    </xf>
    <xf borderId="23" fillId="0" fontId="10" numFmtId="0" xfId="0" applyAlignment="1" applyBorder="1" applyFont="1">
      <alignment readingOrder="0" shrinkToFit="0" vertical="bottom" wrapText="0"/>
    </xf>
    <xf borderId="10" fillId="0" fontId="10" numFmtId="0" xfId="0" applyAlignment="1" applyBorder="1" applyFont="1">
      <alignment horizontal="center" readingOrder="0" shrinkToFit="0" vertical="bottom" wrapText="0"/>
    </xf>
    <xf borderId="11" fillId="0" fontId="10" numFmtId="0" xfId="0" applyAlignment="1" applyBorder="1" applyFont="1">
      <alignment horizontal="center" readingOrder="0" shrinkToFit="0" vertical="bottom" wrapText="0"/>
    </xf>
    <xf borderId="19" fillId="0" fontId="11" numFmtId="0" xfId="0" applyAlignment="1" applyBorder="1" applyFont="1">
      <alignment horizontal="center" readingOrder="0" shrinkToFit="0" vertical="bottom" wrapText="0"/>
    </xf>
    <xf borderId="19" fillId="0" fontId="12" numFmtId="0" xfId="0" applyAlignment="1" applyBorder="1" applyFont="1">
      <alignment horizontal="center" readingOrder="0" shrinkToFit="0" vertical="bottom" wrapText="0"/>
    </xf>
    <xf borderId="15" fillId="0" fontId="10" numFmtId="0" xfId="0" applyAlignment="1" applyBorder="1" applyFont="1">
      <alignment shrinkToFit="0" vertical="bottom" wrapText="0"/>
    </xf>
    <xf borderId="12" fillId="0" fontId="10" numFmtId="0" xfId="0" applyAlignment="1" applyBorder="1" applyFont="1">
      <alignment horizontal="center" shrinkToFit="0" vertical="bottom" wrapText="0"/>
    </xf>
    <xf borderId="21" fillId="0" fontId="10" numFmtId="0" xfId="0" applyAlignment="1" applyBorder="1" applyFont="1">
      <alignment horizontal="center" shrinkToFit="0" vertical="bottom" wrapText="0"/>
    </xf>
    <xf borderId="20" fillId="0" fontId="10" numFmtId="0" xfId="0" applyAlignment="1" applyBorder="1" applyFont="1">
      <alignment shrinkToFit="0" vertical="bottom" wrapText="0"/>
    </xf>
    <xf borderId="22" fillId="0" fontId="10" numFmtId="0" xfId="0" applyAlignment="1" applyBorder="1" applyFont="1">
      <alignment horizontal="center" readingOrder="0" shrinkToFit="0" vertical="bottom" wrapText="0"/>
    </xf>
    <xf borderId="15" fillId="0" fontId="1" numFmtId="0" xfId="0" applyAlignment="1" applyBorder="1" applyFont="1">
      <alignment readingOrder="0"/>
    </xf>
    <xf borderId="6" fillId="0" fontId="10" numFmtId="164" xfId="0" applyAlignment="1" applyBorder="1" applyFont="1" applyNumberFormat="1">
      <alignment horizontal="right" readingOrder="0" shrinkToFit="0" vertical="bottom" wrapText="0"/>
    </xf>
    <xf borderId="9" fillId="0" fontId="10" numFmtId="0" xfId="0" applyAlignment="1" applyBorder="1" applyFont="1">
      <alignment horizontal="right" readingOrder="0" shrinkToFit="0" vertical="bottom" wrapText="0"/>
    </xf>
    <xf borderId="9" fillId="0" fontId="10" numFmtId="164" xfId="0" applyAlignment="1" applyBorder="1" applyFont="1" applyNumberFormat="1">
      <alignment horizontal="right" readingOrder="0" shrinkToFit="0" vertical="bottom" wrapText="0"/>
    </xf>
    <xf borderId="10" fillId="0" fontId="10" numFmtId="0" xfId="0" applyAlignment="1" applyBorder="1" applyFont="1">
      <alignment horizontal="center" shrinkToFit="0" vertical="bottom" wrapText="0"/>
    </xf>
    <xf borderId="9" fillId="0" fontId="10" numFmtId="0" xfId="0" applyAlignment="1" applyBorder="1" applyFont="1">
      <alignment shrinkToFit="0" vertical="bottom" wrapText="0"/>
    </xf>
    <xf borderId="18" fillId="0" fontId="10" numFmtId="0" xfId="0" applyAlignment="1" applyBorder="1" applyFont="1">
      <alignment horizontal="center" shrinkToFit="0" vertical="bottom" wrapText="0"/>
    </xf>
    <xf borderId="23" fillId="0" fontId="10" numFmtId="9" xfId="0" applyAlignment="1" applyBorder="1" applyFont="1" applyNumberFormat="1">
      <alignment horizontal="right" readingOrder="0" shrinkToFit="0" vertical="bottom" wrapText="0"/>
    </xf>
    <xf borderId="9" fillId="0" fontId="10" numFmtId="9" xfId="0" applyAlignment="1" applyBorder="1" applyFont="1" applyNumberFormat="1">
      <alignment horizontal="right" readingOrder="0" shrinkToFit="0" vertical="bottom" wrapText="0"/>
    </xf>
    <xf borderId="9" fillId="0" fontId="10" numFmtId="20" xfId="0" applyAlignment="1" applyBorder="1" applyFont="1" applyNumberForma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24" fillId="6" fontId="14" numFmtId="0" xfId="0" applyAlignment="1" applyBorder="1" applyFill="1" applyFont="1">
      <alignment readingOrder="0" shrinkToFit="0" vertical="bottom" wrapText="0"/>
    </xf>
    <xf borderId="24" fillId="6" fontId="7" numFmtId="0" xfId="0" applyAlignment="1" applyBorder="1" applyFont="1">
      <alignment readingOrder="0" shrinkToFit="0" vertical="bottom" wrapText="0"/>
    </xf>
    <xf borderId="25" fillId="6" fontId="7" numFmtId="0" xfId="0" applyAlignment="1" applyBorder="1" applyFont="1">
      <alignment horizontal="center" readingOrder="0" shrinkToFit="0" vertical="bottom" wrapText="0"/>
    </xf>
    <xf borderId="26" fillId="0" fontId="8" numFmtId="0" xfId="0" applyBorder="1" applyFont="1"/>
    <xf borderId="27" fillId="0" fontId="8" numFmtId="0" xfId="0" applyBorder="1" applyFont="1"/>
    <xf borderId="28" fillId="0" fontId="9" numFmtId="0" xfId="0" applyAlignment="1" applyBorder="1" applyFont="1">
      <alignment horizontal="right" readingOrder="0" shrinkToFit="0" vertical="bottom" wrapText="0"/>
    </xf>
    <xf borderId="0" fillId="7" fontId="9" numFmtId="0" xfId="0" applyAlignment="1" applyFill="1" applyFont="1">
      <alignment readingOrder="0" shrinkToFit="0" vertical="bottom" wrapText="0"/>
    </xf>
    <xf borderId="29" fillId="0" fontId="10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30" fillId="0" fontId="10" numFmtId="0" xfId="0" applyAlignment="1" applyBorder="1" applyFont="1">
      <alignment readingOrder="0" shrinkToFit="0" vertical="bottom" wrapText="0"/>
    </xf>
    <xf borderId="28" fillId="0" fontId="9" numFmtId="0" xfId="0" applyAlignment="1" applyBorder="1" applyFont="1">
      <alignment shrinkToFit="0" vertical="bottom" wrapText="0"/>
    </xf>
    <xf borderId="30" fillId="0" fontId="10" numFmtId="0" xfId="0" applyAlignment="1" applyBorder="1" applyFont="1">
      <alignment shrinkToFit="0" vertical="bottom" wrapText="0"/>
    </xf>
    <xf borderId="31" fillId="0" fontId="9" numFmtId="0" xfId="0" applyAlignment="1" applyBorder="1" applyFont="1">
      <alignment shrinkToFit="0" vertical="bottom" wrapText="0"/>
    </xf>
    <xf borderId="32" fillId="0" fontId="9" numFmtId="0" xfId="0" applyAlignment="1" applyBorder="1" applyFont="1">
      <alignment shrinkToFit="0" vertical="bottom" wrapText="0"/>
    </xf>
    <xf borderId="33" fillId="0" fontId="10" numFmtId="0" xfId="0" applyAlignment="1" applyBorder="1" applyFont="1">
      <alignment shrinkToFit="0" vertical="bottom" wrapText="0"/>
    </xf>
    <xf borderId="32" fillId="0" fontId="10" numFmtId="0" xfId="0" applyAlignment="1" applyBorder="1" applyFont="1">
      <alignment shrinkToFit="0" vertical="bottom" wrapText="0"/>
    </xf>
    <xf borderId="34" fillId="0" fontId="10" numFmtId="0" xfId="0" applyAlignment="1" applyBorder="1" applyFont="1">
      <alignment shrinkToFit="0" vertical="bottom" wrapText="0"/>
    </xf>
    <xf borderId="29" fillId="0" fontId="10" numFmtId="0" xfId="0" applyAlignment="1" applyBorder="1" applyFont="1">
      <alignment readingOrder="0" shrinkToFit="0" wrapText="0"/>
    </xf>
    <xf borderId="0" fillId="0" fontId="10" numFmtId="0" xfId="0" applyAlignment="1" applyFont="1">
      <alignment shrinkToFit="0" wrapText="0"/>
    </xf>
    <xf borderId="30" fillId="0" fontId="10" numFmtId="0" xfId="0" applyAlignment="1" applyBorder="1" applyFont="1">
      <alignment shrinkToFit="0" wrapText="0"/>
    </xf>
    <xf borderId="33" fillId="0" fontId="10" numFmtId="0" xfId="0" applyAlignment="1" applyBorder="1" applyFont="1">
      <alignment horizontal="left" shrinkToFit="0" wrapText="0"/>
    </xf>
    <xf borderId="29" fillId="0" fontId="10" numFmtId="0" xfId="0" applyAlignment="1" applyBorder="1" applyFont="1">
      <alignment shrinkToFit="0" vertical="bottom" wrapText="0"/>
    </xf>
    <xf borderId="35" fillId="0" fontId="9" numFmtId="0" xfId="0" applyAlignment="1" applyBorder="1" applyFont="1">
      <alignment horizontal="right" readingOrder="0" shrinkToFit="0" vertical="bottom" wrapText="0"/>
    </xf>
    <xf borderId="36" fillId="7" fontId="9" numFmtId="0" xfId="0" applyAlignment="1" applyBorder="1" applyFont="1">
      <alignment readingOrder="0" shrinkToFit="0" vertical="bottom" wrapText="0"/>
    </xf>
    <xf borderId="37" fillId="0" fontId="10" numFmtId="0" xfId="0" applyAlignment="1" applyBorder="1" applyFont="1">
      <alignment readingOrder="0" shrinkToFit="0" vertical="bottom" wrapText="0"/>
    </xf>
    <xf borderId="36" fillId="0" fontId="10" numFmtId="0" xfId="0" applyAlignment="1" applyBorder="1" applyFont="1">
      <alignment shrinkToFit="0" vertical="bottom" wrapText="0"/>
    </xf>
    <xf borderId="38" fillId="0" fontId="10" numFmtId="0" xfId="0" applyAlignment="1" applyBorder="1" applyFont="1">
      <alignment shrinkToFit="0" vertical="bottom" wrapText="0"/>
    </xf>
    <xf borderId="38" fillId="0" fontId="10" numFmtId="0" xfId="0" applyAlignment="1" applyBorder="1" applyFont="1">
      <alignment readingOrder="0" shrinkToFit="0" vertical="bottom" wrapText="0"/>
    </xf>
    <xf borderId="29" fillId="0" fontId="10" numFmtId="0" xfId="0" applyAlignment="1" applyBorder="1" applyFont="1">
      <alignment horizontal="left" shrinkToFit="0" wrapText="0"/>
    </xf>
    <xf borderId="30" fillId="0" fontId="10" numFmtId="0" xfId="0" applyAlignment="1" applyBorder="1" applyFont="1">
      <alignment horizontal="right" readingOrder="0" shrinkToFit="0" vertical="bottom" wrapText="0"/>
    </xf>
    <xf borderId="37" fillId="0" fontId="10" numFmtId="0" xfId="0" applyAlignment="1" applyBorder="1" applyFont="1">
      <alignment readingOrder="0" vertical="bottom"/>
    </xf>
    <xf borderId="29" fillId="0" fontId="10" numFmtId="0" xfId="0" applyAlignment="1" applyBorder="1" applyFont="1">
      <alignment readingOrder="0" vertical="bottom"/>
    </xf>
    <xf borderId="38" fillId="0" fontId="10" numFmtId="0" xfId="0" applyAlignment="1" applyBorder="1" applyFont="1">
      <alignment horizontal="center" readingOrder="0" shrinkToFit="0" vertical="bottom" wrapText="0"/>
    </xf>
    <xf borderId="30" fillId="0" fontId="10" numFmtId="0" xfId="0" applyAlignment="1" applyBorder="1" applyFont="1">
      <alignment horizontal="center" readingOrder="0" shrinkToFit="0" vertical="bottom" wrapText="0"/>
    </xf>
    <xf borderId="24" fillId="8" fontId="15" numFmtId="0" xfId="0" applyAlignment="1" applyBorder="1" applyFill="1" applyFont="1">
      <alignment readingOrder="0" shrinkToFit="0" vertical="bottom" wrapText="0"/>
    </xf>
    <xf borderId="24" fillId="8" fontId="9" numFmtId="0" xfId="0" applyAlignment="1" applyBorder="1" applyFont="1">
      <alignment readingOrder="0" shrinkToFit="0" vertical="bottom" wrapText="0"/>
    </xf>
    <xf borderId="24" fillId="8" fontId="9" numFmtId="0" xfId="0" applyAlignment="1" applyBorder="1" applyFont="1">
      <alignment shrinkToFit="0" vertical="bottom" wrapText="0"/>
    </xf>
    <xf borderId="24" fillId="0" fontId="9" numFmtId="0" xfId="0" applyAlignment="1" applyBorder="1" applyFont="1">
      <alignment horizontal="right" readingOrder="0" shrinkToFit="0" vertical="bottom" wrapText="0"/>
    </xf>
    <xf borderId="24" fillId="9" fontId="9" numFmtId="0" xfId="0" applyAlignment="1" applyBorder="1" applyFill="1" applyFont="1">
      <alignment readingOrder="0" shrinkToFit="0" vertical="bottom" wrapText="0"/>
    </xf>
    <xf borderId="24" fillId="0" fontId="10" numFmtId="0" xfId="0" applyAlignment="1" applyBorder="1" applyFont="1">
      <alignment readingOrder="0" shrinkToFit="0" vertical="bottom" wrapText="0"/>
    </xf>
    <xf borderId="24" fillId="10" fontId="10" numFmtId="0" xfId="0" applyAlignment="1" applyBorder="1" applyFill="1" applyFont="1">
      <alignment readingOrder="0" shrinkToFit="0" vertical="bottom" wrapText="0"/>
    </xf>
    <xf borderId="24" fillId="0" fontId="10" numFmtId="0" xfId="0" applyAlignment="1" applyBorder="1" applyFont="1">
      <alignment shrinkToFit="0" vertical="bottom" wrapText="0"/>
    </xf>
    <xf borderId="24" fillId="9" fontId="10" numFmtId="0" xfId="0" applyAlignment="1" applyBorder="1" applyFont="1">
      <alignment shrinkToFit="0" vertical="bottom" wrapText="0"/>
    </xf>
    <xf borderId="24" fillId="0" fontId="10" numFmtId="0" xfId="0" applyAlignment="1" applyBorder="1" applyFont="1">
      <alignment horizontal="right" readingOrder="0" shrinkToFit="0" vertical="bottom" wrapText="0"/>
    </xf>
    <xf borderId="24" fillId="10" fontId="10" numFmtId="0" xfId="0" applyAlignment="1" applyBorder="1" applyFont="1">
      <alignment shrinkToFit="0" vertical="bottom" wrapText="0"/>
    </xf>
    <xf borderId="24" fillId="0" fontId="10" numFmtId="0" xfId="0" applyAlignment="1" applyBorder="1" applyFont="1">
      <alignment readingOrder="0" shrinkToFit="0" vertical="bottom" wrapText="0"/>
    </xf>
    <xf borderId="24" fillId="10" fontId="10" numFmtId="0" xfId="0" applyAlignment="1" applyBorder="1" applyFont="1">
      <alignment horizontal="center" readingOrder="0" shrinkToFit="0" vertical="bottom" wrapText="0"/>
    </xf>
    <xf borderId="24" fillId="0" fontId="10" numFmtId="0" xfId="0" applyAlignment="1" applyBorder="1" applyFont="1">
      <alignment shrinkToFit="0" vertical="bottom" wrapText="0"/>
    </xf>
    <xf borderId="24" fillId="9" fontId="10" numFmtId="0" xfId="0" applyAlignment="1" applyBorder="1" applyFont="1">
      <alignment shrinkToFit="0" vertical="bottom" wrapText="0"/>
    </xf>
    <xf borderId="24" fillId="10" fontId="10" numFmtId="0" xfId="0" applyAlignment="1" applyBorder="1" applyFont="1">
      <alignment shrinkToFit="0" vertical="bottom" wrapText="0"/>
    </xf>
    <xf borderId="24" fillId="10" fontId="10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24" fillId="11" fontId="16" numFmtId="0" xfId="0" applyAlignment="1" applyBorder="1" applyFill="1" applyFont="1">
      <alignment readingOrder="0" shrinkToFit="0" vertical="bottom" wrapText="0"/>
    </xf>
    <xf borderId="24" fillId="11" fontId="10" numFmtId="0" xfId="0" applyAlignment="1" applyBorder="1" applyFont="1">
      <alignment horizontal="center" readingOrder="0" shrinkToFit="0" vertical="bottom" wrapText="0"/>
    </xf>
    <xf borderId="25" fillId="11" fontId="10" numFmtId="0" xfId="0" applyAlignment="1" applyBorder="1" applyFont="1">
      <alignment horizontal="center" readingOrder="0" shrinkToFit="0" vertical="bottom" wrapText="0"/>
    </xf>
    <xf borderId="24" fillId="11" fontId="10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borderId="24" fillId="0" fontId="10" numFmtId="0" xfId="0" applyAlignment="1" applyBorder="1" applyFont="1">
      <alignment horizontal="center" readingOrder="0" shrinkToFit="0" vertical="bottom" wrapText="0"/>
    </xf>
    <xf borderId="35" fillId="0" fontId="10" numFmtId="0" xfId="0" applyAlignment="1" applyBorder="1" applyFont="1">
      <alignment horizontal="center" shrinkToFit="0" vertical="bottom" wrapText="0"/>
    </xf>
    <xf borderId="24" fillId="0" fontId="10" numFmtId="0" xfId="0" applyAlignment="1" applyBorder="1" applyFont="1">
      <alignment horizontal="left" readingOrder="0" shrinkToFit="0" vertical="bottom" wrapText="0"/>
    </xf>
    <xf borderId="28" fillId="0" fontId="10" numFmtId="0" xfId="0" applyAlignment="1" applyBorder="1" applyFont="1">
      <alignment horizontal="center" shrinkToFit="0" vertical="bottom" wrapText="0"/>
    </xf>
    <xf borderId="28" fillId="0" fontId="10" numFmtId="0" xfId="0" applyAlignment="1" applyBorder="1" applyFont="1">
      <alignment horizontal="center" readingOrder="0" shrinkToFit="0" vertical="bottom" wrapText="0"/>
    </xf>
    <xf borderId="31" fillId="0" fontId="10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left" shrinkToFit="0" vertical="bottom" wrapText="0"/>
    </xf>
    <xf borderId="35" fillId="0" fontId="10" numFmtId="0" xfId="0" applyAlignment="1" applyBorder="1" applyFont="1">
      <alignment horizontal="left" shrinkToFit="0" vertical="bottom" wrapText="0"/>
    </xf>
    <xf borderId="28" fillId="0" fontId="10" numFmtId="0" xfId="0" applyAlignment="1" applyBorder="1" applyFont="1">
      <alignment horizontal="left" shrinkToFit="0" vertical="bottom" wrapText="0"/>
    </xf>
    <xf borderId="31" fillId="0" fontId="10" numFmtId="0" xfId="0" applyAlignment="1" applyBorder="1" applyFont="1">
      <alignment horizontal="left" shrinkToFit="0" vertical="bottom" wrapText="0"/>
    </xf>
    <xf borderId="35" fillId="0" fontId="10" numFmtId="0" xfId="0" applyAlignment="1" applyBorder="1" applyFont="1">
      <alignment shrinkToFit="0" vertical="bottom" wrapText="0"/>
    </xf>
    <xf borderId="28" fillId="0" fontId="10" numFmtId="0" xfId="0" applyAlignment="1" applyBorder="1" applyFont="1">
      <alignment shrinkToFit="0" vertical="bottom" wrapText="0"/>
    </xf>
    <xf borderId="31" fillId="0" fontId="10" numFmtId="0" xfId="0" applyAlignment="1" applyBorder="1" applyFont="1">
      <alignment shrinkToFit="0" vertical="bottom" wrapText="0"/>
    </xf>
    <xf borderId="24" fillId="12" fontId="1" numFmtId="0" xfId="0" applyAlignment="1" applyBorder="1" applyFill="1" applyFont="1">
      <alignment readingOrder="0"/>
    </xf>
    <xf borderId="24" fillId="0" fontId="1" numFmtId="0" xfId="0" applyBorder="1" applyFont="1"/>
    <xf borderId="24" fillId="0" fontId="1" numFmtId="0" xfId="0" applyAlignment="1" applyBorder="1" applyFont="1">
      <alignment readingOrder="0"/>
    </xf>
    <xf borderId="24" fillId="13" fontId="1" numFmtId="0" xfId="0" applyAlignment="1" applyBorder="1" applyFill="1" applyFont="1">
      <alignment readingOrder="0"/>
    </xf>
    <xf borderId="24" fillId="2" fontId="1" numFmtId="0" xfId="0" applyAlignment="1" applyBorder="1" applyFont="1">
      <alignment readingOrder="0"/>
    </xf>
    <xf borderId="24" fillId="14" fontId="17" numFmtId="0" xfId="0" applyAlignment="1" applyBorder="1" applyFill="1" applyFont="1">
      <alignment horizontal="center" readingOrder="0" vertical="bottom"/>
    </xf>
    <xf borderId="27" fillId="14" fontId="17" numFmtId="0" xfId="0" applyAlignment="1" applyBorder="1" applyFont="1">
      <alignment horizontal="center" readingOrder="0" vertical="bottom"/>
    </xf>
    <xf borderId="28" fillId="14" fontId="11" numFmtId="0" xfId="0" applyAlignment="1" applyBorder="1" applyFont="1">
      <alignment vertical="bottom"/>
    </xf>
    <xf borderId="30" fillId="14" fontId="11" numFmtId="0" xfId="0" applyAlignment="1" applyBorder="1" applyFont="1">
      <alignment vertical="bottom"/>
    </xf>
    <xf borderId="28" fillId="14" fontId="17" numFmtId="0" xfId="0" applyAlignment="1" applyBorder="1" applyFont="1">
      <alignment horizontal="center" readingOrder="0" vertical="bottom"/>
    </xf>
    <xf borderId="30" fillId="14" fontId="17" numFmtId="0" xfId="0" applyAlignment="1" applyBorder="1" applyFont="1">
      <alignment horizontal="center" readingOrder="0" vertical="bottom"/>
    </xf>
    <xf borderId="30" fillId="14" fontId="11" numFmtId="0" xfId="0" applyAlignment="1" applyBorder="1" applyFont="1">
      <alignment horizontal="center" readingOrder="0" vertical="bottom"/>
    </xf>
    <xf borderId="30" fillId="14" fontId="11" numFmtId="0" xfId="0" applyAlignment="1" applyBorder="1" applyFont="1">
      <alignment horizontal="center" vertical="bottom"/>
    </xf>
    <xf borderId="31" fillId="14" fontId="11" numFmtId="0" xfId="0" applyAlignment="1" applyBorder="1" applyFont="1">
      <alignment vertical="bottom"/>
    </xf>
    <xf borderId="34" fillId="14" fontId="11" numFmtId="0" xfId="0" applyAlignment="1" applyBorder="1" applyFont="1">
      <alignment vertical="bottom"/>
    </xf>
    <xf borderId="34" fillId="14" fontId="11" numFmtId="0" xfId="0" applyAlignment="1" applyBorder="1" applyFont="1">
      <alignment horizontal="center" readingOrder="0" vertical="bottom"/>
    </xf>
    <xf borderId="30" fillId="14" fontId="18" numFmtId="0" xfId="0" applyAlignment="1" applyBorder="1" applyFont="1">
      <alignment horizontal="center" readingOrder="0" vertical="bottom"/>
    </xf>
    <xf borderId="24" fillId="15" fontId="2" numFmtId="0" xfId="0" applyAlignment="1" applyBorder="1" applyFill="1" applyFont="1">
      <alignment horizontal="center" readingOrder="0"/>
    </xf>
    <xf borderId="24" fillId="15" fontId="2" numFmtId="0" xfId="0" applyAlignment="1" applyBorder="1" applyFont="1">
      <alignment horizontal="left" readingOrder="0"/>
    </xf>
    <xf borderId="24" fillId="0" fontId="19" numFmtId="0" xfId="0" applyAlignment="1" applyBorder="1" applyFont="1">
      <alignment horizontal="center" readingOrder="0"/>
    </xf>
    <xf borderId="24" fillId="0" fontId="1" numFmtId="0" xfId="0" applyAlignment="1" applyBorder="1" applyFont="1">
      <alignment horizontal="left" readingOrder="0"/>
    </xf>
    <xf borderId="24" fillId="0" fontId="1" numFmtId="0" xfId="0" applyAlignment="1" applyBorder="1" applyFont="1">
      <alignment horizontal="left" readingOrder="0"/>
    </xf>
    <xf borderId="0" fillId="0" fontId="2" numFmtId="0" xfId="0" applyAlignment="1" applyFont="1">
      <alignment horizontal="center" readingOrder="0"/>
    </xf>
    <xf borderId="24" fillId="0" fontId="2" numFmtId="0" xfId="0" applyAlignment="1" applyBorder="1" applyFont="1">
      <alignment horizontal="center" readingOrder="0"/>
    </xf>
    <xf borderId="24" fillId="0" fontId="3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24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24" fillId="16" fontId="20" numFmtId="0" xfId="0" applyAlignment="1" applyBorder="1" applyFill="1" applyFont="1">
      <alignment readingOrder="0"/>
    </xf>
    <xf borderId="24" fillId="16" fontId="2" numFmtId="0" xfId="0" applyAlignment="1" applyBorder="1" applyFont="1">
      <alignment readingOrder="0"/>
    </xf>
    <xf borderId="25" fillId="16" fontId="2" numFmtId="0" xfId="0" applyBorder="1" applyFont="1"/>
    <xf borderId="26" fillId="16" fontId="2" numFmtId="0" xfId="0" applyAlignment="1" applyBorder="1" applyFont="1">
      <alignment horizontal="center" readingOrder="0"/>
    </xf>
    <xf borderId="27" fillId="16" fontId="1" numFmtId="0" xfId="0" applyBorder="1" applyFont="1"/>
    <xf borderId="38" fillId="16" fontId="2" numFmtId="0" xfId="0" applyAlignment="1" applyBorder="1" applyFont="1">
      <alignment readingOrder="0"/>
    </xf>
    <xf borderId="35" fillId="0" fontId="2" numFmtId="0" xfId="0" applyAlignment="1" applyBorder="1" applyFont="1">
      <alignment readingOrder="0"/>
    </xf>
    <xf borderId="35" fillId="17" fontId="2" numFmtId="0" xfId="0" applyAlignment="1" applyBorder="1" applyFill="1" applyFont="1">
      <alignment readingOrder="0"/>
    </xf>
    <xf borderId="37" fillId="0" fontId="1" numFmtId="0" xfId="0" applyAlignment="1" applyBorder="1" applyFont="1">
      <alignment readingOrder="0"/>
    </xf>
    <xf borderId="36" fillId="0" fontId="1" numFmtId="0" xfId="0" applyAlignment="1" applyBorder="1" applyFont="1">
      <alignment readingOrder="0"/>
    </xf>
    <xf borderId="38" fillId="0" fontId="1" numFmtId="0" xfId="0" applyAlignment="1" applyBorder="1" applyFont="1">
      <alignment readingOrder="0"/>
    </xf>
    <xf borderId="35" fillId="0" fontId="1" numFmtId="0" xfId="0" applyAlignment="1" applyBorder="1" applyFont="1">
      <alignment readingOrder="0"/>
    </xf>
    <xf borderId="38" fillId="0" fontId="1" numFmtId="0" xfId="0" applyBorder="1" applyFont="1"/>
    <xf borderId="28" fillId="0" fontId="1" numFmtId="0" xfId="0" applyBorder="1" applyFont="1"/>
    <xf borderId="29" fillId="0" fontId="1" numFmtId="0" xfId="0" applyAlignment="1" applyBorder="1" applyFont="1">
      <alignment readingOrder="0"/>
    </xf>
    <xf borderId="30" fillId="0" fontId="1" numFmtId="0" xfId="0" applyAlignment="1" applyBorder="1" applyFont="1">
      <alignment readingOrder="0"/>
    </xf>
    <xf borderId="28" fillId="0" fontId="1" numFmtId="0" xfId="0" applyAlignment="1" applyBorder="1" applyFont="1">
      <alignment readingOrder="0"/>
    </xf>
    <xf borderId="30" fillId="0" fontId="1" numFmtId="0" xfId="0" applyBorder="1" applyFont="1"/>
    <xf borderId="31" fillId="0" fontId="2" numFmtId="0" xfId="0" applyBorder="1" applyFont="1"/>
    <xf borderId="31" fillId="0" fontId="1" numFmtId="0" xfId="0" applyBorder="1" applyFont="1"/>
    <xf borderId="33" fillId="0" fontId="1" numFmtId="0" xfId="0" applyBorder="1" applyFont="1"/>
    <xf borderId="32" fillId="0" fontId="1" numFmtId="0" xfId="0" applyBorder="1" applyFont="1"/>
    <xf borderId="34" fillId="0" fontId="1" numFmtId="0" xfId="0" applyBorder="1" applyFont="1"/>
    <xf borderId="28" fillId="0" fontId="2" numFmtId="0" xfId="0" applyAlignment="1" applyBorder="1" applyFont="1">
      <alignment readingOrder="0"/>
    </xf>
    <xf borderId="28" fillId="17" fontId="2" numFmtId="0" xfId="0" applyAlignment="1" applyBorder="1" applyFont="1">
      <alignment readingOrder="0"/>
    </xf>
    <xf borderId="29" fillId="0" fontId="1" numFmtId="0" xfId="0" applyBorder="1" applyFont="1"/>
    <xf borderId="33" fillId="0" fontId="1" numFmtId="0" xfId="0" applyAlignment="1" applyBorder="1" applyFont="1">
      <alignment readingOrder="0"/>
    </xf>
    <xf borderId="32" fillId="0" fontId="1" numFmtId="0" xfId="0" applyAlignment="1" applyBorder="1" applyFont="1">
      <alignment readingOrder="0"/>
    </xf>
    <xf borderId="31" fillId="0" fontId="1" numFmtId="0" xfId="0" applyAlignment="1" applyBorder="1" applyFont="1">
      <alignment readingOrder="0"/>
    </xf>
    <xf borderId="35" fillId="16" fontId="9" numFmtId="0" xfId="0" applyAlignment="1" applyBorder="1" applyFont="1">
      <alignment horizontal="center" readingOrder="0" shrinkToFit="0" vertical="center" wrapText="0"/>
    </xf>
    <xf borderId="35" fillId="16" fontId="9" numFmtId="0" xfId="0" applyAlignment="1" applyBorder="1" applyFont="1">
      <alignment horizontal="center" readingOrder="0" shrinkToFit="0" vertical="center" wrapText="0"/>
    </xf>
    <xf borderId="37" fillId="16" fontId="9" numFmtId="0" xfId="0" applyAlignment="1" applyBorder="1" applyFont="1">
      <alignment horizontal="center" readingOrder="0" shrinkToFit="0" vertical="center" wrapText="0"/>
    </xf>
    <xf borderId="36" fillId="0" fontId="8" numFmtId="0" xfId="0" applyBorder="1" applyFont="1"/>
    <xf borderId="38" fillId="0" fontId="8" numFmtId="0" xfId="0" applyBorder="1" applyFont="1"/>
    <xf borderId="0" fillId="0" fontId="10" numFmtId="0" xfId="0" applyAlignment="1" applyFont="1">
      <alignment horizontal="right" readingOrder="0" shrinkToFit="0" vertical="bottom" wrapText="0"/>
    </xf>
    <xf borderId="31" fillId="0" fontId="8" numFmtId="0" xfId="0" applyBorder="1" applyFont="1"/>
    <xf borderId="33" fillId="0" fontId="8" numFmtId="0" xfId="0" applyBorder="1" applyFont="1"/>
    <xf borderId="32" fillId="0" fontId="8" numFmtId="0" xfId="0" applyBorder="1" applyFont="1"/>
    <xf borderId="34" fillId="0" fontId="8" numFmtId="0" xfId="0" applyBorder="1" applyFont="1"/>
    <xf borderId="35" fillId="0" fontId="10" numFmtId="0" xfId="0" applyAlignment="1" applyBorder="1" applyFont="1">
      <alignment horizontal="center" readingOrder="0" shrinkToFit="0" vertical="center" wrapText="0"/>
    </xf>
    <xf borderId="24" fillId="0" fontId="10" numFmtId="0" xfId="0" applyAlignment="1" applyBorder="1" applyFont="1">
      <alignment readingOrder="0" shrinkToFit="0" vertical="bottom" wrapText="1"/>
    </xf>
    <xf borderId="28" fillId="0" fontId="8" numFmtId="0" xfId="0" applyBorder="1" applyFont="1"/>
    <xf borderId="24" fillId="0" fontId="10" numFmtId="0" xfId="0" applyAlignment="1" applyBorder="1" applyFont="1">
      <alignment readingOrder="0" vertical="bottom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shrinkToFit="0" vertical="center" wrapText="0"/>
    </xf>
    <xf borderId="24" fillId="0" fontId="10" numFmtId="0" xfId="0" applyAlignment="1" applyBorder="1" applyFont="1">
      <alignment shrinkToFit="0" wrapText="0"/>
    </xf>
    <xf borderId="24" fillId="0" fontId="10" numFmtId="0" xfId="0" applyAlignment="1" applyBorder="1" applyFont="1">
      <alignment readingOrder="0" shrinkToFit="0" wrapText="0"/>
    </xf>
    <xf borderId="37" fillId="18" fontId="21" numFmtId="0" xfId="0" applyAlignment="1" applyBorder="1" applyFill="1" applyFont="1">
      <alignment horizontal="center" readingOrder="0"/>
    </xf>
    <xf borderId="36" fillId="18" fontId="1" numFmtId="0" xfId="0" applyAlignment="1" applyBorder="1" applyFont="1">
      <alignment horizontal="center" readingOrder="0"/>
    </xf>
    <xf borderId="36" fillId="18" fontId="1" numFmtId="0" xfId="0" applyAlignment="1" applyBorder="1" applyFont="1">
      <alignment horizontal="center"/>
    </xf>
    <xf borderId="38" fillId="18" fontId="1" numFmtId="0" xfId="0" applyAlignment="1" applyBorder="1" applyFont="1">
      <alignment horizontal="center" readingOrder="0"/>
    </xf>
    <xf borderId="37" fillId="0" fontId="1" numFmtId="0" xfId="0" applyAlignment="1" applyBorder="1" applyFont="1">
      <alignment horizontal="center" readingOrder="0"/>
    </xf>
    <xf borderId="36" fillId="0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 readingOrder="0"/>
    </xf>
    <xf borderId="0" fillId="18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30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33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/>
    </xf>
    <xf borderId="34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center"/>
    </xf>
    <xf borderId="36" fillId="0" fontId="1" numFmtId="0" xfId="0" applyAlignment="1" applyBorder="1" applyFont="1">
      <alignment horizontal="center"/>
    </xf>
    <xf borderId="32" fillId="0" fontId="1" numFmtId="0" xfId="0" applyAlignment="1" applyBorder="1" applyFont="1">
      <alignment horizontal="center" readingOrder="0"/>
    </xf>
    <xf borderId="0" fillId="0" fontId="22" numFmtId="0" xfId="0" applyFont="1"/>
    <xf borderId="24" fillId="19" fontId="23" numFmtId="0" xfId="0" applyAlignment="1" applyBorder="1" applyFill="1" applyFont="1">
      <alignment horizontal="center" readingOrder="0"/>
    </xf>
    <xf borderId="24" fillId="19" fontId="24" numFmtId="0" xfId="0" applyAlignment="1" applyBorder="1" applyFont="1">
      <alignment horizontal="center" readingOrder="0"/>
    </xf>
    <xf borderId="24" fillId="19" fontId="24" numFmtId="0" xfId="0" applyAlignment="1" applyBorder="1" applyFont="1">
      <alignment horizontal="center" readingOrder="0" vertical="top"/>
    </xf>
    <xf borderId="24" fillId="0" fontId="1" numFmtId="0" xfId="0" applyAlignment="1" applyBorder="1" applyFont="1">
      <alignment horizontal="center"/>
    </xf>
    <xf borderId="24" fillId="3" fontId="25" numFmtId="0" xfId="0" applyAlignment="1" applyBorder="1" applyFont="1">
      <alignment horizontal="center" readingOrder="0"/>
    </xf>
    <xf borderId="24" fillId="0" fontId="26" numFmtId="0" xfId="0" applyAlignment="1" applyBorder="1" applyFont="1">
      <alignment horizontal="center" readingOrder="0"/>
    </xf>
    <xf borderId="24" fillId="0" fontId="27" numFmtId="0" xfId="0" applyAlignment="1" applyBorder="1" applyFont="1">
      <alignment horizontal="center" readingOrder="0"/>
    </xf>
    <xf borderId="24" fillId="0" fontId="1" numFmtId="0" xfId="0" applyAlignment="1" applyBorder="1" applyFont="1">
      <alignment horizontal="right"/>
    </xf>
    <xf borderId="24" fillId="0" fontId="28" numFmtId="0" xfId="0" applyAlignment="1" applyBorder="1" applyFont="1">
      <alignment horizontal="center" readingOrder="0"/>
    </xf>
    <xf borderId="24" fillId="20" fontId="2" numFmtId="0" xfId="0" applyAlignment="1" applyBorder="1" applyFill="1" applyFont="1">
      <alignment horizontal="center" readingOrder="0"/>
    </xf>
    <xf borderId="24" fillId="0" fontId="1" numFmtId="0" xfId="0" applyAlignment="1" applyBorder="1" applyFont="1">
      <alignment horizontal="center" readingOrder="0"/>
    </xf>
    <xf borderId="24" fillId="0" fontId="2" numFmtId="0" xfId="0" applyAlignment="1" applyBorder="1" applyFont="1">
      <alignment horizontal="center"/>
    </xf>
    <xf borderId="24" fillId="3" fontId="2" numFmtId="0" xfId="0" applyAlignment="1" applyBorder="1" applyFont="1">
      <alignment readingOrder="0"/>
    </xf>
    <xf borderId="24" fillId="0" fontId="2" numFmtId="0" xfId="0" applyBorder="1" applyFont="1"/>
    <xf borderId="0" fillId="0" fontId="1" numFmtId="0" xfId="0" applyAlignment="1" applyFont="1">
      <alignment readingOrder="0"/>
    </xf>
    <xf borderId="39" fillId="0" fontId="25" numFmtId="0" xfId="0" applyAlignment="1" applyBorder="1" applyFont="1">
      <alignment horizontal="center" readingOrder="0"/>
    </xf>
    <xf borderId="40" fillId="0" fontId="25" numFmtId="0" xfId="0" applyAlignment="1" applyBorder="1" applyFont="1">
      <alignment horizontal="center" readingOrder="0"/>
    </xf>
    <xf borderId="41" fillId="0" fontId="25" numFmtId="0" xfId="0" applyAlignment="1" applyBorder="1" applyFont="1">
      <alignment horizontal="center" readingOrder="0"/>
    </xf>
    <xf borderId="42" fillId="0" fontId="25" numFmtId="0" xfId="0" applyAlignment="1" applyBorder="1" applyFont="1">
      <alignment horizontal="center" readingOrder="0"/>
    </xf>
    <xf borderId="43" fillId="0" fontId="25" numFmtId="0" xfId="0" applyAlignment="1" applyBorder="1" applyFont="1">
      <alignment horizontal="center" readingOrder="0" shrinkToFit="0" vertical="center" wrapText="0"/>
    </xf>
    <xf borderId="43" fillId="0" fontId="25" numFmtId="0" xfId="0" applyAlignment="1" applyBorder="1" applyFont="1">
      <alignment horizontal="center" readingOrder="0" vertical="center"/>
    </xf>
    <xf borderId="44" fillId="0" fontId="1" numFmtId="0" xfId="0" applyAlignment="1" applyBorder="1" applyFont="1">
      <alignment horizontal="center" readingOrder="0"/>
    </xf>
    <xf borderId="45" fillId="0" fontId="1" numFmtId="0" xfId="0" applyAlignment="1" applyBorder="1" applyFont="1">
      <alignment readingOrder="0"/>
    </xf>
    <xf borderId="46" fillId="0" fontId="1" numFmtId="0" xfId="0" applyBorder="1" applyFont="1"/>
    <xf borderId="47" fillId="0" fontId="8" numFmtId="0" xfId="0" applyBorder="1" applyFont="1"/>
    <xf borderId="27" fillId="0" fontId="1" numFmtId="0" xfId="0" applyAlignment="1" applyBorder="1" applyFont="1">
      <alignment horizontal="center"/>
    </xf>
    <xf borderId="48" fillId="0" fontId="1" numFmtId="0" xfId="0" applyBorder="1" applyFont="1"/>
    <xf borderId="49" fillId="0" fontId="8" numFmtId="0" xfId="0" applyBorder="1" applyFont="1"/>
    <xf borderId="50" fillId="0" fontId="1" numFmtId="0" xfId="0" applyAlignment="1" applyBorder="1" applyFont="1">
      <alignment horizontal="center"/>
    </xf>
    <xf borderId="51" fillId="0" fontId="1" numFmtId="0" xfId="0" applyAlignment="1" applyBorder="1" applyFont="1">
      <alignment readingOrder="0"/>
    </xf>
    <xf borderId="52" fillId="0" fontId="1" numFmtId="0" xfId="0" applyBorder="1" applyFont="1"/>
    <xf borderId="53" fillId="0" fontId="25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readingOrder="0"/>
    </xf>
    <xf borderId="51" fillId="0" fontId="1" numFmtId="0" xfId="0" applyBorder="1" applyFont="1"/>
    <xf borderId="44" fillId="0" fontId="1" numFmtId="0" xfId="0" applyAlignment="1" applyBorder="1" applyFont="1">
      <alignment horizontal="center"/>
    </xf>
    <xf borderId="50" fillId="0" fontId="1" numFmtId="0" xfId="0" applyAlignment="1" applyBorder="1" applyFont="1">
      <alignment horizontal="center" readingOrder="0"/>
    </xf>
    <xf borderId="54" fillId="0" fontId="8" numFmtId="0" xfId="0" applyBorder="1" applyFont="1"/>
    <xf borderId="24" fillId="21" fontId="29" numFmtId="0" xfId="0" applyAlignment="1" applyBorder="1" applyFill="1" applyFont="1">
      <alignment horizontal="center" readingOrder="0" shrinkToFit="0" vertical="center" wrapText="0"/>
    </xf>
    <xf borderId="24" fillId="21" fontId="30" numFmtId="0" xfId="0" applyAlignment="1" applyBorder="1" applyFont="1">
      <alignment horizontal="left" readingOrder="0" shrinkToFit="0" vertical="center" wrapText="0"/>
    </xf>
    <xf borderId="24" fillId="21" fontId="30" numFmtId="0" xfId="0" applyAlignment="1" applyBorder="1" applyFont="1">
      <alignment horizontal="left" shrinkToFit="0" vertical="bottom" wrapText="0"/>
    </xf>
    <xf borderId="24" fillId="21" fontId="30" numFmtId="0" xfId="0" applyAlignment="1" applyBorder="1" applyFont="1">
      <alignment horizontal="left" readingOrder="0" shrinkToFit="0" vertical="bottom" wrapText="0"/>
    </xf>
    <xf borderId="24" fillId="21" fontId="29" numFmtId="0" xfId="0" applyAlignment="1" applyBorder="1" applyFont="1">
      <alignment horizontal="center" shrinkToFit="0" vertical="center" wrapText="0"/>
    </xf>
    <xf borderId="24" fillId="21" fontId="30" numFmtId="0" xfId="0" applyAlignment="1" applyBorder="1" applyFont="1">
      <alignment horizontal="left" shrinkToFit="0" vertical="center" wrapText="0"/>
    </xf>
    <xf borderId="24" fillId="22" fontId="29" numFmtId="0" xfId="0" applyAlignment="1" applyBorder="1" applyFill="1" applyFont="1">
      <alignment horizontal="left" shrinkToFit="0" vertical="bottom" wrapText="0"/>
    </xf>
    <xf borderId="28" fillId="21" fontId="29" numFmtId="0" xfId="0" applyAlignment="1" applyBorder="1" applyFont="1">
      <alignment horizontal="center" readingOrder="0" shrinkToFit="0" vertical="center" wrapText="0"/>
    </xf>
    <xf borderId="28" fillId="21" fontId="30" numFmtId="0" xfId="0" applyAlignment="1" applyBorder="1" applyFont="1">
      <alignment horizontal="center" readingOrder="0" shrinkToFit="0" vertical="center" wrapText="0"/>
    </xf>
    <xf borderId="24" fillId="21" fontId="29" numFmtId="0" xfId="0" applyAlignment="1" applyBorder="1" applyFont="1">
      <alignment horizontal="left" shrinkToFit="0" vertical="bottom" wrapText="0"/>
    </xf>
    <xf borderId="24" fillId="21" fontId="29" numFmtId="0" xfId="0" applyAlignment="1" applyBorder="1" applyFont="1">
      <alignment horizontal="left" readingOrder="0" shrinkToFit="0" vertical="bottom" wrapText="0"/>
    </xf>
    <xf borderId="24" fillId="21" fontId="29" numFmtId="0" xfId="0" applyAlignment="1" applyBorder="1" applyFont="1">
      <alignment horizontal="left" readingOrder="0" vertical="bottom"/>
    </xf>
    <xf borderId="35" fillId="21" fontId="30" numFmtId="0" xfId="0" applyAlignment="1" applyBorder="1" applyFont="1">
      <alignment horizontal="center" readingOrder="0" shrinkToFit="0" vertical="center" wrapText="0"/>
    </xf>
    <xf borderId="24" fillId="22" fontId="29" numFmtId="0" xfId="0" applyAlignment="1" applyBorder="1" applyFont="1">
      <alignment horizontal="left" readingOrder="0" shrinkToFit="0" vertical="bottom" wrapText="0"/>
    </xf>
    <xf borderId="24" fillId="21" fontId="31" numFmtId="0" xfId="0" applyAlignment="1" applyBorder="1" applyFont="1">
      <alignment horizontal="left" readingOrder="0" shrinkToFit="0" vertical="bottom" wrapText="0"/>
    </xf>
    <xf borderId="24" fillId="22" fontId="32" numFmtId="0" xfId="0" applyAlignment="1" applyBorder="1" applyFont="1">
      <alignment horizontal="left" readingOrder="0" shrinkToFit="0" vertical="bottom" wrapText="0"/>
    </xf>
    <xf borderId="24" fillId="22" fontId="29" numFmtId="165" xfId="0" applyAlignment="1" applyBorder="1" applyFont="1" applyNumberFormat="1">
      <alignment horizontal="left" readingOrder="0" shrinkToFit="0" vertical="bottom" wrapText="0"/>
    </xf>
    <xf borderId="24" fillId="21" fontId="29" numFmtId="165" xfId="0" applyAlignment="1" applyBorder="1" applyFont="1" applyNumberFormat="1">
      <alignment horizontal="left" readingOrder="0" shrinkToFit="0" vertical="bottom" wrapText="0"/>
    </xf>
    <xf borderId="24" fillId="22" fontId="29" numFmtId="0" xfId="0" applyAlignment="1" applyBorder="1" applyFont="1">
      <alignment horizontal="left" shrinkToFit="0" vertical="bottom" wrapText="0"/>
    </xf>
    <xf borderId="24" fillId="0" fontId="33" numFmtId="0" xfId="0" applyAlignment="1" applyBorder="1" applyFont="1">
      <alignment horizontal="left" readingOrder="0" shrinkToFit="0" vertical="bottom" wrapText="0"/>
    </xf>
    <xf borderId="24" fillId="22" fontId="29" numFmtId="166" xfId="0" applyAlignment="1" applyBorder="1" applyFont="1" applyNumberFormat="1">
      <alignment horizontal="left" readingOrder="0" shrinkToFit="0" vertical="bottom" wrapText="0"/>
    </xf>
    <xf borderId="24" fillId="21" fontId="29" numFmtId="166" xfId="0" applyAlignment="1" applyBorder="1" applyFont="1" applyNumberFormat="1">
      <alignment horizontal="left" readingOrder="0" shrinkToFit="0" vertical="bottom" wrapText="0"/>
    </xf>
    <xf borderId="24" fillId="21" fontId="29" numFmtId="167" xfId="0" applyAlignment="1" applyBorder="1" applyFont="1" applyNumberFormat="1">
      <alignment horizontal="left" readingOrder="0" shrinkToFit="0" vertical="bottom" wrapText="0"/>
    </xf>
    <xf borderId="30" fillId="21" fontId="29" numFmtId="0" xfId="0" applyAlignment="1" applyBorder="1" applyFont="1">
      <alignment horizontal="center" readingOrder="0" shrinkToFit="0" vertical="center" wrapText="0"/>
    </xf>
    <xf borderId="30" fillId="0" fontId="8" numFmtId="0" xfId="0" applyBorder="1" applyFont="1"/>
    <xf borderId="24" fillId="21" fontId="29" numFmtId="0" xfId="0" applyAlignment="1" applyBorder="1" applyFont="1">
      <alignment shrinkToFit="0" vertical="center" wrapText="0"/>
    </xf>
    <xf borderId="0" fillId="21" fontId="29" numFmtId="0" xfId="0" applyAlignment="1" applyFont="1">
      <alignment horizontal="center" shrinkToFit="0" wrapText="0"/>
    </xf>
    <xf borderId="24" fillId="21" fontId="29" numFmtId="0" xfId="0" applyAlignment="1" applyBorder="1" applyFont="1">
      <alignment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23" fontId="2" numFmtId="0" xfId="0" applyAlignment="1" applyFill="1" applyFont="1">
      <alignment readingOrder="0"/>
    </xf>
    <xf borderId="0" fillId="24" fontId="2" numFmtId="0" xfId="0" applyAlignment="1" applyFill="1" applyFont="1">
      <alignment readingOrder="0"/>
    </xf>
    <xf borderId="0" fillId="0" fontId="2" numFmtId="0" xfId="0" applyFont="1"/>
    <xf borderId="55" fillId="25" fontId="34" numFmtId="0" xfId="0" applyAlignment="1" applyBorder="1" applyFill="1" applyFont="1">
      <alignment horizontal="center" readingOrder="0" shrinkToFit="0" wrapText="0"/>
    </xf>
    <xf borderId="56" fillId="25" fontId="34" numFmtId="0" xfId="0" applyAlignment="1" applyBorder="1" applyFont="1">
      <alignment horizontal="center" readingOrder="0" shrinkToFit="0" wrapText="0"/>
    </xf>
    <xf borderId="56" fillId="25" fontId="34" numFmtId="0" xfId="0" applyAlignment="1" applyBorder="1" applyFont="1">
      <alignment horizontal="center" shrinkToFit="0" wrapText="0"/>
    </xf>
    <xf borderId="57" fillId="25" fontId="34" numFmtId="0" xfId="0" applyAlignment="1" applyBorder="1" applyFont="1">
      <alignment horizontal="center" readingOrder="0" shrinkToFit="0" wrapText="0"/>
    </xf>
    <xf borderId="58" fillId="6" fontId="34" numFmtId="0" xfId="0" applyAlignment="1" applyBorder="1" applyFont="1">
      <alignment horizontal="center" readingOrder="0" shrinkToFit="0" vertical="center" wrapText="0"/>
    </xf>
    <xf borderId="59" fillId="6" fontId="35" numFmtId="0" xfId="0" applyAlignment="1" applyBorder="1" applyFont="1">
      <alignment horizontal="center" readingOrder="0" shrinkToFit="0" vertical="center" wrapText="0"/>
    </xf>
    <xf borderId="60" fillId="6" fontId="36" numFmtId="0" xfId="0" applyAlignment="1" applyBorder="1" applyFont="1">
      <alignment horizontal="center" readingOrder="0" shrinkToFit="0" vertical="center" wrapText="0"/>
    </xf>
    <xf borderId="61" fillId="6" fontId="37" numFmtId="0" xfId="0" applyAlignment="1" applyBorder="1" applyFont="1">
      <alignment horizontal="center" readingOrder="0" shrinkToFit="0" wrapText="0"/>
    </xf>
    <xf borderId="17" fillId="6" fontId="37" numFmtId="0" xfId="0" applyAlignment="1" applyBorder="1" applyFont="1">
      <alignment horizontal="center" readingOrder="0" shrinkToFit="0" wrapText="0"/>
    </xf>
    <xf borderId="62" fillId="0" fontId="8" numFmtId="0" xfId="0" applyBorder="1" applyFont="1"/>
    <xf borderId="24" fillId="6" fontId="36" numFmtId="0" xfId="0" applyAlignment="1" applyBorder="1" applyFont="1">
      <alignment horizontal="center" readingOrder="0" shrinkToFit="0" vertical="center" wrapText="0"/>
    </xf>
    <xf borderId="24" fillId="6" fontId="37" numFmtId="0" xfId="0" applyAlignment="1" applyBorder="1" applyFont="1">
      <alignment horizontal="center" readingOrder="0" shrinkToFit="0" wrapText="0"/>
    </xf>
    <xf borderId="34" fillId="6" fontId="37" numFmtId="0" xfId="0" applyAlignment="1" applyBorder="1" applyFont="1">
      <alignment horizontal="center" readingOrder="0" shrinkToFit="0" wrapText="0"/>
    </xf>
    <xf borderId="11" fillId="6" fontId="37" numFmtId="0" xfId="0" applyAlignment="1" applyBorder="1" applyFont="1">
      <alignment horizontal="center" readingOrder="0" shrinkToFit="0" wrapText="0"/>
    </xf>
    <xf borderId="63" fillId="0" fontId="8" numFmtId="0" xfId="0" applyBorder="1" applyFont="1"/>
    <xf borderId="64" fillId="0" fontId="8" numFmtId="0" xfId="0" applyBorder="1" applyFont="1"/>
    <xf borderId="65" fillId="6" fontId="36" numFmtId="0" xfId="0" applyAlignment="1" applyBorder="1" applyFont="1">
      <alignment horizontal="center" readingOrder="0" shrinkToFit="0" vertical="center" wrapText="0"/>
    </xf>
    <xf borderId="65" fillId="6" fontId="37" numFmtId="0" xfId="0" applyAlignment="1" applyBorder="1" applyFont="1">
      <alignment horizontal="center" readingOrder="0" shrinkToFit="0" wrapText="0"/>
    </xf>
    <xf borderId="66" fillId="6" fontId="37" numFmtId="0" xfId="0" applyAlignment="1" applyBorder="1" applyFont="1">
      <alignment horizontal="center" readingOrder="0" shrinkToFit="0" wrapText="0"/>
    </xf>
    <xf borderId="29" fillId="6" fontId="38" numFmtId="0" xfId="0" applyAlignment="1" applyBorder="1" applyFont="1">
      <alignment horizontal="center" shrinkToFit="0" wrapText="0"/>
    </xf>
    <xf borderId="29" fillId="6" fontId="38" numFmtId="0" xfId="0" applyAlignment="1" applyBorder="1" applyFont="1">
      <alignment horizontal="center" shrinkToFit="0" vertical="center" wrapText="0"/>
    </xf>
    <xf borderId="67" fillId="6" fontId="37" numFmtId="0" xfId="0" applyAlignment="1" applyBorder="1" applyFont="1">
      <alignment horizontal="center" readingOrder="0" shrinkToFit="0" wrapText="0"/>
    </xf>
    <xf borderId="68" fillId="6" fontId="37" numFmtId="0" xfId="0" applyAlignment="1" applyBorder="1" applyFont="1">
      <alignment horizontal="center" readingOrder="0" shrinkToFit="0" wrapText="0"/>
    </xf>
    <xf borderId="69" fillId="6" fontId="37" numFmtId="0" xfId="0" applyAlignment="1" applyBorder="1" applyFont="1">
      <alignment horizontal="center" readingOrder="0" shrinkToFit="0" wrapText="0"/>
    </xf>
    <xf borderId="70" fillId="6" fontId="37" numFmtId="0" xfId="0" applyAlignment="1" applyBorder="1" applyFont="1">
      <alignment horizontal="center" readingOrder="0" shrinkToFit="0" wrapText="0"/>
    </xf>
    <xf borderId="71" fillId="6" fontId="37" numFmtId="0" xfId="0" applyAlignment="1" applyBorder="1" applyFont="1">
      <alignment horizontal="center" readingOrder="0" shrinkToFit="0" wrapText="0"/>
    </xf>
    <xf borderId="29" fillId="6" fontId="38" numFmtId="0" xfId="0" applyAlignment="1" applyBorder="1" applyFont="1">
      <alignment horizontal="center" readingOrder="0" shrinkToFit="0" wrapText="0"/>
    </xf>
    <xf borderId="24" fillId="6" fontId="37" numFmtId="46" xfId="0" applyAlignment="1" applyBorder="1" applyFont="1" applyNumberFormat="1">
      <alignment horizontal="center" readingOrder="0" shrinkToFit="0" wrapText="0"/>
    </xf>
    <xf borderId="59" fillId="6" fontId="36" numFmtId="0" xfId="0" applyAlignment="1" applyBorder="1" applyFont="1">
      <alignment horizontal="center" readingOrder="0" shrinkToFit="0" vertical="center" wrapText="0"/>
    </xf>
    <xf borderId="59" fillId="6" fontId="37" numFmtId="0" xfId="0" applyAlignment="1" applyBorder="1" applyFont="1">
      <alignment horizontal="center" readingOrder="0" shrinkToFit="0" wrapText="0"/>
    </xf>
    <xf borderId="72" fillId="6" fontId="37" numFmtId="0" xfId="0" applyAlignment="1" applyBorder="1" applyFont="1">
      <alignment horizontal="center" readingOrder="0" shrinkToFit="0" vertical="center" wrapText="0"/>
    </xf>
    <xf borderId="73" fillId="0" fontId="8" numFmtId="0" xfId="0" applyBorder="1" applyFont="1"/>
    <xf borderId="28" fillId="6" fontId="36" numFmtId="0" xfId="0" applyAlignment="1" applyBorder="1" applyFont="1">
      <alignment horizontal="center" readingOrder="0" shrinkToFit="0" vertical="center" wrapText="0"/>
    </xf>
    <xf borderId="28" fillId="6" fontId="37" numFmtId="0" xfId="0" applyAlignment="1" applyBorder="1" applyFont="1">
      <alignment horizontal="center" readingOrder="0" shrinkToFit="0" wrapText="0"/>
    </xf>
    <xf borderId="74" fillId="6" fontId="37" numFmtId="0" xfId="0" applyAlignment="1" applyBorder="1" applyFont="1">
      <alignment horizontal="center" readingOrder="0" shrinkToFit="0" vertical="center" wrapText="0"/>
    </xf>
    <xf borderId="35" fillId="6" fontId="37" numFmtId="0" xfId="0" applyAlignment="1" applyBorder="1" applyFont="1">
      <alignment horizontal="center" readingOrder="0" shrinkToFit="0" wrapText="0"/>
    </xf>
    <xf borderId="74" fillId="0" fontId="8" numFmtId="0" xfId="0" applyBorder="1" applyFont="1"/>
    <xf borderId="38" fillId="6" fontId="37" numFmtId="0" xfId="0" applyAlignment="1" applyBorder="1" applyFont="1">
      <alignment horizontal="center" readingOrder="0" shrinkToFit="0" wrapText="0"/>
    </xf>
    <xf borderId="75" fillId="6" fontId="37" numFmtId="0" xfId="0" applyAlignment="1" applyBorder="1" applyFont="1">
      <alignment horizontal="center" readingOrder="0" shrinkToFit="0" wrapText="0"/>
    </xf>
    <xf borderId="76" fillId="0" fontId="8" numFmtId="0" xfId="0" applyBorder="1" applyFont="1"/>
    <xf borderId="30" fillId="6" fontId="37" numFmtId="0" xfId="0" applyAlignment="1" applyBorder="1" applyFont="1">
      <alignment horizontal="center" readingOrder="0" shrinkToFit="0" wrapText="0"/>
    </xf>
    <xf borderId="58" fillId="6" fontId="34" numFmtId="0" xfId="0" applyAlignment="1" applyBorder="1" applyFont="1">
      <alignment horizontal="center" readingOrder="0" vertical="center"/>
    </xf>
    <xf borderId="59" fillId="6" fontId="35" numFmtId="0" xfId="0" applyAlignment="1" applyBorder="1" applyFont="1">
      <alignment horizontal="center" readingOrder="0" vertical="center"/>
    </xf>
    <xf borderId="60" fillId="6" fontId="36" numFmtId="0" xfId="0" applyAlignment="1" applyBorder="1" applyFont="1">
      <alignment horizontal="center" readingOrder="0" vertical="center"/>
    </xf>
    <xf borderId="61" fillId="6" fontId="37" numFmtId="0" xfId="0" applyAlignment="1" applyBorder="1" applyFont="1">
      <alignment horizontal="center" readingOrder="0"/>
    </xf>
    <xf borderId="17" fillId="6" fontId="37" numFmtId="0" xfId="0" applyAlignment="1" applyBorder="1" applyFont="1">
      <alignment horizontal="center" readingOrder="0"/>
    </xf>
    <xf borderId="24" fillId="6" fontId="36" numFmtId="0" xfId="0" applyAlignment="1" applyBorder="1" applyFont="1">
      <alignment horizontal="center" readingOrder="0" vertical="center"/>
    </xf>
    <xf borderId="24" fillId="6" fontId="37" numFmtId="0" xfId="0" applyAlignment="1" applyBorder="1" applyFont="1">
      <alignment horizontal="center" readingOrder="0"/>
    </xf>
    <xf borderId="34" fillId="6" fontId="37" numFmtId="0" xfId="0" applyAlignment="1" applyBorder="1" applyFont="1">
      <alignment horizontal="center" readingOrder="0"/>
    </xf>
    <xf borderId="11" fillId="6" fontId="37" numFmtId="0" xfId="0" applyAlignment="1" applyBorder="1" applyFont="1">
      <alignment horizontal="center" readingOrder="0"/>
    </xf>
    <xf borderId="65" fillId="6" fontId="36" numFmtId="0" xfId="0" applyAlignment="1" applyBorder="1" applyFont="1">
      <alignment horizontal="center" readingOrder="0" vertical="center"/>
    </xf>
    <xf borderId="65" fillId="6" fontId="37" numFmtId="0" xfId="0" applyAlignment="1" applyBorder="1" applyFont="1">
      <alignment horizontal="center" readingOrder="0"/>
    </xf>
    <xf borderId="66" fillId="6" fontId="37" numFmtId="0" xfId="0" applyAlignment="1" applyBorder="1" applyFont="1">
      <alignment horizontal="center" readingOrder="0"/>
    </xf>
    <xf borderId="29" fillId="6" fontId="38" numFmtId="0" xfId="0" applyAlignment="1" applyBorder="1" applyFont="1">
      <alignment horizontal="center"/>
    </xf>
    <xf borderId="61" fillId="6" fontId="37" numFmtId="168" xfId="0" applyAlignment="1" applyBorder="1" applyFont="1" applyNumberFormat="1">
      <alignment horizontal="center" readingOrder="0"/>
    </xf>
    <xf borderId="24" fillId="6" fontId="37" numFmtId="9" xfId="0" applyAlignment="1" applyBorder="1" applyFont="1" applyNumberFormat="1">
      <alignment horizontal="center" readingOrder="0" shrinkToFit="0" wrapText="0"/>
    </xf>
    <xf borderId="24" fillId="6" fontId="37" numFmtId="3" xfId="0" applyAlignment="1" applyBorder="1" applyFont="1" applyNumberFormat="1">
      <alignment horizontal="center" readingOrder="0" shrinkToFit="0" wrapText="0"/>
    </xf>
    <xf borderId="65" fillId="6" fontId="37" numFmtId="164" xfId="0" applyAlignment="1" applyBorder="1" applyFont="1" applyNumberFormat="1">
      <alignment horizontal="center" readingOrder="0" shrinkToFit="0" wrapText="0"/>
    </xf>
    <xf borderId="29" fillId="6" fontId="34" numFmtId="0" xfId="0" applyAlignment="1" applyBorder="1" applyFont="1">
      <alignment horizontal="center" shrinkToFit="0" wrapText="0"/>
    </xf>
    <xf borderId="24" fillId="26" fontId="3" numFmtId="0" xfId="0" applyAlignment="1" applyBorder="1" applyFill="1" applyFont="1">
      <alignment horizontal="center" readingOrder="0"/>
    </xf>
    <xf borderId="24" fillId="26" fontId="1" numFmtId="0" xfId="0" applyAlignment="1" applyBorder="1" applyFont="1">
      <alignment horizontal="center" readingOrder="0"/>
    </xf>
    <xf borderId="24" fillId="27" fontId="1" numFmtId="0" xfId="0" applyAlignment="1" applyBorder="1" applyFill="1" applyFont="1">
      <alignment horizontal="center" readingOrder="0"/>
    </xf>
    <xf borderId="24" fillId="27" fontId="1" numFmtId="0" xfId="0" applyAlignment="1" applyBorder="1" applyFont="1">
      <alignment horizontal="center"/>
    </xf>
    <xf borderId="0" fillId="5" fontId="1" numFmtId="0" xfId="0" applyAlignment="1" applyFont="1">
      <alignment readingOrder="0"/>
    </xf>
    <xf borderId="24" fillId="12" fontId="39" numFmtId="0" xfId="0" applyAlignment="1" applyBorder="1" applyFont="1">
      <alignment readingOrder="0"/>
    </xf>
    <xf borderId="24" fillId="12" fontId="3" numFmtId="0" xfId="0" applyAlignment="1" applyBorder="1" applyFont="1">
      <alignment readingOrder="0"/>
    </xf>
    <xf borderId="35" fillId="24" fontId="1" numFmtId="0" xfId="0" applyBorder="1" applyFont="1"/>
    <xf borderId="24" fillId="24" fontId="1" numFmtId="0" xfId="0" applyAlignment="1" applyBorder="1" applyFont="1">
      <alignment readingOrder="0"/>
    </xf>
    <xf borderId="24" fillId="24" fontId="1" numFmtId="0" xfId="0" applyBorder="1" applyFont="1"/>
    <xf borderId="31" fillId="24" fontId="1" numFmtId="0" xfId="0" applyBorder="1" applyFont="1"/>
    <xf borderId="24" fillId="28" fontId="1" numFmtId="0" xfId="0" applyAlignment="1" applyBorder="1" applyFill="1" applyFont="1">
      <alignment horizontal="center" readingOrder="0"/>
    </xf>
    <xf borderId="24" fillId="5" fontId="1" numFmtId="0" xfId="0" applyAlignment="1" applyBorder="1" applyFont="1">
      <alignment horizontal="center"/>
    </xf>
    <xf borderId="24" fillId="5" fontId="1" numFmtId="0" xfId="0" applyAlignment="1" applyBorder="1" applyFont="1">
      <alignment horizontal="center" readingOrder="0"/>
    </xf>
    <xf borderId="0" fillId="0" fontId="9" numFmtId="0" xfId="0" applyAlignment="1" applyFont="1">
      <alignment readingOrder="0" shrinkToFit="0" vertical="bottom" wrapText="0"/>
    </xf>
    <xf borderId="24" fillId="9" fontId="40" numFmtId="0" xfId="0" applyAlignment="1" applyBorder="1" applyFont="1">
      <alignment readingOrder="0" shrinkToFit="0" vertical="bottom" wrapText="0"/>
    </xf>
    <xf borderId="24" fillId="10" fontId="10" numFmtId="0" xfId="0" applyAlignment="1" applyBorder="1" applyFont="1">
      <alignment horizontal="left" readingOrder="0" shrinkToFit="0" vertical="bottom" wrapText="0"/>
    </xf>
    <xf borderId="24" fillId="29" fontId="10" numFmtId="0" xfId="0" applyAlignment="1" applyBorder="1" applyFill="1" applyFont="1">
      <alignment horizontal="left" readingOrder="0" shrinkToFit="0" vertical="bottom" wrapText="0"/>
    </xf>
    <xf borderId="24" fillId="29" fontId="10" numFmtId="0" xfId="0" applyAlignment="1" applyBorder="1" applyFont="1">
      <alignment readingOrder="0" shrinkToFit="0" vertical="bottom" wrapText="0"/>
    </xf>
    <xf borderId="24" fillId="29" fontId="10" numFmtId="0" xfId="0" applyAlignment="1" applyBorder="1" applyFont="1">
      <alignment shrinkToFit="0" vertical="bottom" wrapText="0"/>
    </xf>
    <xf borderId="24" fillId="0" fontId="9" numFmtId="0" xfId="0" applyAlignment="1" applyBorder="1" applyFont="1">
      <alignment readingOrder="0" shrinkToFit="0" vertical="bottom" wrapText="0"/>
    </xf>
    <xf borderId="24" fillId="29" fontId="10" numFmtId="0" xfId="0" applyAlignment="1" applyBorder="1" applyFont="1">
      <alignment horizontal="left" shrinkToFit="0" vertical="bottom" wrapText="0"/>
    </xf>
    <xf borderId="24" fillId="10" fontId="10" numFmtId="169" xfId="0" applyAlignment="1" applyBorder="1" applyFont="1" applyNumberFormat="1">
      <alignment horizontal="left" readingOrder="0" shrinkToFit="0" vertical="bottom" wrapText="0"/>
    </xf>
    <xf borderId="24" fillId="10" fontId="10" numFmtId="168" xfId="0" applyAlignment="1" applyBorder="1" applyFont="1" applyNumberFormat="1">
      <alignment horizontal="left" readingOrder="0" shrinkToFit="0" vertical="bottom" wrapText="0"/>
    </xf>
    <xf borderId="24" fillId="29" fontId="10" numFmtId="4" xfId="0" applyAlignment="1" applyBorder="1" applyFont="1" applyNumberFormat="1">
      <alignment horizontal="left" readingOrder="0" shrinkToFit="0" vertical="bottom" wrapText="0"/>
    </xf>
    <xf borderId="24" fillId="29" fontId="10" numFmtId="3" xfId="0" applyAlignment="1" applyBorder="1" applyFont="1" applyNumberFormat="1">
      <alignment horizontal="left" readingOrder="0" shrinkToFit="0" vertical="bottom" wrapText="0"/>
    </xf>
    <xf borderId="24" fillId="29" fontId="10" numFmtId="0" xfId="0" applyAlignment="1" applyBorder="1" applyFont="1">
      <alignment horizontal="center" readingOrder="0" shrinkToFit="0" vertical="bottom" wrapText="0"/>
    </xf>
    <xf borderId="24" fillId="30" fontId="10" numFmtId="0" xfId="0" applyAlignment="1" applyBorder="1" applyFill="1" applyFont="1">
      <alignment readingOrder="0" shrinkToFit="0" vertical="bottom" wrapText="0"/>
    </xf>
    <xf borderId="24" fillId="30" fontId="10" numFmtId="0" xfId="0" applyAlignment="1" applyBorder="1" applyFont="1">
      <alignment shrinkToFit="0" vertical="bottom" wrapText="0"/>
    </xf>
    <xf borderId="24" fillId="0" fontId="10" numFmtId="3" xfId="0" applyAlignment="1" applyBorder="1" applyFont="1" applyNumberFormat="1">
      <alignment horizontal="right" readingOrder="0" shrinkToFit="0" vertical="bottom" wrapText="0"/>
    </xf>
    <xf borderId="24" fillId="0" fontId="10" numFmtId="165" xfId="0" applyAlignment="1" applyBorder="1" applyFont="1" applyNumberFormat="1">
      <alignment horizontal="right" readingOrder="0" shrinkToFit="0" vertical="bottom" wrapText="0"/>
    </xf>
    <xf borderId="24" fillId="0" fontId="10" numFmtId="9" xfId="0" applyAlignment="1" applyBorder="1" applyFont="1" applyNumberFormat="1">
      <alignment readingOrder="0" shrinkToFit="0" vertical="bottom" wrapText="0"/>
    </xf>
    <xf borderId="0" fillId="31" fontId="2" numFmtId="0" xfId="0" applyAlignment="1" applyFill="1" applyFont="1">
      <alignment readingOrder="0"/>
    </xf>
    <xf borderId="0" fillId="32" fontId="1" numFmtId="0" xfId="0" applyFill="1" applyFont="1"/>
    <xf borderId="0" fillId="32" fontId="1" numFmtId="0" xfId="0" applyAlignment="1" applyFont="1">
      <alignment readingOrder="0"/>
    </xf>
    <xf borderId="0" fillId="32" fontId="2" numFmtId="0" xfId="0" applyAlignment="1" applyFont="1">
      <alignment readingOrder="0"/>
    </xf>
    <xf borderId="0" fillId="33" fontId="1" numFmtId="0" xfId="0" applyFill="1" applyFont="1"/>
    <xf borderId="0" fillId="33" fontId="1" numFmtId="0" xfId="0" applyAlignment="1" applyFont="1">
      <alignment readingOrder="0"/>
    </xf>
    <xf borderId="0" fillId="33" fontId="2" numFmtId="0" xfId="0" applyAlignment="1" applyFont="1">
      <alignment readingOrder="0"/>
    </xf>
    <xf borderId="0" fillId="24" fontId="1" numFmtId="0" xfId="0" applyFont="1"/>
    <xf borderId="0" fillId="24" fontId="1" numFmtId="0" xfId="0" applyAlignment="1" applyFont="1">
      <alignment readingOrder="0"/>
    </xf>
    <xf borderId="0" fillId="34" fontId="1" numFmtId="0" xfId="0" applyFill="1" applyFont="1"/>
    <xf borderId="0" fillId="34" fontId="1" numFmtId="0" xfId="0" applyAlignment="1" applyFont="1">
      <alignment readingOrder="0"/>
    </xf>
    <xf borderId="0" fillId="34" fontId="2" numFmtId="0" xfId="0" applyAlignment="1" applyFont="1">
      <alignment readingOrder="0"/>
    </xf>
    <xf borderId="0" fillId="35" fontId="1" numFmtId="0" xfId="0" applyAlignment="1" applyFill="1" applyFont="1">
      <alignment readingOrder="0"/>
    </xf>
    <xf borderId="0" fillId="35" fontId="2" numFmtId="0" xfId="0" applyAlignment="1" applyFont="1">
      <alignment readingOrder="0"/>
    </xf>
    <xf borderId="0" fillId="35" fontId="1" numFmtId="0" xfId="0" applyFont="1"/>
    <xf borderId="0" fillId="36" fontId="41" numFmtId="0" xfId="0" applyAlignment="1" applyFill="1" applyFont="1">
      <alignment readingOrder="0"/>
    </xf>
    <xf borderId="0" fillId="36" fontId="1" numFmtId="0" xfId="0" applyAlignment="1" applyFont="1">
      <alignment readingOrder="0"/>
    </xf>
    <xf borderId="0" fillId="37" fontId="1" numFmtId="0" xfId="0" applyAlignment="1" applyFill="1" applyFont="1">
      <alignment readingOrder="0"/>
    </xf>
    <xf borderId="0" fillId="37" fontId="1" numFmtId="0" xfId="0" applyFont="1"/>
    <xf borderId="0" fillId="3" fontId="1" numFmtId="0" xfId="0" applyAlignment="1" applyFont="1">
      <alignment readingOrder="0"/>
    </xf>
    <xf borderId="0" fillId="3" fontId="1" numFmtId="0" xfId="0" applyFont="1"/>
    <xf borderId="0" fillId="4" fontId="1" numFmtId="0" xfId="0" applyAlignment="1" applyFont="1">
      <alignment readingOrder="0"/>
    </xf>
    <xf borderId="0" fillId="4" fontId="1" numFmtId="0" xfId="0" applyFont="1"/>
    <xf borderId="0" fillId="4" fontId="3" numFmtId="0" xfId="0" applyAlignment="1" applyFont="1">
      <alignment readingOrder="0"/>
    </xf>
    <xf borderId="0" fillId="38" fontId="1" numFmtId="0" xfId="0" applyAlignment="1" applyFill="1" applyFont="1">
      <alignment readingOrder="0"/>
    </xf>
    <xf borderId="0" fillId="38" fontId="1" numFmtId="0" xfId="0" applyFont="1"/>
    <xf borderId="0" fillId="26" fontId="1" numFmtId="0" xfId="0" applyAlignment="1" applyFont="1">
      <alignment readingOrder="0"/>
    </xf>
    <xf borderId="0" fillId="26" fontId="1" numFmtId="0" xfId="0" applyFont="1"/>
    <xf borderId="0" fillId="23" fontId="1" numFmtId="0" xfId="0" applyAlignment="1" applyFont="1">
      <alignment readingOrder="0"/>
    </xf>
    <xf borderId="0" fillId="23" fontId="1" numFmtId="0" xfId="0" applyFont="1"/>
    <xf borderId="0" fillId="39" fontId="1" numFmtId="0" xfId="0" applyAlignment="1" applyFill="1" applyFont="1">
      <alignment readingOrder="0"/>
    </xf>
    <xf borderId="0" fillId="39" fontId="1" numFmtId="0" xfId="0" applyFont="1"/>
    <xf borderId="0" fillId="27" fontId="1" numFmtId="0" xfId="0" applyAlignment="1" applyFont="1">
      <alignment readingOrder="0"/>
    </xf>
    <xf borderId="0" fillId="27" fontId="1" numFmtId="0" xfId="0" applyFont="1"/>
    <xf borderId="0" fillId="17" fontId="1" numFmtId="0" xfId="0" applyAlignment="1" applyFont="1">
      <alignment readingOrder="0"/>
    </xf>
    <xf borderId="0" fillId="17" fontId="1" numFmtId="0" xfId="0" applyFont="1"/>
    <xf borderId="0" fillId="15" fontId="1" numFmtId="0" xfId="0" applyAlignment="1" applyFont="1">
      <alignment readingOrder="0"/>
    </xf>
    <xf borderId="0" fillId="15" fontId="1" numFmtId="0" xfId="0" applyFont="1"/>
    <xf borderId="0" fillId="5" fontId="1" numFmtId="0" xfId="0" applyFont="1"/>
    <xf borderId="0" fillId="9" fontId="1" numFmtId="0" xfId="0" applyAlignment="1" applyFont="1">
      <alignment readingOrder="0"/>
    </xf>
    <xf borderId="0" fillId="9" fontId="1" numFmtId="0" xfId="0" applyFont="1"/>
    <xf borderId="24" fillId="40" fontId="1" numFmtId="0" xfId="0" applyAlignment="1" applyBorder="1" applyFill="1" applyFont="1">
      <alignment readingOrder="0"/>
    </xf>
    <xf borderId="37" fillId="0" fontId="1" numFmtId="0" xfId="0" applyAlignment="1" applyBorder="1" applyFont="1">
      <alignment horizontal="left" readingOrder="0"/>
    </xf>
    <xf borderId="0" fillId="14" fontId="1" numFmtId="0" xfId="0" applyFont="1"/>
    <xf borderId="28" fillId="31" fontId="1" numFmtId="0" xfId="0" applyBorder="1" applyFont="1"/>
    <xf borderId="36" fillId="0" fontId="1" numFmtId="0" xfId="0" applyBorder="1" applyFont="1"/>
    <xf borderId="37" fillId="0" fontId="1" numFmtId="0" xfId="0" applyBorder="1" applyFont="1"/>
    <xf borderId="0" fillId="14" fontId="1" numFmtId="0" xfId="0" applyAlignment="1" applyFont="1">
      <alignment horizontal="right" readingOrder="0"/>
    </xf>
    <xf borderId="28" fillId="31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14" fontId="1" numFmtId="0" xfId="0" applyAlignment="1" applyFont="1">
      <alignment horizontal="right"/>
    </xf>
    <xf borderId="30" fillId="0" fontId="1" numFmtId="0" xfId="0" applyAlignment="1" applyBorder="1" applyFont="1">
      <alignment horizontal="left" readingOrder="0"/>
    </xf>
    <xf borderId="29" fillId="0" fontId="1" numFmtId="0" xfId="0" applyAlignment="1" applyBorder="1" applyFont="1">
      <alignment horizontal="left" readingOrder="0"/>
    </xf>
    <xf borderId="31" fillId="31" fontId="1" numFmtId="0" xfId="0" applyBorder="1" applyFont="1"/>
    <xf borderId="32" fillId="0" fontId="1" numFmtId="0" xfId="0" applyAlignment="1" applyBorder="1" applyFont="1">
      <alignment horizontal="left"/>
    </xf>
    <xf borderId="35" fillId="31" fontId="1" numFmtId="0" xfId="0" applyAlignment="1" applyBorder="1" applyFont="1">
      <alignment readingOrder="0"/>
    </xf>
    <xf borderId="36" fillId="0" fontId="1" numFmtId="0" xfId="0" applyAlignment="1" applyBorder="1" applyFont="1">
      <alignment horizontal="left" readingOrder="0"/>
    </xf>
    <xf borderId="30" fillId="0" fontId="42" numFmtId="0" xfId="0" applyAlignment="1" applyBorder="1" applyFont="1">
      <alignment readingOrder="0"/>
    </xf>
    <xf borderId="38" fillId="0" fontId="1" numFmtId="0" xfId="0" applyAlignment="1" applyBorder="1" applyFont="1">
      <alignment horizontal="left"/>
    </xf>
    <xf borderId="0" fillId="0" fontId="42" numFmtId="0" xfId="0" applyAlignment="1" applyFont="1">
      <alignment readingOrder="0"/>
    </xf>
    <xf borderId="30" fillId="0" fontId="1" numFmtId="0" xfId="0" applyAlignment="1" applyBorder="1" applyFont="1">
      <alignment horizontal="left"/>
    </xf>
    <xf borderId="0" fillId="0" fontId="43" numFmtId="0" xfId="0" applyAlignment="1" applyFont="1">
      <alignment readingOrder="0"/>
    </xf>
    <xf borderId="30" fillId="0" fontId="42" numFmtId="0" xfId="0" applyAlignment="1" applyBorder="1" applyFont="1">
      <alignment horizontal="left" readingOrder="0"/>
    </xf>
    <xf borderId="36" fillId="0" fontId="42" numFmtId="0" xfId="0" applyAlignment="1" applyBorder="1" applyFont="1">
      <alignment horizontal="left" readingOrder="0"/>
    </xf>
    <xf borderId="29" fillId="0" fontId="42" numFmtId="0" xfId="0" applyAlignment="1" applyBorder="1" applyFont="1">
      <alignment readingOrder="0"/>
    </xf>
    <xf borderId="0" fillId="0" fontId="42" numFmtId="0" xfId="0" applyAlignment="1" applyFont="1">
      <alignment horizontal="left" readingOrder="0"/>
    </xf>
    <xf borderId="29" fillId="0" fontId="42" numFmtId="170" xfId="0" applyAlignment="1" applyBorder="1" applyFont="1" applyNumberFormat="1">
      <alignment horizontal="left" readingOrder="0"/>
    </xf>
    <xf borderId="33" fillId="0" fontId="42" numFmtId="0" xfId="0" applyAlignment="1" applyBorder="1" applyFont="1">
      <alignment readingOrder="0"/>
    </xf>
    <xf borderId="30" fillId="0" fontId="44" numFmtId="0" xfId="0" applyBorder="1" applyFont="1"/>
    <xf borderId="29" fillId="0" fontId="42" numFmtId="0" xfId="0" applyAlignment="1" applyBorder="1" applyFont="1">
      <alignment horizontal="left" readingOrder="0"/>
    </xf>
    <xf borderId="34" fillId="0" fontId="44" numFmtId="0" xfId="0" applyBorder="1" applyFont="1"/>
    <xf borderId="38" fillId="0" fontId="42" numFmtId="0" xfId="0" applyAlignment="1" applyBorder="1" applyFont="1">
      <alignment readingOrder="0"/>
    </xf>
    <xf borderId="38" fillId="0" fontId="42" numFmtId="0" xfId="0" applyAlignment="1" applyBorder="1" applyFont="1">
      <alignment horizontal="left" readingOrder="0"/>
    </xf>
    <xf borderId="32" fillId="0" fontId="42" numFmtId="0" xfId="0" applyAlignment="1" applyBorder="1" applyFont="1">
      <alignment horizontal="left" readingOrder="0"/>
    </xf>
    <xf borderId="34" fillId="0" fontId="42" numFmtId="0" xfId="0" applyAlignment="1" applyBorder="1" applyFont="1">
      <alignment readingOrder="0"/>
    </xf>
    <xf borderId="32" fillId="0" fontId="42" numFmtId="0" xfId="0" applyAlignment="1" applyBorder="1" applyFont="1">
      <alignment readingOrder="0"/>
    </xf>
    <xf borderId="0" fillId="0" fontId="44" numFmtId="0" xfId="0" applyFont="1"/>
    <xf borderId="0" fillId="41" fontId="2" numFmtId="0" xfId="0" applyAlignment="1" applyFill="1" applyFont="1">
      <alignment readingOrder="0"/>
    </xf>
    <xf borderId="0" fillId="41" fontId="2" numFmtId="0" xfId="0" applyAlignment="1" applyFont="1">
      <alignment horizontal="center" readingOrder="0"/>
    </xf>
    <xf borderId="0" fillId="41" fontId="2" numFmtId="0" xfId="0" applyFont="1"/>
    <xf borderId="0" fillId="7" fontId="2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14" fontId="45" numFmtId="0" xfId="0" applyAlignment="1" applyFont="1">
      <alignment readingOrder="0"/>
    </xf>
    <xf borderId="0" fillId="14" fontId="46" numFmtId="0" xfId="0" applyAlignment="1" applyFont="1">
      <alignment readingOrder="0"/>
    </xf>
    <xf borderId="0" fillId="14" fontId="47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2" numFmtId="0" xfId="0" applyAlignment="1" applyFont="1">
      <alignment readingOrder="0"/>
    </xf>
    <xf borderId="35" fillId="0" fontId="1" numFmtId="0" xfId="0" applyBorder="1" applyFont="1"/>
    <xf borderId="25" fillId="0" fontId="1" numFmtId="0" xfId="0" applyBorder="1" applyFont="1"/>
    <xf borderId="55" fillId="14" fontId="48" numFmtId="0" xfId="0" applyAlignment="1" applyBorder="1" applyFont="1">
      <alignment readingOrder="0"/>
    </xf>
    <xf borderId="77" fillId="14" fontId="49" numFmtId="0" xfId="0" applyBorder="1" applyFont="1"/>
    <xf borderId="77" fillId="14" fontId="49" numFmtId="0" xfId="0" applyAlignment="1" applyBorder="1" applyFont="1">
      <alignment readingOrder="0"/>
    </xf>
    <xf borderId="78" fillId="14" fontId="49" numFmtId="0" xfId="0" applyAlignment="1" applyBorder="1" applyFont="1">
      <alignment readingOrder="0"/>
    </xf>
    <xf borderId="27" fillId="0" fontId="1" numFmtId="0" xfId="0" applyBorder="1" applyFont="1"/>
    <xf borderId="28" fillId="0" fontId="22" numFmtId="0" xfId="0" applyBorder="1" applyFont="1"/>
    <xf borderId="79" fillId="0" fontId="22" numFmtId="0" xfId="0" applyAlignment="1" applyBorder="1" applyFont="1">
      <alignment readingOrder="0"/>
    </xf>
    <xf borderId="67" fillId="0" fontId="22" numFmtId="0" xfId="0" applyBorder="1" applyFont="1"/>
    <xf borderId="59" fillId="0" fontId="22" numFmtId="0" xfId="0" applyAlignment="1" applyBorder="1" applyFont="1">
      <alignment horizontal="left" readingOrder="0" vertical="center"/>
    </xf>
    <xf borderId="67" fillId="0" fontId="22" numFmtId="0" xfId="0" applyAlignment="1" applyBorder="1" applyFont="1">
      <alignment horizontal="left" vertical="top"/>
    </xf>
    <xf borderId="59" fillId="0" fontId="22" numFmtId="0" xfId="0" applyAlignment="1" applyBorder="1" applyFont="1">
      <alignment horizontal="left" readingOrder="0" vertical="top"/>
    </xf>
    <xf borderId="67" fillId="0" fontId="22" numFmtId="0" xfId="0" applyAlignment="1" applyBorder="1" applyFont="1">
      <alignment readingOrder="0"/>
    </xf>
    <xf borderId="68" fillId="0" fontId="22" numFmtId="0" xfId="0" applyBorder="1" applyFont="1"/>
    <xf borderId="80" fillId="0" fontId="22" numFmtId="0" xfId="0" applyAlignment="1" applyBorder="1" applyFont="1">
      <alignment readingOrder="0"/>
    </xf>
    <xf borderId="24" fillId="0" fontId="22" numFmtId="0" xfId="0" applyBorder="1" applyFont="1"/>
    <xf borderId="24" fillId="0" fontId="22" numFmtId="0" xfId="0" applyAlignment="1" applyBorder="1" applyFont="1">
      <alignment horizontal="left" vertical="top"/>
    </xf>
    <xf borderId="24" fillId="0" fontId="22" numFmtId="0" xfId="0" applyAlignment="1" applyBorder="1" applyFont="1">
      <alignment readingOrder="0"/>
    </xf>
    <xf borderId="69" fillId="0" fontId="22" numFmtId="0" xfId="0" applyBorder="1" applyFont="1"/>
    <xf borderId="81" fillId="0" fontId="22" numFmtId="0" xfId="0" applyAlignment="1" applyBorder="1" applyFont="1">
      <alignment readingOrder="0"/>
    </xf>
    <xf borderId="70" fillId="0" fontId="22" numFmtId="0" xfId="0" applyBorder="1" applyFont="1"/>
    <xf borderId="70" fillId="0" fontId="22" numFmtId="0" xfId="0" applyAlignment="1" applyBorder="1" applyFont="1">
      <alignment horizontal="left" vertical="top"/>
    </xf>
    <xf borderId="70" fillId="0" fontId="22" numFmtId="0" xfId="0" applyAlignment="1" applyBorder="1" applyFont="1">
      <alignment readingOrder="0"/>
    </xf>
    <xf borderId="71" fillId="0" fontId="22" numFmtId="0" xfId="0" applyBorder="1" applyFont="1"/>
    <xf borderId="29" fillId="0" fontId="22" numFmtId="0" xfId="0" applyBorder="1" applyFont="1"/>
    <xf borderId="0" fillId="0" fontId="22" numFmtId="0" xfId="0" applyAlignment="1" applyFont="1">
      <alignment horizontal="left" vertical="center"/>
    </xf>
    <xf borderId="0" fillId="0" fontId="22" numFmtId="0" xfId="0" applyAlignment="1" applyFont="1">
      <alignment horizontal="left" vertical="top"/>
    </xf>
    <xf borderId="30" fillId="0" fontId="22" numFmtId="0" xfId="0" applyBorder="1" applyFont="1"/>
    <xf borderId="67" fillId="0" fontId="22" numFmtId="0" xfId="0" applyAlignment="1" applyBorder="1" applyFont="1">
      <alignment horizontal="left" readingOrder="0" vertical="top"/>
    </xf>
    <xf borderId="35" fillId="0" fontId="22" numFmtId="0" xfId="0" applyAlignment="1" applyBorder="1" applyFont="1">
      <alignment horizontal="left" vertical="top"/>
    </xf>
    <xf borderId="59" fillId="0" fontId="38" numFmtId="0" xfId="0" applyAlignment="1" applyBorder="1" applyFont="1">
      <alignment horizontal="left" readingOrder="0" shrinkToFit="0" vertical="center" wrapText="0"/>
    </xf>
    <xf borderId="59" fillId="0" fontId="10" numFmtId="0" xfId="0" applyAlignment="1" applyBorder="1" applyFont="1">
      <alignment horizontal="left" readingOrder="0" shrinkToFit="0" vertical="center" wrapText="0"/>
    </xf>
    <xf borderId="0" fillId="0" fontId="50" numFmtId="0" xfId="0" applyAlignment="1" applyFont="1">
      <alignment horizontal="center" shrinkToFit="0" wrapText="0"/>
    </xf>
    <xf borderId="0" fillId="0" fontId="51" numFmtId="0" xfId="0" applyAlignment="1" applyFont="1">
      <alignment horizontal="center" readingOrder="0" shrinkToFit="0" wrapText="0"/>
    </xf>
    <xf borderId="0" fillId="0" fontId="29" numFmtId="0" xfId="0" applyAlignment="1" applyFont="1">
      <alignment horizontal="center" shrinkToFit="0" wrapText="0"/>
    </xf>
    <xf borderId="25" fillId="42" fontId="52" numFmtId="0" xfId="0" applyAlignment="1" applyBorder="1" applyFill="1" applyFont="1">
      <alignment horizontal="center" readingOrder="0" shrinkToFit="0" wrapText="0"/>
    </xf>
    <xf borderId="25" fillId="21" fontId="53" numFmtId="0" xfId="0" applyAlignment="1" applyBorder="1" applyFont="1">
      <alignment horizontal="center" readingOrder="0" shrinkToFit="0" wrapText="0"/>
    </xf>
    <xf borderId="25" fillId="43" fontId="54" numFmtId="0" xfId="0" applyAlignment="1" applyBorder="1" applyFill="1" applyFont="1">
      <alignment horizontal="center" readingOrder="0" shrinkToFit="0" wrapText="0"/>
    </xf>
    <xf borderId="25" fillId="44" fontId="55" numFmtId="0" xfId="0" applyAlignment="1" applyBorder="1" applyFill="1" applyFont="1">
      <alignment horizontal="center" readingOrder="0" shrinkToFit="0" wrapText="0"/>
    </xf>
    <xf borderId="24" fillId="45" fontId="56" numFmtId="0" xfId="0" applyAlignment="1" applyBorder="1" applyFill="1" applyFont="1">
      <alignment horizontal="center" readingOrder="0" shrinkToFit="0" wrapText="0"/>
    </xf>
    <xf borderId="26" fillId="45" fontId="57" numFmtId="0" xfId="0" applyAlignment="1" applyBorder="1" applyFont="1">
      <alignment horizontal="center" readingOrder="0" shrinkToFit="0" wrapText="0"/>
    </xf>
    <xf borderId="24" fillId="45" fontId="57" numFmtId="0" xfId="0" applyAlignment="1" applyBorder="1" applyFont="1">
      <alignment horizontal="center" readingOrder="0" shrinkToFit="0" wrapText="0"/>
    </xf>
    <xf borderId="24" fillId="46" fontId="58" numFmtId="0" xfId="0" applyAlignment="1" applyBorder="1" applyFill="1" applyFont="1">
      <alignment horizontal="center" readingOrder="0" shrinkToFit="0" wrapText="0"/>
    </xf>
    <xf borderId="24" fillId="46" fontId="58" numFmtId="0" xfId="0" applyAlignment="1" applyBorder="1" applyFont="1">
      <alignment shrinkToFit="0" wrapText="0"/>
    </xf>
    <xf borderId="24" fillId="46" fontId="29" numFmtId="0" xfId="0" applyAlignment="1" applyBorder="1" applyFont="1">
      <alignment horizontal="center" shrinkToFit="0" wrapText="0"/>
    </xf>
    <xf borderId="24" fillId="46" fontId="29" numFmtId="0" xfId="0" applyAlignment="1" applyBorder="1" applyFont="1">
      <alignment shrinkToFit="0" wrapText="0"/>
    </xf>
    <xf borderId="24" fillId="46" fontId="58" numFmtId="0" xfId="0" applyAlignment="1" applyBorder="1" applyFont="1">
      <alignment horizontal="center" shrinkToFit="0" wrapText="0"/>
    </xf>
    <xf borderId="24" fillId="46" fontId="58" numFmtId="0" xfId="0" applyAlignment="1" applyBorder="1" applyFont="1">
      <alignment horizontal="center" readingOrder="0" shrinkToFit="0" vertical="bottom" wrapText="0"/>
    </xf>
    <xf borderId="24" fillId="46" fontId="58" numFmtId="0" xfId="0" applyAlignment="1" applyBorder="1" applyFont="1">
      <alignment shrinkToFit="0" vertical="bottom" wrapText="0"/>
    </xf>
    <xf borderId="28" fillId="46" fontId="29" numFmtId="0" xfId="0" applyAlignment="1" applyBorder="1" applyFont="1">
      <alignment horizontal="center" shrinkToFit="0" wrapText="0"/>
    </xf>
    <xf borderId="30" fillId="46" fontId="29" numFmtId="0" xfId="0" applyAlignment="1" applyBorder="1" applyFont="1">
      <alignment horizontal="center" shrinkToFit="0" wrapText="0"/>
    </xf>
    <xf borderId="0" fillId="0" fontId="53" numFmtId="0" xfId="0" applyAlignment="1" applyFont="1">
      <alignment horizontal="center" shrinkToFit="0" wrapText="0"/>
    </xf>
    <xf borderId="0" fillId="0" fontId="54" numFmtId="0" xfId="0" applyAlignment="1" applyFont="1">
      <alignment horizontal="center" shrinkToFit="0" wrapText="0"/>
    </xf>
    <xf borderId="0" fillId="0" fontId="57" numFmtId="0" xfId="0" applyAlignment="1" applyFont="1">
      <alignment horizontal="center" shrinkToFit="0" wrapText="0"/>
    </xf>
    <xf borderId="0" fillId="0" fontId="7" numFmtId="0" xfId="0" applyAlignment="1" applyFont="1">
      <alignment horizontal="center" readingOrder="0" shrinkToFit="0" vertical="bottom" wrapText="0"/>
    </xf>
    <xf borderId="0" fillId="47" fontId="59" numFmtId="0" xfId="0" applyAlignment="1" applyFill="1" applyFont="1">
      <alignment horizontal="center" readingOrder="0" shrinkToFit="0" wrapText="0"/>
    </xf>
    <xf borderId="0" fillId="0" fontId="60" numFmtId="0" xfId="0" applyAlignment="1" applyFont="1">
      <alignment horizontal="center" readingOrder="0" shrinkToFit="0" wrapText="0"/>
    </xf>
    <xf borderId="24" fillId="5" fontId="61" numFmtId="0" xfId="0" applyAlignment="1" applyBorder="1" applyFont="1">
      <alignment readingOrder="0" shrinkToFit="0" vertical="bottom" wrapText="0"/>
    </xf>
    <xf borderId="25" fillId="5" fontId="10" numFmtId="0" xfId="0" applyAlignment="1" applyBorder="1" applyFont="1">
      <alignment horizontal="center" readingOrder="0" shrinkToFit="0" vertical="bottom" wrapText="0"/>
    </xf>
    <xf borderId="37" fillId="0" fontId="10" numFmtId="0" xfId="0" applyAlignment="1" applyBorder="1" applyFont="1">
      <alignment horizontal="center" readingOrder="0" shrinkToFit="0" wrapText="0"/>
    </xf>
    <xf borderId="25" fillId="0" fontId="10" numFmtId="0" xfId="0" applyAlignment="1" applyBorder="1" applyFont="1">
      <alignment horizontal="center" readingOrder="0" shrinkToFit="0" vertical="bottom" wrapText="0"/>
    </xf>
    <xf borderId="29" fillId="0" fontId="8" numFmtId="0" xfId="0" applyBorder="1" applyFont="1"/>
    <xf borderId="36" fillId="0" fontId="60" numFmtId="0" xfId="0" applyAlignment="1" applyBorder="1" applyFont="1">
      <alignment horizontal="center" readingOrder="0" shrinkToFit="0" wrapText="0"/>
    </xf>
    <xf borderId="25" fillId="0" fontId="10" numFmtId="0" xfId="0" applyAlignment="1" applyBorder="1" applyFont="1">
      <alignment horizontal="center" readingOrder="0" vertical="bottom"/>
    </xf>
    <xf borderId="26" fillId="0" fontId="10" numFmtId="0" xfId="0" applyAlignment="1" applyBorder="1" applyFont="1">
      <alignment horizontal="center" readingOrder="0" vertical="bottom"/>
    </xf>
    <xf borderId="26" fillId="0" fontId="10" numFmtId="0" xfId="0" applyAlignment="1" applyBorder="1" applyFont="1">
      <alignment horizontal="center" readingOrder="0" shrinkToFit="0" vertical="bottom" wrapText="0"/>
    </xf>
    <xf borderId="0" fillId="0" fontId="62" numFmtId="0" xfId="0" applyAlignment="1" applyFont="1">
      <alignment horizontal="center" readingOrder="0" vertical="center"/>
    </xf>
    <xf borderId="24" fillId="25" fontId="25" numFmtId="0" xfId="0" applyAlignment="1" applyBorder="1" applyFont="1">
      <alignment horizontal="center" readingOrder="0"/>
    </xf>
    <xf borderId="25" fillId="25" fontId="25" numFmtId="0" xfId="0" applyAlignment="1" applyBorder="1" applyFont="1">
      <alignment horizontal="center" readingOrder="0"/>
    </xf>
    <xf borderId="35" fillId="48" fontId="2" numFmtId="0" xfId="0" applyAlignment="1" applyBorder="1" applyFill="1" applyFont="1">
      <alignment horizontal="center" readingOrder="0" vertical="center"/>
    </xf>
    <xf borderId="24" fillId="17" fontId="1" numFmtId="0" xfId="0" applyAlignment="1" applyBorder="1" applyFont="1">
      <alignment readingOrder="0"/>
    </xf>
    <xf borderId="24" fillId="17" fontId="63" numFmtId="0" xfId="0" applyAlignment="1" applyBorder="1" applyFont="1">
      <alignment vertical="bottom"/>
    </xf>
    <xf borderId="24" fillId="17" fontId="63" numFmtId="0" xfId="0" applyAlignment="1" applyBorder="1" applyFont="1">
      <alignment readingOrder="0" vertical="bottom"/>
    </xf>
    <xf borderId="24" fillId="17" fontId="1" numFmtId="0" xfId="0" applyBorder="1" applyFont="1"/>
    <xf borderId="25" fillId="17" fontId="1" numFmtId="0" xfId="0" applyAlignment="1" applyBorder="1" applyFont="1">
      <alignment horizontal="center" readingOrder="0"/>
    </xf>
    <xf borderId="35" fillId="49" fontId="2" numFmtId="0" xfId="0" applyAlignment="1" applyBorder="1" applyFill="1" applyFont="1">
      <alignment horizontal="center" readingOrder="0" vertical="center"/>
    </xf>
    <xf borderId="24" fillId="50" fontId="1" numFmtId="0" xfId="0" applyAlignment="1" applyBorder="1" applyFill="1" applyFont="1">
      <alignment readingOrder="0"/>
    </xf>
    <xf borderId="24" fillId="50" fontId="1" numFmtId="0" xfId="0" applyBorder="1" applyFont="1"/>
    <xf borderId="25" fillId="50" fontId="1" numFmtId="0" xfId="0" applyAlignment="1" applyBorder="1" applyFont="1">
      <alignment horizontal="center" readingOrder="0"/>
    </xf>
    <xf borderId="35" fillId="39" fontId="2" numFmtId="0" xfId="0" applyAlignment="1" applyBorder="1" applyFont="1">
      <alignment horizontal="center" readingOrder="0" vertical="center"/>
    </xf>
    <xf borderId="25" fillId="51" fontId="1" numFmtId="0" xfId="0" applyAlignment="1" applyBorder="1" applyFill="1" applyFont="1">
      <alignment horizontal="center" readingOrder="0" vertical="center"/>
    </xf>
    <xf borderId="24" fillId="51" fontId="1" numFmtId="0" xfId="0" applyAlignment="1" applyBorder="1" applyFont="1">
      <alignment readingOrder="0"/>
    </xf>
    <xf borderId="24" fillId="51" fontId="1" numFmtId="0" xfId="0" applyBorder="1" applyFont="1"/>
    <xf borderId="35" fillId="18" fontId="2" numFmtId="0" xfId="0" applyAlignment="1" applyBorder="1" applyFont="1">
      <alignment horizontal="center" readingOrder="0" vertical="center"/>
    </xf>
    <xf borderId="35" fillId="37" fontId="2" numFmtId="0" xfId="0" applyAlignment="1" applyBorder="1" applyFont="1">
      <alignment horizontal="center" readingOrder="0" vertical="center"/>
    </xf>
    <xf borderId="25" fillId="32" fontId="1" numFmtId="0" xfId="0" applyAlignment="1" applyBorder="1" applyFont="1">
      <alignment horizontal="center" readingOrder="0"/>
    </xf>
    <xf borderId="24" fillId="32" fontId="1" numFmtId="0" xfId="0" applyAlignment="1" applyBorder="1" applyFont="1">
      <alignment readingOrder="0"/>
    </xf>
    <xf borderId="24" fillId="32" fontId="1" numFmtId="0" xfId="0" applyBorder="1" applyFont="1"/>
    <xf borderId="37" fillId="52" fontId="1" numFmtId="0" xfId="0" applyAlignment="1" applyBorder="1" applyFill="1" applyFont="1">
      <alignment horizontal="center" readingOrder="0" vertical="center"/>
    </xf>
    <xf borderId="25" fillId="26" fontId="1" numFmtId="0" xfId="0" applyAlignment="1" applyBorder="1" applyFont="1">
      <alignment horizontal="center" readingOrder="0"/>
    </xf>
    <xf borderId="36" fillId="26" fontId="1" numFmtId="0" xfId="0" applyBorder="1" applyFont="1"/>
    <xf borderId="24" fillId="26" fontId="1" numFmtId="0" xfId="0" applyBorder="1" applyFont="1"/>
    <xf borderId="35" fillId="52" fontId="3" numFmtId="0" xfId="0" applyAlignment="1" applyBorder="1" applyFont="1">
      <alignment horizontal="center" readingOrder="0" vertical="center"/>
    </xf>
    <xf borderId="24" fillId="26" fontId="1" numFmtId="0" xfId="0" applyAlignment="1" applyBorder="1" applyFont="1">
      <alignment readingOrder="0"/>
    </xf>
    <xf borderId="32" fillId="26" fontId="1" numFmtId="0" xfId="0" applyBorder="1" applyFont="1"/>
    <xf borderId="24" fillId="32" fontId="3" numFmtId="0" xfId="0" applyAlignment="1" applyBorder="1" applyFont="1">
      <alignment readingOrder="0"/>
    </xf>
    <xf borderId="0" fillId="20" fontId="1" numFmtId="0" xfId="0" applyFont="1"/>
    <xf borderId="0" fillId="13" fontId="1" numFmtId="0" xfId="0" applyFont="1"/>
    <xf borderId="0" fillId="20" fontId="1" numFmtId="0" xfId="0" applyAlignment="1" applyFont="1">
      <alignment readingOrder="0"/>
    </xf>
    <xf borderId="0" fillId="13" fontId="10" numFmtId="0" xfId="0" applyAlignment="1" applyFont="1">
      <alignment readingOrder="0" shrinkToFit="0" vertical="bottom" wrapText="0"/>
    </xf>
    <xf borderId="0" fillId="13" fontId="1" numFmtId="0" xfId="0" applyAlignment="1" applyFont="1">
      <alignment readingOrder="0"/>
    </xf>
    <xf borderId="82" fillId="20" fontId="1" numFmtId="0" xfId="0" applyAlignment="1" applyBorder="1" applyFont="1">
      <alignment readingOrder="0"/>
    </xf>
    <xf borderId="82" fillId="39" fontId="1" numFmtId="0" xfId="0" applyAlignment="1" applyBorder="1" applyFont="1">
      <alignment readingOrder="0"/>
    </xf>
    <xf borderId="82" fillId="39" fontId="1" numFmtId="0" xfId="0" applyBorder="1" applyFont="1"/>
    <xf borderId="83" fillId="20" fontId="1" numFmtId="0" xfId="0" applyBorder="1" applyFont="1"/>
    <xf borderId="83" fillId="39" fontId="1" numFmtId="0" xfId="0" applyBorder="1" applyFont="1"/>
    <xf borderId="83" fillId="13" fontId="1" numFmtId="0" xfId="0" applyBorder="1" applyFont="1"/>
    <xf borderId="0" fillId="2" fontId="1" numFmtId="0" xfId="0" applyAlignment="1" applyFont="1">
      <alignment readingOrder="0"/>
    </xf>
    <xf borderId="0" fillId="2" fontId="1" numFmtId="0" xfId="0" applyFont="1"/>
    <xf borderId="83" fillId="2" fontId="1" numFmtId="0" xfId="0" applyBorder="1" applyFont="1"/>
    <xf borderId="83" fillId="39" fontId="1" numFmtId="0" xfId="0" applyAlignment="1" applyBorder="1" applyFont="1">
      <alignment readingOrder="0"/>
    </xf>
  </cellXfs>
  <cellStyles count="1">
    <cellStyle xfId="0" name="Normal" builtinId="0"/>
  </cellStyles>
  <dxfs count="1">
    <dxf>
      <font>
        <b/>
      </font>
      <fill>
        <patternFill patternType="solid">
          <fgColor rgb="FFEAD1DC"/>
          <bgColor rgb="FFEAD1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14C59"/>
      </a:dk1>
      <a:lt1>
        <a:srgbClr val="FFFFFF"/>
      </a:lt1>
      <a:dk2>
        <a:srgbClr val="314C59"/>
      </a:dk2>
      <a:lt2>
        <a:srgbClr val="FFFFFF"/>
      </a:lt2>
      <a:accent1>
        <a:srgbClr val="006391"/>
      </a:accent1>
      <a:accent2>
        <a:srgbClr val="E24A38"/>
      </a:accent2>
      <a:accent3>
        <a:srgbClr val="FEB929"/>
      </a:accent3>
      <a:accent4>
        <a:srgbClr val="28998B"/>
      </a:accent4>
      <a:accent5>
        <a:srgbClr val="C0DE00"/>
      </a:accent5>
      <a:accent6>
        <a:srgbClr val="F5959C"/>
      </a:accent6>
      <a:hlink>
        <a:srgbClr val="B15DBA"/>
      </a:hlink>
      <a:folHlink>
        <a:srgbClr val="B15DBA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mailto:john10@gmail.com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://google.com" TargetMode="External"/><Relationship Id="rId2" Type="http://schemas.openxmlformats.org/officeDocument/2006/relationships/hyperlink" Target="mailto:ATHARV@GOLD.COM" TargetMode="External"/><Relationship Id="rId3" Type="http://schemas.openxmlformats.org/officeDocument/2006/relationships/hyperlink" Target="mailto:AtharvaNINAWe@gmail.com" TargetMode="External"/><Relationship Id="rId4" Type="http://schemas.openxmlformats.org/officeDocument/2006/relationships/hyperlink" Target="mailto:AtharvaNINAWe@gmail.com" TargetMode="External"/><Relationship Id="rId5" Type="http://schemas.openxmlformats.org/officeDocument/2006/relationships/hyperlink" Target="mailto:Atharvaninawe@gmail.com" TargetMode="External"/><Relationship Id="rId6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1" Type="http://schemas.openxmlformats.org/officeDocument/2006/relationships/hyperlink" Target="http://s.no" TargetMode="External"/><Relationship Id="rId10" Type="http://schemas.openxmlformats.org/officeDocument/2006/relationships/hyperlink" Target="http://s.no" TargetMode="External"/><Relationship Id="rId13" Type="http://schemas.openxmlformats.org/officeDocument/2006/relationships/hyperlink" Target="http://s.no" TargetMode="External"/><Relationship Id="rId12" Type="http://schemas.openxmlformats.org/officeDocument/2006/relationships/hyperlink" Target="http://s.no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Relationship Id="rId3" Type="http://schemas.openxmlformats.org/officeDocument/2006/relationships/hyperlink" Target="http://s.no" TargetMode="External"/><Relationship Id="rId4" Type="http://schemas.openxmlformats.org/officeDocument/2006/relationships/hyperlink" Target="http://s.no" TargetMode="External"/><Relationship Id="rId9" Type="http://schemas.openxmlformats.org/officeDocument/2006/relationships/hyperlink" Target="http://s.no" TargetMode="External"/><Relationship Id="rId15" Type="http://schemas.openxmlformats.org/officeDocument/2006/relationships/hyperlink" Target="http://s.no" TargetMode="External"/><Relationship Id="rId14" Type="http://schemas.openxmlformats.org/officeDocument/2006/relationships/hyperlink" Target="http://s.no" TargetMode="External"/><Relationship Id="rId16" Type="http://schemas.openxmlformats.org/officeDocument/2006/relationships/drawing" Target="../drawings/drawing37.xml"/><Relationship Id="rId5" Type="http://schemas.openxmlformats.org/officeDocument/2006/relationships/hyperlink" Target="http://s.no" TargetMode="External"/><Relationship Id="rId6" Type="http://schemas.openxmlformats.org/officeDocument/2006/relationships/hyperlink" Target="http://s.no" TargetMode="External"/><Relationship Id="rId7" Type="http://schemas.openxmlformats.org/officeDocument/2006/relationships/hyperlink" Target="http://s.no" TargetMode="External"/><Relationship Id="rId8" Type="http://schemas.openxmlformats.org/officeDocument/2006/relationships/hyperlink" Target="http://s.no" TargetMode="External"/></Relationships>
</file>

<file path=xl/worksheets/_rels/sheet38.xml.rels><?xml version="1.0" encoding="UTF-8" standalone="yes"?><Relationships xmlns="http://schemas.openxmlformats.org/package/2006/relationships"><Relationship Id="rId11" Type="http://schemas.openxmlformats.org/officeDocument/2006/relationships/hyperlink" Target="http://s.no" TargetMode="External"/><Relationship Id="rId10" Type="http://schemas.openxmlformats.org/officeDocument/2006/relationships/hyperlink" Target="http://s.no" TargetMode="External"/><Relationship Id="rId13" Type="http://schemas.openxmlformats.org/officeDocument/2006/relationships/hyperlink" Target="http://s.no" TargetMode="External"/><Relationship Id="rId12" Type="http://schemas.openxmlformats.org/officeDocument/2006/relationships/hyperlink" Target="http://s.no" TargetMode="External"/><Relationship Id="rId1" Type="http://schemas.openxmlformats.org/officeDocument/2006/relationships/hyperlink" Target="http://s.no" TargetMode="External"/><Relationship Id="rId2" Type="http://schemas.openxmlformats.org/officeDocument/2006/relationships/hyperlink" Target="http://s.no" TargetMode="External"/><Relationship Id="rId3" Type="http://schemas.openxmlformats.org/officeDocument/2006/relationships/hyperlink" Target="http://s.no" TargetMode="External"/><Relationship Id="rId4" Type="http://schemas.openxmlformats.org/officeDocument/2006/relationships/hyperlink" Target="http://s.no" TargetMode="External"/><Relationship Id="rId9" Type="http://schemas.openxmlformats.org/officeDocument/2006/relationships/hyperlink" Target="http://s.no" TargetMode="External"/><Relationship Id="rId15" Type="http://schemas.openxmlformats.org/officeDocument/2006/relationships/hyperlink" Target="http://s.no" TargetMode="External"/><Relationship Id="rId14" Type="http://schemas.openxmlformats.org/officeDocument/2006/relationships/hyperlink" Target="http://s.no" TargetMode="External"/><Relationship Id="rId16" Type="http://schemas.openxmlformats.org/officeDocument/2006/relationships/drawing" Target="../drawings/drawing38.xml"/><Relationship Id="rId5" Type="http://schemas.openxmlformats.org/officeDocument/2006/relationships/hyperlink" Target="http://s.no" TargetMode="External"/><Relationship Id="rId6" Type="http://schemas.openxmlformats.org/officeDocument/2006/relationships/hyperlink" Target="http://s.no" TargetMode="External"/><Relationship Id="rId7" Type="http://schemas.openxmlformats.org/officeDocument/2006/relationships/hyperlink" Target="http://s.no" TargetMode="External"/><Relationship Id="rId8" Type="http://schemas.openxmlformats.org/officeDocument/2006/relationships/hyperlink" Target="http://s.no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38"/>
    <col customWidth="1" min="6" max="6" width="23.25"/>
  </cols>
  <sheetData>
    <row r="1">
      <c r="A1" s="1" t="s">
        <v>0</v>
      </c>
    </row>
    <row r="3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>
      <c r="C4" s="3"/>
      <c r="D4" s="3"/>
      <c r="E4" s="4"/>
      <c r="F4" s="4"/>
      <c r="G4" s="5"/>
      <c r="H4" s="6"/>
      <c r="I4" s="6"/>
    </row>
    <row r="5">
      <c r="C5" s="7">
        <v>1.0</v>
      </c>
      <c r="D5" s="8" t="s">
        <v>6</v>
      </c>
      <c r="E5" s="4" t="s">
        <v>7</v>
      </c>
      <c r="F5" s="4" t="s">
        <v>8</v>
      </c>
      <c r="G5" s="5" t="str">
        <f t="shared" ref="G5:G9" si="1">CLEAN(E5)</f>
        <v>Abu Dhabi</v>
      </c>
      <c r="H5" s="6"/>
      <c r="I5" s="6"/>
    </row>
    <row r="6">
      <c r="C6" s="4"/>
      <c r="D6" s="5"/>
      <c r="E6" s="4" t="s">
        <v>9</v>
      </c>
      <c r="F6" s="4" t="s">
        <v>10</v>
      </c>
      <c r="G6" s="5" t="str">
        <f t="shared" si="1"/>
        <v>Tulips-Roses</v>
      </c>
      <c r="H6" s="6"/>
      <c r="I6" s="6"/>
    </row>
    <row r="7">
      <c r="C7" s="4"/>
      <c r="D7" s="5"/>
      <c r="E7" s="4" t="s">
        <v>11</v>
      </c>
      <c r="F7" s="4" t="s">
        <v>12</v>
      </c>
      <c r="G7" s="5" t="str">
        <f t="shared" si="1"/>
        <v>Ferrari World!</v>
      </c>
      <c r="H7" s="6"/>
      <c r="I7" s="6"/>
    </row>
    <row r="8">
      <c r="C8" s="4"/>
      <c r="D8" s="5"/>
      <c r="E8" s="4" t="s">
        <v>13</v>
      </c>
      <c r="F8" s="4" t="s">
        <v>14</v>
      </c>
      <c r="G8" s="5" t="str">
        <f t="shared" si="1"/>
        <v>Report2026</v>
      </c>
      <c r="H8" s="6"/>
      <c r="I8" s="6"/>
    </row>
    <row r="9">
      <c r="C9" s="9"/>
      <c r="D9" s="10"/>
      <c r="E9" s="9" t="s">
        <v>15</v>
      </c>
      <c r="F9" s="9" t="s">
        <v>16</v>
      </c>
      <c r="G9" s="10" t="str">
        <f t="shared" si="1"/>
        <v>Hello world</v>
      </c>
      <c r="H9" s="6"/>
      <c r="I9" s="6"/>
    </row>
    <row r="10">
      <c r="C10" s="5"/>
      <c r="D10" s="5"/>
      <c r="E10" s="5"/>
      <c r="F10" s="5"/>
      <c r="G10" s="5"/>
    </row>
    <row r="11">
      <c r="C11" s="3">
        <v>2.0</v>
      </c>
      <c r="D11" s="8" t="s">
        <v>17</v>
      </c>
      <c r="E11" s="4" t="s">
        <v>18</v>
      </c>
      <c r="F11" s="4" t="s">
        <v>19</v>
      </c>
      <c r="G11" s="5" t="str">
        <f>CONCAT(E12,E11)</f>
        <v>FunSun</v>
      </c>
    </row>
    <row r="12">
      <c r="C12" s="5"/>
      <c r="D12" s="5"/>
      <c r="E12" s="4" t="s">
        <v>20</v>
      </c>
      <c r="F12" s="5"/>
      <c r="G12" s="5"/>
    </row>
    <row r="13">
      <c r="C13" s="5"/>
      <c r="D13" s="5"/>
      <c r="E13" s="4" t="s">
        <v>21</v>
      </c>
      <c r="F13" s="4" t="s">
        <v>22</v>
      </c>
      <c r="G13" s="5" t="str">
        <f>CONCAT(E$14,E$13)</f>
        <v>JsJavascript</v>
      </c>
    </row>
    <row r="14">
      <c r="C14" s="5"/>
      <c r="D14" s="5"/>
      <c r="E14" s="4" t="s">
        <v>23</v>
      </c>
      <c r="F14" s="5"/>
      <c r="G14" s="5"/>
      <c r="J14" s="11"/>
    </row>
    <row r="15">
      <c r="C15" s="5"/>
      <c r="D15" s="5"/>
      <c r="E15" s="4" t="s">
        <v>24</v>
      </c>
      <c r="F15" s="4" t="s">
        <v>25</v>
      </c>
      <c r="G15" s="5" t="str">
        <f>CONCAT(E16,E15)</f>
        <v>BeginStart</v>
      </c>
    </row>
    <row r="16">
      <c r="C16" s="5"/>
      <c r="D16" s="5"/>
      <c r="E16" s="4" t="s">
        <v>26</v>
      </c>
      <c r="F16" s="5"/>
      <c r="G16" s="5"/>
    </row>
    <row r="17">
      <c r="C17" s="5"/>
      <c r="D17" s="5"/>
      <c r="E17" s="4" t="s">
        <v>27</v>
      </c>
      <c r="F17" s="4" t="s">
        <v>28</v>
      </c>
      <c r="G17" s="5" t="str">
        <f>CONCAT(E18,E17)</f>
        <v>ThingsLittle</v>
      </c>
    </row>
    <row r="18">
      <c r="C18" s="5"/>
      <c r="D18" s="5"/>
      <c r="E18" s="4" t="s">
        <v>29</v>
      </c>
      <c r="F18" s="5"/>
      <c r="G18" s="5"/>
    </row>
    <row r="19">
      <c r="C19" s="5"/>
      <c r="D19" s="5"/>
      <c r="E19" s="4" t="s">
        <v>30</v>
      </c>
      <c r="F19" s="4" t="s">
        <v>31</v>
      </c>
      <c r="G19" s="5" t="str">
        <f>CONCAT(E20,E19)</f>
        <v>DivisionMultiple</v>
      </c>
    </row>
    <row r="20">
      <c r="C20" s="10"/>
      <c r="D20" s="10"/>
      <c r="E20" s="9" t="s">
        <v>32</v>
      </c>
      <c r="F20" s="10"/>
      <c r="G20" s="10"/>
    </row>
    <row r="21">
      <c r="C21" s="5"/>
      <c r="D21" s="5"/>
      <c r="E21" s="5"/>
      <c r="F21" s="5"/>
      <c r="G21" s="5"/>
    </row>
    <row r="22">
      <c r="C22" s="3">
        <v>3.0</v>
      </c>
      <c r="D22" s="8" t="s">
        <v>33</v>
      </c>
      <c r="E22" s="4" t="s">
        <v>34</v>
      </c>
      <c r="F22" s="4" t="s">
        <v>35</v>
      </c>
      <c r="G22" s="5">
        <f>FIND("a",E22)</f>
        <v>3</v>
      </c>
    </row>
    <row r="23">
      <c r="C23" s="5"/>
      <c r="D23" s="5"/>
      <c r="E23" s="4" t="s">
        <v>36</v>
      </c>
      <c r="F23" s="4" t="s">
        <v>37</v>
      </c>
      <c r="G23" s="5">
        <f>FIND("n",E23)</f>
        <v>4</v>
      </c>
    </row>
    <row r="24">
      <c r="C24" s="5"/>
      <c r="D24" s="5"/>
      <c r="E24" s="4" t="s">
        <v>38</v>
      </c>
      <c r="F24" s="4" t="s">
        <v>39</v>
      </c>
      <c r="G24" s="5">
        <f>FIND("a",E24)</f>
        <v>6</v>
      </c>
    </row>
    <row r="25">
      <c r="C25" s="5"/>
      <c r="D25" s="5"/>
      <c r="E25" s="4" t="s">
        <v>40</v>
      </c>
      <c r="F25" s="4" t="s">
        <v>41</v>
      </c>
      <c r="G25" s="5">
        <f>FIND("C",E25)</f>
        <v>1</v>
      </c>
    </row>
    <row r="26">
      <c r="C26" s="5"/>
      <c r="D26" s="5"/>
      <c r="E26" s="4" t="s">
        <v>42</v>
      </c>
      <c r="F26" s="4" t="s">
        <v>43</v>
      </c>
      <c r="G26" s="5">
        <f>FIND("-",E26)</f>
        <v>3</v>
      </c>
    </row>
    <row r="27">
      <c r="C27" s="12"/>
      <c r="D27" s="12"/>
      <c r="E27" s="12"/>
      <c r="F27" s="12"/>
      <c r="G27" s="12"/>
    </row>
    <row r="28">
      <c r="C28" s="3">
        <v>4.0</v>
      </c>
      <c r="D28" s="8" t="s">
        <v>44</v>
      </c>
      <c r="E28" s="4" t="s">
        <v>45</v>
      </c>
      <c r="F28" s="4" t="s">
        <v>46</v>
      </c>
      <c r="G28" s="5" t="b">
        <f>EXACT(E28,E29)</f>
        <v>0</v>
      </c>
    </row>
    <row r="29">
      <c r="C29" s="5"/>
      <c r="D29" s="5"/>
      <c r="E29" s="4" t="s">
        <v>47</v>
      </c>
      <c r="F29" s="5"/>
      <c r="G29" s="5"/>
    </row>
    <row r="30">
      <c r="C30" s="5"/>
      <c r="D30" s="5"/>
      <c r="E30" s="4" t="s">
        <v>48</v>
      </c>
      <c r="F30" s="4" t="s">
        <v>49</v>
      </c>
      <c r="G30" s="5" t="b">
        <f>EXACT(E30,E31)</f>
        <v>1</v>
      </c>
    </row>
    <row r="31">
      <c r="C31" s="5"/>
      <c r="D31" s="5"/>
      <c r="E31" s="4" t="s">
        <v>48</v>
      </c>
      <c r="F31" s="5"/>
      <c r="G31" s="5"/>
    </row>
    <row r="32">
      <c r="C32" s="5"/>
      <c r="D32" s="5"/>
      <c r="E32" s="4" t="s">
        <v>50</v>
      </c>
      <c r="F32" s="4" t="s">
        <v>51</v>
      </c>
      <c r="G32" s="5" t="b">
        <f>EXACT(E32,E33)</f>
        <v>0</v>
      </c>
    </row>
    <row r="33">
      <c r="C33" s="5"/>
      <c r="D33" s="5"/>
      <c r="E33" s="4" t="s">
        <v>52</v>
      </c>
      <c r="F33" s="5"/>
      <c r="G33" s="5"/>
    </row>
    <row r="34">
      <c r="C34" s="5"/>
      <c r="D34" s="5"/>
      <c r="E34" s="4" t="s">
        <v>53</v>
      </c>
      <c r="F34" s="4" t="s">
        <v>54</v>
      </c>
      <c r="G34" s="5" t="b">
        <f>EXACT(E34,E35)</f>
        <v>0</v>
      </c>
    </row>
    <row r="35">
      <c r="C35" s="5"/>
      <c r="D35" s="5"/>
      <c r="E35" s="4" t="s">
        <v>55</v>
      </c>
      <c r="F35" s="5"/>
      <c r="G35" s="5"/>
    </row>
    <row r="36">
      <c r="C36" s="5"/>
      <c r="D36" s="5"/>
      <c r="E36" s="4" t="s">
        <v>3</v>
      </c>
      <c r="F36" s="4" t="s">
        <v>56</v>
      </c>
      <c r="G36" s="5" t="b">
        <f>EXACT(E36,E37)</f>
        <v>1</v>
      </c>
    </row>
    <row r="37">
      <c r="C37" s="5"/>
      <c r="D37" s="5"/>
      <c r="E37" s="4" t="s">
        <v>3</v>
      </c>
      <c r="F37" s="5"/>
      <c r="G37" s="5"/>
    </row>
    <row r="38">
      <c r="C38" s="12"/>
      <c r="D38" s="12"/>
      <c r="E38" s="12"/>
      <c r="F38" s="12"/>
      <c r="G38" s="12"/>
    </row>
    <row r="39">
      <c r="C39" s="3">
        <v>5.0</v>
      </c>
      <c r="D39" s="8" t="s">
        <v>57</v>
      </c>
      <c r="E39" s="4" t="s">
        <v>58</v>
      </c>
      <c r="F39" s="4" t="s">
        <v>59</v>
      </c>
      <c r="G39" s="5" t="str">
        <f>LEFT(E39,8)</f>
        <v>TCS-Comp</v>
      </c>
    </row>
    <row r="40">
      <c r="C40" s="5"/>
      <c r="D40" s="5"/>
      <c r="E40" s="4" t="s">
        <v>60</v>
      </c>
      <c r="F40" s="4" t="s">
        <v>61</v>
      </c>
      <c r="G40" s="5" t="str">
        <f>LEFT(E40,4)</f>
        <v>Dash</v>
      </c>
    </row>
    <row r="41">
      <c r="C41" s="5"/>
      <c r="D41" s="5"/>
      <c r="E41" s="4" t="s">
        <v>62</v>
      </c>
      <c r="F41" s="4" t="s">
        <v>63</v>
      </c>
      <c r="G41" s="5" t="str">
        <f t="shared" ref="G41:G43" si="2">LEFT(E41,10)</f>
        <v>Logical co</v>
      </c>
    </row>
    <row r="42">
      <c r="C42" s="5"/>
      <c r="D42" s="5"/>
      <c r="E42" s="4" t="s">
        <v>64</v>
      </c>
      <c r="F42" s="4" t="s">
        <v>65</v>
      </c>
      <c r="G42" s="5" t="str">
        <f t="shared" si="2"/>
        <v>Arithmetic</v>
      </c>
    </row>
    <row r="43">
      <c r="C43" s="5"/>
      <c r="D43" s="5"/>
      <c r="E43" s="4" t="s">
        <v>66</v>
      </c>
      <c r="F43" s="4" t="s">
        <v>67</v>
      </c>
      <c r="G43" s="5" t="str">
        <f t="shared" si="2"/>
        <v>Substituti</v>
      </c>
    </row>
    <row r="44">
      <c r="C44" s="12"/>
      <c r="D44" s="12"/>
      <c r="E44" s="12"/>
      <c r="F44" s="12"/>
      <c r="G44" s="12"/>
    </row>
    <row r="45">
      <c r="C45" s="3">
        <v>6.0</v>
      </c>
      <c r="D45" s="8" t="s">
        <v>68</v>
      </c>
      <c r="E45" s="4" t="s">
        <v>69</v>
      </c>
      <c r="F45" s="4" t="s">
        <v>70</v>
      </c>
      <c r="G45" s="5">
        <f t="shared" ref="G45:G49" si="3">LEN(E45)</f>
        <v>5</v>
      </c>
    </row>
    <row r="46">
      <c r="C46" s="5"/>
      <c r="D46" s="5"/>
      <c r="E46" s="4" t="s">
        <v>71</v>
      </c>
      <c r="F46" s="4" t="s">
        <v>72</v>
      </c>
      <c r="G46" s="5">
        <f t="shared" si="3"/>
        <v>16</v>
      </c>
    </row>
    <row r="47">
      <c r="C47" s="5"/>
      <c r="D47" s="5"/>
      <c r="E47" s="4" t="s">
        <v>73</v>
      </c>
      <c r="F47" s="4" t="s">
        <v>74</v>
      </c>
      <c r="G47" s="5">
        <f t="shared" si="3"/>
        <v>18</v>
      </c>
    </row>
    <row r="48">
      <c r="C48" s="5"/>
      <c r="D48" s="5"/>
      <c r="E48" s="4" t="s">
        <v>75</v>
      </c>
      <c r="F48" s="4" t="s">
        <v>76</v>
      </c>
      <c r="G48" s="5">
        <f t="shared" si="3"/>
        <v>13</v>
      </c>
    </row>
    <row r="49">
      <c r="C49" s="5"/>
      <c r="D49" s="5"/>
      <c r="E49" s="4" t="s">
        <v>77</v>
      </c>
      <c r="F49" s="4" t="s">
        <v>78</v>
      </c>
      <c r="G49" s="5">
        <f t="shared" si="3"/>
        <v>3</v>
      </c>
    </row>
    <row r="50">
      <c r="C50" s="12"/>
      <c r="D50" s="12"/>
      <c r="E50" s="12"/>
      <c r="F50" s="12"/>
      <c r="G50" s="12"/>
    </row>
    <row r="51">
      <c r="C51" s="3">
        <v>7.0</v>
      </c>
      <c r="D51" s="8" t="s">
        <v>79</v>
      </c>
      <c r="E51" s="4" t="s">
        <v>80</v>
      </c>
      <c r="F51" s="4" t="s">
        <v>81</v>
      </c>
      <c r="G51" s="5" t="str">
        <f t="shared" ref="G51:G55" si="4">LOWER(E51)</f>
        <v>cybersecurity</v>
      </c>
    </row>
    <row r="52">
      <c r="C52" s="5"/>
      <c r="D52" s="5"/>
      <c r="E52" s="4" t="s">
        <v>82</v>
      </c>
      <c r="F52" s="4" t="s">
        <v>83</v>
      </c>
      <c r="G52" s="5" t="str">
        <f t="shared" si="4"/>
        <v>colour-red</v>
      </c>
    </row>
    <row r="53">
      <c r="C53" s="5"/>
      <c r="D53" s="5"/>
      <c r="E53" s="4" t="s">
        <v>84</v>
      </c>
      <c r="F53" s="4" t="s">
        <v>85</v>
      </c>
      <c r="G53" s="5" t="str">
        <f t="shared" si="4"/>
        <v>verbal reading</v>
      </c>
    </row>
    <row r="54">
      <c r="C54" s="5"/>
      <c r="D54" s="5"/>
      <c r="E54" s="4" t="s">
        <v>86</v>
      </c>
      <c r="F54" s="4" t="s">
        <v>87</v>
      </c>
      <c r="G54" s="5" t="str">
        <f t="shared" si="4"/>
        <v>asus vivobook</v>
      </c>
    </row>
    <row r="55">
      <c r="C55" s="5"/>
      <c r="D55" s="5"/>
      <c r="E55" s="4" t="s">
        <v>88</v>
      </c>
      <c r="F55" s="4" t="s">
        <v>89</v>
      </c>
      <c r="G55" s="5" t="str">
        <f t="shared" si="4"/>
        <v>f1 ferrari</v>
      </c>
    </row>
    <row r="56">
      <c r="C56" s="12"/>
      <c r="D56" s="12"/>
      <c r="E56" s="12"/>
      <c r="F56" s="12"/>
      <c r="G56" s="12"/>
    </row>
    <row r="57">
      <c r="C57" s="3">
        <v>8.0</v>
      </c>
      <c r="D57" s="8" t="s">
        <v>90</v>
      </c>
      <c r="E57" s="4" t="s">
        <v>91</v>
      </c>
      <c r="F57" s="4" t="s">
        <v>92</v>
      </c>
      <c r="G57" s="5" t="str">
        <f>MID(E57,9,19)</f>
        <v> University</v>
      </c>
    </row>
    <row r="58">
      <c r="C58" s="5"/>
      <c r="D58" s="5"/>
      <c r="E58" s="4" t="s">
        <v>93</v>
      </c>
      <c r="F58" s="4" t="s">
        <v>94</v>
      </c>
      <c r="G58" s="5" t="str">
        <f>MID(E58,7,15)</f>
        <v>d-Game</v>
      </c>
    </row>
    <row r="59">
      <c r="C59" s="5"/>
      <c r="D59" s="5"/>
      <c r="E59" s="4" t="s">
        <v>95</v>
      </c>
      <c r="F59" s="4" t="s">
        <v>96</v>
      </c>
      <c r="G59" s="5" t="str">
        <f>MID(E59,4,25)</f>
        <v> Verstappen</v>
      </c>
    </row>
    <row r="60">
      <c r="C60" s="5"/>
      <c r="D60" s="5"/>
      <c r="E60" s="4" t="s">
        <v>97</v>
      </c>
      <c r="F60" s="4" t="s">
        <v>98</v>
      </c>
      <c r="G60" s="5" t="str">
        <f>MID(E60,2,7)</f>
        <v>eather</v>
      </c>
    </row>
    <row r="61">
      <c r="C61" s="5"/>
      <c r="D61" s="5"/>
      <c r="E61" s="4" t="s">
        <v>99</v>
      </c>
      <c r="F61" s="4" t="s">
        <v>100</v>
      </c>
      <c r="G61" s="5" t="str">
        <f>MID(E61,5,19)</f>
        <v>gment</v>
      </c>
    </row>
    <row r="62">
      <c r="C62" s="12"/>
      <c r="D62" s="12"/>
      <c r="E62" s="12"/>
      <c r="F62" s="12"/>
      <c r="G62" s="12"/>
    </row>
    <row r="63">
      <c r="C63" s="3">
        <v>9.0</v>
      </c>
      <c r="D63" s="8" t="s">
        <v>101</v>
      </c>
      <c r="E63" s="4" t="s">
        <v>102</v>
      </c>
      <c r="F63" s="4" t="s">
        <v>103</v>
      </c>
      <c r="G63" s="5" t="str">
        <f t="shared" ref="G63:G67" si="5">PROPER(E63)</f>
        <v>Lewis Hamilton</v>
      </c>
    </row>
    <row r="64">
      <c r="C64" s="5"/>
      <c r="D64" s="5"/>
      <c r="E64" s="4" t="s">
        <v>104</v>
      </c>
      <c r="F64" s="4" t="s">
        <v>105</v>
      </c>
      <c r="G64" s="5" t="str">
        <f t="shared" si="5"/>
        <v>British</v>
      </c>
    </row>
    <row r="65">
      <c r="C65" s="5"/>
      <c r="D65" s="5"/>
      <c r="E65" s="4" t="s">
        <v>106</v>
      </c>
      <c r="F65" s="4" t="s">
        <v>107</v>
      </c>
      <c r="G65" s="5" t="str">
        <f t="shared" si="5"/>
        <v>Williams17</v>
      </c>
    </row>
    <row r="66">
      <c r="C66" s="5"/>
      <c r="D66" s="5"/>
      <c r="E66" s="4" t="s">
        <v>108</v>
      </c>
      <c r="F66" s="4" t="s">
        <v>109</v>
      </c>
      <c r="G66" s="5" t="str">
        <f t="shared" si="5"/>
        <v>Hocking</v>
      </c>
    </row>
    <row r="67">
      <c r="C67" s="5"/>
      <c r="D67" s="5"/>
      <c r="E67" s="4" t="s">
        <v>110</v>
      </c>
      <c r="F67" s="4" t="s">
        <v>111</v>
      </c>
      <c r="G67" s="5" t="str">
        <f t="shared" si="5"/>
        <v>Paris</v>
      </c>
    </row>
    <row r="68">
      <c r="C68" s="12"/>
      <c r="D68" s="12"/>
      <c r="E68" s="12"/>
      <c r="F68" s="12"/>
      <c r="G68" s="12"/>
    </row>
    <row r="69">
      <c r="C69" s="3">
        <v>10.0</v>
      </c>
      <c r="D69" s="8" t="s">
        <v>112</v>
      </c>
      <c r="E69" s="4" t="s">
        <v>113</v>
      </c>
      <c r="F69" s="4" t="s">
        <v>114</v>
      </c>
      <c r="G69" s="5" t="str">
        <f>REPLACE(E69,4,12,"d")</f>
        <v>Lead</v>
      </c>
    </row>
    <row r="70">
      <c r="C70" s="5"/>
      <c r="D70" s="5"/>
      <c r="E70" s="4" t="s">
        <v>115</v>
      </c>
      <c r="F70" s="4" t="s">
        <v>116</v>
      </c>
      <c r="G70" s="5" t="str">
        <f>REPLACE(E70,2,5," ")</f>
        <v>C ent</v>
      </c>
    </row>
    <row r="71">
      <c r="C71" s="5"/>
      <c r="D71" s="5"/>
      <c r="E71" s="4" t="s">
        <v>117</v>
      </c>
      <c r="F71" s="4" t="s">
        <v>118</v>
      </c>
      <c r="G71" s="5" t="str">
        <f>REPLACE(E71,8,19,"l")</f>
        <v>National</v>
      </c>
    </row>
    <row r="72">
      <c r="C72" s="5"/>
      <c r="D72" s="5"/>
      <c r="E72" s="4" t="s">
        <v>119</v>
      </c>
      <c r="F72" s="4" t="s">
        <v>120</v>
      </c>
      <c r="G72" s="5" t="str">
        <f>REPLACE(E72,4,10,"o")</f>
        <v>Indo</v>
      </c>
    </row>
    <row r="73">
      <c r="C73" s="5"/>
      <c r="D73" s="5"/>
      <c r="E73" s="4" t="s">
        <v>121</v>
      </c>
      <c r="F73" s="4" t="s">
        <v>122</v>
      </c>
      <c r="G73" s="5" t="str">
        <f>REPLACE(E73,8,10,"dent")</f>
        <v>Presidedent</v>
      </c>
    </row>
    <row r="74">
      <c r="C74" s="12"/>
      <c r="D74" s="12"/>
      <c r="E74" s="12"/>
      <c r="F74" s="12"/>
      <c r="G74" s="12"/>
    </row>
    <row r="75">
      <c r="C75" s="3">
        <v>11.0</v>
      </c>
      <c r="D75" s="8" t="s">
        <v>123</v>
      </c>
      <c r="E75" s="4" t="s">
        <v>124</v>
      </c>
      <c r="F75" s="4" t="s">
        <v>125</v>
      </c>
      <c r="G75" s="5" t="str">
        <f t="shared" ref="G75:G76" si="6">RIGHT(E75,5)</f>
        <v>lower</v>
      </c>
    </row>
    <row r="76">
      <c r="C76" s="5"/>
      <c r="D76" s="5"/>
      <c r="E76" s="4" t="s">
        <v>126</v>
      </c>
      <c r="F76" s="4" t="s">
        <v>127</v>
      </c>
      <c r="G76" s="5" t="str">
        <f t="shared" si="6"/>
        <v>ssell</v>
      </c>
    </row>
    <row r="77">
      <c r="C77" s="5"/>
      <c r="D77" s="5"/>
      <c r="E77" s="4" t="s">
        <v>128</v>
      </c>
      <c r="F77" s="4" t="s">
        <v>129</v>
      </c>
      <c r="G77" s="5" t="str">
        <f>RIGHT(E77,4)</f>
        <v>bara</v>
      </c>
    </row>
    <row r="78">
      <c r="C78" s="5"/>
      <c r="D78" s="5"/>
      <c r="E78" s="4" t="s">
        <v>130</v>
      </c>
      <c r="F78" s="4" t="s">
        <v>131</v>
      </c>
      <c r="G78" s="5" t="str">
        <f>RIGHT(E78,8)</f>
        <v>.Bethell</v>
      </c>
    </row>
    <row r="79">
      <c r="C79" s="5"/>
      <c r="D79" s="5"/>
      <c r="E79" s="4" t="s">
        <v>132</v>
      </c>
      <c r="F79" s="4" t="s">
        <v>133</v>
      </c>
      <c r="G79" s="5" t="str">
        <f>RIGHT(E79,12)</f>
        <v>ack_ panther</v>
      </c>
    </row>
    <row r="80">
      <c r="C80" s="12"/>
      <c r="D80" s="12"/>
      <c r="E80" s="12"/>
      <c r="F80" s="12"/>
      <c r="G80" s="12"/>
    </row>
    <row r="81">
      <c r="C81" s="3">
        <v>12.0</v>
      </c>
      <c r="D81" s="8" t="s">
        <v>134</v>
      </c>
      <c r="E81" s="4" t="s">
        <v>135</v>
      </c>
      <c r="F81" s="4" t="s">
        <v>136</v>
      </c>
      <c r="G81" s="5" t="str">
        <f t="shared" ref="G81:G85" si="7">LOWER(E81)</f>
        <v>structure</v>
      </c>
    </row>
    <row r="82">
      <c r="C82" s="5"/>
      <c r="D82" s="5"/>
      <c r="E82" s="4" t="s">
        <v>137</v>
      </c>
      <c r="F82" s="4" t="s">
        <v>138</v>
      </c>
      <c r="G82" s="13" t="str">
        <f t="shared" si="7"/>
        <v>basketball</v>
      </c>
    </row>
    <row r="83">
      <c r="C83" s="5"/>
      <c r="D83" s="5"/>
      <c r="E83" s="4" t="s">
        <v>139</v>
      </c>
      <c r="F83" s="4" t="s">
        <v>140</v>
      </c>
      <c r="G83" s="5" t="str">
        <f t="shared" si="7"/>
        <v>human</v>
      </c>
    </row>
    <row r="84">
      <c r="C84" s="5"/>
      <c r="D84" s="5"/>
      <c r="E84" s="4" t="s">
        <v>141</v>
      </c>
      <c r="F84" s="4" t="s">
        <v>142</v>
      </c>
      <c r="G84" s="5" t="str">
        <f t="shared" si="7"/>
        <v>lilly</v>
      </c>
    </row>
    <row r="85">
      <c r="C85" s="10"/>
      <c r="D85" s="10"/>
      <c r="E85" s="9" t="s">
        <v>143</v>
      </c>
      <c r="F85" s="9" t="s">
        <v>144</v>
      </c>
      <c r="G85" s="10" t="str">
        <f t="shared" si="7"/>
        <v>jujutu-kaisen</v>
      </c>
    </row>
    <row r="86">
      <c r="C86" s="14"/>
      <c r="D86" s="14"/>
      <c r="E86" s="14"/>
      <c r="F86" s="14"/>
      <c r="G86" s="14"/>
    </row>
    <row r="87">
      <c r="C87" s="14"/>
      <c r="D87" s="14"/>
      <c r="E87" s="14"/>
      <c r="F87" s="14"/>
      <c r="G87" s="14"/>
    </row>
    <row r="88">
      <c r="C88" s="14"/>
      <c r="D88" s="14"/>
      <c r="E88" s="14"/>
      <c r="F88" s="14"/>
      <c r="G88" s="14"/>
    </row>
    <row r="89">
      <c r="C89" s="14"/>
      <c r="D89" s="14"/>
      <c r="E89" s="14"/>
      <c r="F89" s="14"/>
      <c r="G89" s="14"/>
    </row>
    <row r="90">
      <c r="C90" s="14"/>
      <c r="D90" s="14"/>
      <c r="E90" s="14"/>
      <c r="F90" s="14"/>
      <c r="G90" s="14"/>
    </row>
    <row r="91">
      <c r="C91" s="14"/>
      <c r="D91" s="14"/>
      <c r="E91" s="14"/>
      <c r="F91" s="14"/>
      <c r="G91" s="14"/>
    </row>
    <row r="92">
      <c r="C92" s="14"/>
      <c r="D92" s="14"/>
      <c r="E92" s="14"/>
      <c r="F92" s="14"/>
      <c r="G92" s="14"/>
    </row>
    <row r="93">
      <c r="C93" s="14"/>
      <c r="D93" s="14"/>
      <c r="E93" s="14"/>
      <c r="F93" s="14"/>
      <c r="G93" s="14"/>
    </row>
    <row r="94">
      <c r="C94" s="14"/>
      <c r="D94" s="14"/>
      <c r="E94" s="14"/>
      <c r="F94" s="14"/>
      <c r="G94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38"/>
  </cols>
  <sheetData>
    <row r="3">
      <c r="C3" s="1" t="s">
        <v>145</v>
      </c>
      <c r="D3" s="1" t="s">
        <v>146</v>
      </c>
      <c r="F3" s="1" t="s">
        <v>147</v>
      </c>
      <c r="H3" s="1" t="s">
        <v>148</v>
      </c>
      <c r="J3" s="1" t="s">
        <v>149</v>
      </c>
    </row>
    <row r="5">
      <c r="C5" s="1">
        <v>1.0</v>
      </c>
      <c r="D5" s="1" t="s">
        <v>17</v>
      </c>
      <c r="F5" s="1" t="s">
        <v>150</v>
      </c>
      <c r="H5" s="1" t="s">
        <v>151</v>
      </c>
      <c r="J5" s="6" t="str">
        <f>CONCAT(F6,F5)</f>
        <v>GAINPAIN</v>
      </c>
    </row>
    <row r="6">
      <c r="F6" s="1" t="s">
        <v>152</v>
      </c>
    </row>
    <row r="7">
      <c r="C7" s="1">
        <v>2.0</v>
      </c>
      <c r="F7" s="1" t="s">
        <v>153</v>
      </c>
      <c r="H7" s="1" t="s">
        <v>154</v>
      </c>
      <c r="J7" s="6" t="str">
        <f>CONCAT(F8,F7)</f>
        <v>RAINBOW</v>
      </c>
    </row>
    <row r="8">
      <c r="F8" s="1" t="s">
        <v>155</v>
      </c>
    </row>
    <row r="9">
      <c r="C9" s="1">
        <v>3.0</v>
      </c>
      <c r="F9" s="1" t="s">
        <v>156</v>
      </c>
      <c r="H9" s="1" t="s">
        <v>157</v>
      </c>
      <c r="J9" s="6" t="str">
        <f>CONCAT(F9,F10)</f>
        <v>SUPERBIKE</v>
      </c>
    </row>
    <row r="10">
      <c r="F10" s="1" t="s">
        <v>158</v>
      </c>
    </row>
    <row r="11">
      <c r="C11" s="1">
        <v>4.0</v>
      </c>
      <c r="F11" s="1" t="s">
        <v>159</v>
      </c>
      <c r="H11" s="1" t="s">
        <v>160</v>
      </c>
      <c r="J11" s="6" t="str">
        <f>CONCAT(F12,F11)</f>
        <v>CELLPHONE</v>
      </c>
    </row>
    <row r="12">
      <c r="F12" s="1" t="s">
        <v>161</v>
      </c>
    </row>
    <row r="13">
      <c r="C13" s="1">
        <v>5.0</v>
      </c>
      <c r="F13" s="1" t="s">
        <v>156</v>
      </c>
      <c r="J13" s="6" t="str">
        <f>CONCAT(F13,F14)</f>
        <v>SUPERMAN</v>
      </c>
    </row>
    <row r="14">
      <c r="F14" s="1" t="s">
        <v>162</v>
      </c>
    </row>
    <row r="16">
      <c r="C16" s="1">
        <v>6.0</v>
      </c>
      <c r="D16" s="1" t="s">
        <v>44</v>
      </c>
      <c r="F16" s="1" t="s">
        <v>163</v>
      </c>
      <c r="H16" s="1" t="s">
        <v>164</v>
      </c>
      <c r="J16" s="6" t="b">
        <f>EXACT(F16,F17)</f>
        <v>0</v>
      </c>
    </row>
    <row r="17">
      <c r="F17" s="1" t="s">
        <v>165</v>
      </c>
    </row>
    <row r="18">
      <c r="C18" s="1">
        <v>7.0</v>
      </c>
      <c r="F18" s="1" t="s">
        <v>166</v>
      </c>
      <c r="H18" s="1" t="s">
        <v>167</v>
      </c>
      <c r="J18" s="6" t="b">
        <f>EXACT(F18,F19)</f>
        <v>1</v>
      </c>
    </row>
    <row r="19">
      <c r="F19" s="1" t="s">
        <v>166</v>
      </c>
    </row>
    <row r="20">
      <c r="C20" s="1">
        <v>8.0</v>
      </c>
      <c r="F20" s="1" t="s">
        <v>168</v>
      </c>
      <c r="H20" s="1" t="s">
        <v>169</v>
      </c>
      <c r="J20" s="6" t="b">
        <f>EXACT(F20,F21)</f>
        <v>0</v>
      </c>
    </row>
    <row r="21">
      <c r="F21" s="1" t="s">
        <v>170</v>
      </c>
    </row>
    <row r="22">
      <c r="C22" s="1">
        <v>9.0</v>
      </c>
      <c r="F22" s="1" t="s">
        <v>171</v>
      </c>
      <c r="H22" s="1" t="s">
        <v>172</v>
      </c>
      <c r="J22" s="6" t="b">
        <f>EXACT(F22,F23)</f>
        <v>1</v>
      </c>
    </row>
    <row r="23">
      <c r="F23" s="1" t="s">
        <v>171</v>
      </c>
    </row>
    <row r="24">
      <c r="C24" s="1">
        <v>10.0</v>
      </c>
      <c r="F24" s="1" t="s">
        <v>173</v>
      </c>
      <c r="H24" s="1" t="s">
        <v>174</v>
      </c>
      <c r="J24" s="6" t="b">
        <f>EXACT(F24,F25)</f>
        <v>0</v>
      </c>
    </row>
    <row r="25">
      <c r="F25" s="1" t="s">
        <v>175</v>
      </c>
    </row>
    <row r="27">
      <c r="C27" s="1">
        <v>11.0</v>
      </c>
      <c r="D27" s="1" t="s">
        <v>33</v>
      </c>
      <c r="F27" s="1" t="s">
        <v>176</v>
      </c>
      <c r="H27" s="1" t="s">
        <v>177</v>
      </c>
      <c r="J27" s="6">
        <f>FIND("A",F27)</f>
        <v>2</v>
      </c>
    </row>
    <row r="28">
      <c r="C28" s="1">
        <v>12.0</v>
      </c>
      <c r="F28" s="1" t="s">
        <v>178</v>
      </c>
      <c r="H28" s="1" t="s">
        <v>179</v>
      </c>
      <c r="J28" s="6">
        <f>FIND("R",F28,5)</f>
        <v>8</v>
      </c>
    </row>
    <row r="29">
      <c r="C29" s="1">
        <v>13.0</v>
      </c>
      <c r="F29" s="1" t="s">
        <v>180</v>
      </c>
      <c r="H29" s="1" t="s">
        <v>181</v>
      </c>
      <c r="J29" s="6">
        <f>FIND("S",F29)</f>
        <v>1</v>
      </c>
    </row>
    <row r="30">
      <c r="C30" s="1">
        <v>14.0</v>
      </c>
      <c r="F30" s="1" t="s">
        <v>182</v>
      </c>
      <c r="H30" s="1" t="s">
        <v>183</v>
      </c>
      <c r="J30" s="6">
        <f>FIND("R",F30,5)</f>
        <v>7</v>
      </c>
    </row>
    <row r="31">
      <c r="C31" s="1">
        <v>15.0</v>
      </c>
      <c r="F31" s="1" t="s">
        <v>184</v>
      </c>
      <c r="H31" s="1" t="s">
        <v>185</v>
      </c>
      <c r="J31" s="6">
        <f>FIND("A",F31)</f>
        <v>2</v>
      </c>
    </row>
    <row r="33">
      <c r="C33" s="1">
        <v>16.0</v>
      </c>
      <c r="D33" s="1" t="s">
        <v>57</v>
      </c>
      <c r="F33" s="1" t="s">
        <v>178</v>
      </c>
      <c r="H33" s="1" t="s">
        <v>186</v>
      </c>
      <c r="J33" s="6" t="str">
        <f>LEFT(F33,5)</f>
        <v>KAPIL</v>
      </c>
    </row>
    <row r="34">
      <c r="C34" s="1">
        <v>17.0</v>
      </c>
      <c r="F34" s="1" t="s">
        <v>187</v>
      </c>
      <c r="H34" s="1" t="s">
        <v>188</v>
      </c>
      <c r="J34" s="6" t="str">
        <f>LEFT(F34,2)</f>
        <v>SU</v>
      </c>
    </row>
    <row r="35">
      <c r="C35" s="1">
        <v>18.0</v>
      </c>
      <c r="F35" s="1" t="s">
        <v>189</v>
      </c>
      <c r="H35" s="1" t="s">
        <v>190</v>
      </c>
      <c r="J35" s="6" t="str">
        <f>LEFT(F35,3)</f>
        <v>ARC</v>
      </c>
    </row>
    <row r="36">
      <c r="C36" s="1">
        <v>19.0</v>
      </c>
      <c r="F36" s="1" t="s">
        <v>191</v>
      </c>
      <c r="H36" s="1" t="s">
        <v>192</v>
      </c>
      <c r="J36" s="6" t="str">
        <f>LEFT(F36,6)</f>
        <v>BLACKM</v>
      </c>
    </row>
    <row r="37">
      <c r="C37" s="1">
        <v>20.0</v>
      </c>
      <c r="F37" s="1" t="s">
        <v>193</v>
      </c>
      <c r="H37" s="1" t="s">
        <v>192</v>
      </c>
      <c r="J37" s="6" t="str">
        <f>LEFT(F36,6)</f>
        <v>BLACKM</v>
      </c>
    </row>
    <row r="39">
      <c r="C39" s="1">
        <v>21.0</v>
      </c>
      <c r="D39" s="1" t="s">
        <v>123</v>
      </c>
      <c r="F39" s="1" t="s">
        <v>194</v>
      </c>
      <c r="H39" s="1" t="s">
        <v>195</v>
      </c>
      <c r="J39" s="6" t="str">
        <f t="shared" ref="J39:J40" si="1">RIGHT(F39,5)</f>
        <v>D-MAN</v>
      </c>
    </row>
    <row r="40">
      <c r="C40" s="1">
        <v>22.0</v>
      </c>
      <c r="F40" s="1" t="s">
        <v>196</v>
      </c>
      <c r="H40" s="1" t="s">
        <v>197</v>
      </c>
      <c r="J40" s="6" t="str">
        <f t="shared" si="1"/>
        <v>N-MAN</v>
      </c>
    </row>
    <row r="41">
      <c r="C41" s="1">
        <v>23.0</v>
      </c>
      <c r="F41" s="1" t="s">
        <v>198</v>
      </c>
      <c r="H41" s="1" t="s">
        <v>199</v>
      </c>
      <c r="J41" s="6" t="str">
        <f>RIGHT(F41,3)</f>
        <v>MAN</v>
      </c>
    </row>
    <row r="42">
      <c r="C42" s="1">
        <v>24.0</v>
      </c>
      <c r="F42" s="1" t="s">
        <v>200</v>
      </c>
      <c r="H42" s="1" t="s">
        <v>201</v>
      </c>
      <c r="J42" s="6" t="str">
        <f>RIGHT(F42,6)</f>
        <v>PERMAN</v>
      </c>
    </row>
    <row r="43">
      <c r="C43" s="1">
        <v>25.0</v>
      </c>
      <c r="F43" s="1" t="s">
        <v>163</v>
      </c>
      <c r="H43" s="1" t="s">
        <v>202</v>
      </c>
      <c r="J43" s="6" t="str">
        <f>RIGHT(F43,3)</f>
        <v>PLE</v>
      </c>
    </row>
    <row r="45">
      <c r="C45" s="1">
        <v>26.0</v>
      </c>
      <c r="D45" s="1" t="s">
        <v>68</v>
      </c>
      <c r="F45" s="1" t="s">
        <v>178</v>
      </c>
      <c r="H45" s="1" t="s">
        <v>203</v>
      </c>
      <c r="J45" s="6">
        <f t="shared" ref="J45:J49" si="2">LEN(F45)</f>
        <v>9</v>
      </c>
    </row>
    <row r="46">
      <c r="C46" s="1">
        <v>27.0</v>
      </c>
      <c r="F46" s="1" t="s">
        <v>204</v>
      </c>
      <c r="H46" s="1" t="s">
        <v>205</v>
      </c>
      <c r="J46" s="6">
        <f t="shared" si="2"/>
        <v>3</v>
      </c>
    </row>
    <row r="47">
      <c r="C47" s="1">
        <v>28.0</v>
      </c>
      <c r="F47" s="1" t="s">
        <v>206</v>
      </c>
      <c r="H47" s="1" t="s">
        <v>207</v>
      </c>
      <c r="J47" s="6">
        <f t="shared" si="2"/>
        <v>3</v>
      </c>
    </row>
    <row r="48">
      <c r="C48" s="1">
        <v>29.0</v>
      </c>
      <c r="F48" s="1" t="s">
        <v>208</v>
      </c>
      <c r="H48" s="1" t="s">
        <v>209</v>
      </c>
      <c r="J48" s="6">
        <f t="shared" si="2"/>
        <v>5</v>
      </c>
    </row>
    <row r="49">
      <c r="C49" s="1">
        <v>30.0</v>
      </c>
      <c r="F49" s="1" t="s">
        <v>193</v>
      </c>
      <c r="H49" s="1" t="s">
        <v>210</v>
      </c>
      <c r="J49" s="6">
        <f t="shared" si="2"/>
        <v>6</v>
      </c>
    </row>
    <row r="51">
      <c r="C51" s="1">
        <v>31.0</v>
      </c>
      <c r="D51" s="1" t="s">
        <v>90</v>
      </c>
      <c r="F51" s="1" t="s">
        <v>193</v>
      </c>
      <c r="H51" s="1" t="s">
        <v>211</v>
      </c>
      <c r="J51" s="6" t="str">
        <f>MID(F51,2,2)</f>
        <v>UL</v>
      </c>
    </row>
    <row r="52">
      <c r="C52" s="1">
        <v>32.0</v>
      </c>
      <c r="F52" s="1" t="s">
        <v>178</v>
      </c>
      <c r="H52" s="1" t="s">
        <v>212</v>
      </c>
      <c r="J52" s="6" t="str">
        <f>MID(F52,5,3)</f>
        <v>L-A</v>
      </c>
    </row>
    <row r="53">
      <c r="C53" s="1">
        <v>32.0</v>
      </c>
      <c r="F53" s="1" t="s">
        <v>213</v>
      </c>
      <c r="H53" s="1" t="s">
        <v>214</v>
      </c>
      <c r="J53" s="6" t="str">
        <f>MID(F53,2,5)</f>
        <v>ASHMI</v>
      </c>
    </row>
    <row r="54">
      <c r="C54" s="1">
        <v>34.0</v>
      </c>
      <c r="F54" s="1" t="s">
        <v>215</v>
      </c>
      <c r="H54" s="1" t="s">
        <v>216</v>
      </c>
      <c r="J54" s="6" t="str">
        <f t="shared" ref="J54:J55" si="3">MID(F54,2,2)</f>
        <v>UN</v>
      </c>
    </row>
    <row r="55">
      <c r="C55" s="1">
        <v>35.0</v>
      </c>
      <c r="F55" s="1" t="s">
        <v>217</v>
      </c>
      <c r="H55" s="1" t="s">
        <v>218</v>
      </c>
      <c r="J55" s="6" t="str">
        <f t="shared" si="3"/>
        <v>OM</v>
      </c>
    </row>
    <row r="57">
      <c r="C57" s="1">
        <v>31.0</v>
      </c>
      <c r="D57" s="1" t="s">
        <v>134</v>
      </c>
      <c r="F57" s="1" t="s">
        <v>217</v>
      </c>
      <c r="H57" s="1" t="s">
        <v>219</v>
      </c>
      <c r="J57" s="6" t="str">
        <f t="shared" ref="J57:J61" si="4">UPPER(F57)</f>
        <v>BOMBAY</v>
      </c>
    </row>
    <row r="58">
      <c r="C58" s="1">
        <v>32.0</v>
      </c>
      <c r="F58" s="1" t="s">
        <v>220</v>
      </c>
      <c r="H58" s="1" t="s">
        <v>221</v>
      </c>
      <c r="J58" s="6" t="str">
        <f t="shared" si="4"/>
        <v>PUNE</v>
      </c>
    </row>
    <row r="59">
      <c r="C59" s="1">
        <v>33.0</v>
      </c>
      <c r="F59" s="1" t="s">
        <v>222</v>
      </c>
      <c r="H59" s="1" t="s">
        <v>223</v>
      </c>
      <c r="J59" s="6" t="str">
        <f t="shared" si="4"/>
        <v>SURESH</v>
      </c>
    </row>
    <row r="60">
      <c r="C60" s="1">
        <v>34.0</v>
      </c>
      <c r="F60" s="1" t="s">
        <v>224</v>
      </c>
      <c r="H60" s="1" t="s">
        <v>225</v>
      </c>
      <c r="J60" s="6" t="str">
        <f t="shared" si="4"/>
        <v>WASIM</v>
      </c>
    </row>
    <row r="61">
      <c r="C61" s="1">
        <v>35.0</v>
      </c>
      <c r="F61" s="1" t="s">
        <v>226</v>
      </c>
      <c r="H61" s="1" t="s">
        <v>227</v>
      </c>
      <c r="J61" s="6" t="str">
        <f t="shared" si="4"/>
        <v>GAO</v>
      </c>
    </row>
    <row r="63">
      <c r="C63" s="1">
        <v>36.0</v>
      </c>
      <c r="D63" s="1" t="s">
        <v>79</v>
      </c>
      <c r="F63" s="1" t="s">
        <v>176</v>
      </c>
      <c r="J63" s="6" t="str">
        <f t="shared" ref="J63:J65" si="5">LOWER(F63)</f>
        <v>kapil</v>
      </c>
    </row>
    <row r="64">
      <c r="C64" s="1">
        <v>37.0</v>
      </c>
      <c r="F64" s="1" t="s">
        <v>180</v>
      </c>
      <c r="J64" s="6" t="str">
        <f t="shared" si="5"/>
        <v>salim</v>
      </c>
    </row>
    <row r="65">
      <c r="C65" s="1">
        <v>38.0</v>
      </c>
      <c r="F65" s="1" t="s">
        <v>184</v>
      </c>
      <c r="J65" s="6" t="str">
        <f t="shared" si="5"/>
        <v>wasim</v>
      </c>
    </row>
    <row r="66">
      <c r="C66" s="1">
        <v>39.0</v>
      </c>
      <c r="F66" s="1" t="s">
        <v>228</v>
      </c>
    </row>
    <row r="67">
      <c r="C67" s="1">
        <v>40.0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5" t="s">
        <v>229</v>
      </c>
      <c r="C4" s="1" t="s">
        <v>146</v>
      </c>
      <c r="E4" s="1" t="s">
        <v>230</v>
      </c>
      <c r="G4" s="1" t="s">
        <v>231</v>
      </c>
      <c r="I4" s="1" t="s">
        <v>149</v>
      </c>
    </row>
  </sheetData>
  <hyperlinks>
    <hyperlink r:id="rId1" ref="B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2.25"/>
    <col customWidth="1" min="3" max="3" width="15.25"/>
    <col customWidth="1" min="4" max="4" width="36.5"/>
    <col customWidth="1" min="5" max="5" width="24.75"/>
    <col customWidth="1" min="7" max="7" width="20.0"/>
  </cols>
  <sheetData>
    <row r="1">
      <c r="A1" s="16" t="s">
        <v>232</v>
      </c>
      <c r="B1" s="17" t="s">
        <v>2</v>
      </c>
      <c r="C1" s="17" t="s">
        <v>233</v>
      </c>
      <c r="D1" s="17" t="s">
        <v>4</v>
      </c>
      <c r="E1" s="17" t="s">
        <v>5</v>
      </c>
      <c r="F1" s="18"/>
    </row>
    <row r="2">
      <c r="A2" s="19"/>
      <c r="B2" s="19"/>
      <c r="C2" s="19"/>
      <c r="D2" s="19"/>
      <c r="E2" s="19"/>
      <c r="F2" s="18"/>
      <c r="G2" s="1" t="s">
        <v>234</v>
      </c>
    </row>
    <row r="3">
      <c r="A3" s="20">
        <v>1.0</v>
      </c>
      <c r="B3" s="21" t="s">
        <v>235</v>
      </c>
      <c r="C3" s="22" t="s">
        <v>236</v>
      </c>
      <c r="D3" s="23" t="s">
        <v>237</v>
      </c>
      <c r="E3" s="24" t="str">
        <f> CONCAT(C3,C4)</f>
        <v>Tansvi-ARC</v>
      </c>
    </row>
    <row r="4">
      <c r="A4" s="25"/>
      <c r="B4" s="26"/>
      <c r="C4" s="27" t="s">
        <v>238</v>
      </c>
      <c r="D4" s="28"/>
      <c r="E4" s="29"/>
    </row>
    <row r="5">
      <c r="A5" s="25"/>
      <c r="B5" s="26"/>
      <c r="C5" s="27" t="s">
        <v>239</v>
      </c>
      <c r="D5" s="30" t="s">
        <v>240</v>
      </c>
      <c r="E5" s="31" t="str">
        <f>CONCAT(C5,C6)</f>
        <v>chartboard</v>
      </c>
    </row>
    <row r="6">
      <c r="A6" s="25"/>
      <c r="B6" s="26"/>
      <c r="C6" s="27" t="s">
        <v>241</v>
      </c>
      <c r="D6" s="28"/>
      <c r="E6" s="29"/>
    </row>
    <row r="7">
      <c r="A7" s="25"/>
      <c r="B7" s="26"/>
      <c r="C7" s="27" t="s">
        <v>242</v>
      </c>
      <c r="D7" s="30" t="s">
        <v>243</v>
      </c>
      <c r="E7" s="32" t="str">
        <f>CONCAT(C7,C8)</f>
        <v>recording_no</v>
      </c>
    </row>
    <row r="8">
      <c r="A8" s="25"/>
      <c r="B8" s="26"/>
      <c r="C8" s="27" t="s">
        <v>244</v>
      </c>
      <c r="D8" s="28"/>
      <c r="E8" s="29"/>
    </row>
    <row r="9">
      <c r="A9" s="25"/>
      <c r="B9" s="26"/>
      <c r="C9" s="27" t="s">
        <v>245</v>
      </c>
      <c r="D9" s="30" t="s">
        <v>246</v>
      </c>
      <c r="E9" s="32" t="str">
        <f>CONCAT(C9,C10)</f>
        <v>ARC_Institute</v>
      </c>
    </row>
    <row r="10">
      <c r="A10" s="25"/>
      <c r="B10" s="26"/>
      <c r="C10" s="27" t="s">
        <v>247</v>
      </c>
      <c r="D10" s="28"/>
      <c r="E10" s="29"/>
    </row>
    <row r="11">
      <c r="A11" s="25"/>
      <c r="B11" s="26"/>
      <c r="C11" s="27" t="s">
        <v>3</v>
      </c>
      <c r="D11" s="30" t="s">
        <v>248</v>
      </c>
      <c r="E11" s="33" t="str">
        <f>CONCAT(C11,C12)</f>
        <v>Dataclean</v>
      </c>
    </row>
    <row r="12">
      <c r="A12" s="19"/>
      <c r="B12" s="34"/>
      <c r="C12" s="35" t="s">
        <v>249</v>
      </c>
      <c r="D12" s="28"/>
      <c r="E12" s="29"/>
    </row>
    <row r="13">
      <c r="A13" s="20">
        <v>2.0</v>
      </c>
      <c r="B13" s="21" t="s">
        <v>250</v>
      </c>
      <c r="C13" s="36" t="s">
        <v>251</v>
      </c>
      <c r="D13" s="37" t="s">
        <v>252</v>
      </c>
      <c r="E13" s="38" t="str">
        <f t="shared" ref="E13:E17" si="1">CLEAN(C13)</f>
        <v>Room</v>
      </c>
    </row>
    <row r="14">
      <c r="A14" s="25"/>
      <c r="B14" s="26"/>
      <c r="C14" s="39" t="s">
        <v>253</v>
      </c>
      <c r="D14" s="40" t="s">
        <v>254</v>
      </c>
      <c r="E14" s="41" t="str">
        <f t="shared" si="1"/>
        <v>Friend</v>
      </c>
    </row>
    <row r="15">
      <c r="A15" s="25"/>
      <c r="B15" s="26"/>
      <c r="C15" s="39" t="s">
        <v>255</v>
      </c>
      <c r="D15" s="40" t="s">
        <v>256</v>
      </c>
      <c r="E15" s="41" t="str">
        <f t="shared" si="1"/>
        <v>School</v>
      </c>
    </row>
    <row r="16">
      <c r="A16" s="25"/>
      <c r="B16" s="26"/>
      <c r="C16" s="39" t="s">
        <v>257</v>
      </c>
      <c r="D16" s="40" t="s">
        <v>258</v>
      </c>
      <c r="E16" s="41" t="str">
        <f t="shared" si="1"/>
        <v>College</v>
      </c>
    </row>
    <row r="17">
      <c r="A17" s="25"/>
      <c r="B17" s="26"/>
      <c r="C17" s="39" t="s">
        <v>259</v>
      </c>
      <c r="D17" s="40" t="s">
        <v>260</v>
      </c>
      <c r="E17" s="41" t="str">
        <f t="shared" si="1"/>
        <v>Excel</v>
      </c>
    </row>
    <row r="18">
      <c r="A18" s="19"/>
      <c r="B18" s="34"/>
      <c r="C18" s="42"/>
      <c r="D18" s="43"/>
      <c r="E18" s="44"/>
    </row>
    <row r="19">
      <c r="A19" s="20">
        <v>3.0</v>
      </c>
      <c r="B19" s="21" t="s">
        <v>261</v>
      </c>
      <c r="C19" s="45" t="s">
        <v>262</v>
      </c>
      <c r="D19" s="46" t="s">
        <v>263</v>
      </c>
      <c r="E19" s="47" t="b">
        <f>EXACT(C19, "MyPass123")</f>
        <v>0</v>
      </c>
    </row>
    <row r="20">
      <c r="A20" s="25"/>
      <c r="B20" s="26"/>
      <c r="C20" s="27" t="s">
        <v>262</v>
      </c>
      <c r="D20" s="40" t="s">
        <v>264</v>
      </c>
      <c r="E20" s="48" t="b">
        <f>EXACT(C20, "tansvi-arc")</f>
        <v>0</v>
      </c>
    </row>
    <row r="21">
      <c r="A21" s="25"/>
      <c r="B21" s="26"/>
      <c r="C21" s="27" t="s">
        <v>265</v>
      </c>
      <c r="D21" s="40" t="s">
        <v>266</v>
      </c>
      <c r="E21" s="49" t="b">
        <f>EXACT(C21, "Tansvi ")</f>
        <v>0</v>
      </c>
    </row>
    <row r="22">
      <c r="A22" s="25"/>
      <c r="B22" s="26"/>
      <c r="C22" s="27" t="s">
        <v>267</v>
      </c>
      <c r="D22" s="40" t="s">
        <v>268</v>
      </c>
      <c r="E22" s="41" t="b">
        <f>EXACT(C22,"ARC-technology ")</f>
        <v>0</v>
      </c>
    </row>
    <row r="23">
      <c r="A23" s="25"/>
      <c r="B23" s="26"/>
      <c r="C23" s="27" t="s">
        <v>247</v>
      </c>
      <c r="D23" s="40" t="s">
        <v>269</v>
      </c>
      <c r="E23" s="41" t="b">
        <f>EXACT(C23,"Institute")</f>
        <v>1</v>
      </c>
    </row>
    <row r="24">
      <c r="A24" s="19"/>
      <c r="B24" s="34"/>
      <c r="C24" s="50"/>
      <c r="D24" s="51"/>
      <c r="E24" s="33"/>
    </row>
    <row r="25">
      <c r="A25" s="20">
        <v>4.0</v>
      </c>
      <c r="B25" s="21" t="s">
        <v>270</v>
      </c>
      <c r="C25" s="22" t="s">
        <v>262</v>
      </c>
      <c r="D25" s="37" t="s">
        <v>271</v>
      </c>
      <c r="E25" s="38">
        <f>FIND("A",C25)</f>
        <v>8</v>
      </c>
    </row>
    <row r="26">
      <c r="A26" s="25"/>
      <c r="B26" s="26"/>
      <c r="C26" s="27" t="s">
        <v>272</v>
      </c>
      <c r="D26" s="40" t="s">
        <v>273</v>
      </c>
      <c r="E26" s="41">
        <f>FIND("A",C26,3)</f>
        <v>4</v>
      </c>
    </row>
    <row r="27">
      <c r="A27" s="25"/>
      <c r="B27" s="26"/>
      <c r="C27" s="27" t="s">
        <v>274</v>
      </c>
      <c r="D27" s="40" t="s">
        <v>275</v>
      </c>
      <c r="E27" s="41">
        <f>FIND("N",C27)</f>
        <v>8</v>
      </c>
    </row>
    <row r="28">
      <c r="A28" s="25"/>
      <c r="B28" s="26"/>
      <c r="C28" s="27" t="s">
        <v>276</v>
      </c>
      <c r="D28" s="40" t="s">
        <v>277</v>
      </c>
      <c r="E28" s="41">
        <f>FIND("a",C28,5)</f>
        <v>7</v>
      </c>
    </row>
    <row r="29">
      <c r="A29" s="25"/>
      <c r="B29" s="26"/>
      <c r="C29" s="27" t="s">
        <v>276</v>
      </c>
      <c r="D29" s="40" t="s">
        <v>278</v>
      </c>
      <c r="E29" s="41">
        <f>FIND("a",C29,1)</f>
        <v>2</v>
      </c>
    </row>
    <row r="30">
      <c r="A30" s="19"/>
      <c r="B30" s="34"/>
      <c r="C30" s="42"/>
      <c r="D30" s="52"/>
      <c r="E30" s="44"/>
    </row>
    <row r="31">
      <c r="A31" s="20">
        <v>5.0</v>
      </c>
      <c r="B31" s="21" t="s">
        <v>279</v>
      </c>
      <c r="C31" s="22" t="s">
        <v>262</v>
      </c>
      <c r="D31" s="37" t="s">
        <v>280</v>
      </c>
      <c r="E31" s="38" t="str">
        <f>LEFT(C31,6)</f>
        <v>Tansvi</v>
      </c>
    </row>
    <row r="32">
      <c r="A32" s="25"/>
      <c r="B32" s="26"/>
      <c r="C32" s="27" t="s">
        <v>272</v>
      </c>
      <c r="D32" s="40" t="s">
        <v>281</v>
      </c>
      <c r="E32" s="41" t="str">
        <f>LEFT(C32,4)</f>
        <v>DATA</v>
      </c>
    </row>
    <row r="33">
      <c r="A33" s="25"/>
      <c r="B33" s="26"/>
      <c r="C33" s="27" t="s">
        <v>274</v>
      </c>
      <c r="D33" s="40" t="s">
        <v>282</v>
      </c>
      <c r="E33" s="41" t="str">
        <f>LEFT(C33,3)</f>
        <v>Tan</v>
      </c>
    </row>
    <row r="34">
      <c r="A34" s="25"/>
      <c r="B34" s="26"/>
      <c r="C34" s="27" t="s">
        <v>276</v>
      </c>
      <c r="D34" s="40" t="s">
        <v>283</v>
      </c>
      <c r="E34" s="41" t="str">
        <f>LEFT(C34,8)</f>
        <v>DataAnal</v>
      </c>
    </row>
    <row r="35">
      <c r="A35" s="25"/>
      <c r="B35" s="26"/>
      <c r="C35" s="27" t="s">
        <v>276</v>
      </c>
      <c r="D35" s="40" t="s">
        <v>284</v>
      </c>
      <c r="E35" s="41" t="str">
        <f>LEFT(C35,2)</f>
        <v>Da</v>
      </c>
    </row>
    <row r="36">
      <c r="A36" s="19"/>
      <c r="B36" s="34"/>
      <c r="C36" s="53"/>
      <c r="D36" s="52"/>
      <c r="E36" s="44"/>
    </row>
    <row r="37">
      <c r="A37" s="20">
        <v>6.0</v>
      </c>
      <c r="B37" s="21" t="s">
        <v>285</v>
      </c>
      <c r="C37" s="45" t="s">
        <v>262</v>
      </c>
      <c r="D37" s="46" t="s">
        <v>286</v>
      </c>
      <c r="E37" s="47" t="str">
        <f>RIGHT($C37,3)</f>
        <v>ARC</v>
      </c>
    </row>
    <row r="38">
      <c r="A38" s="25"/>
      <c r="B38" s="26"/>
      <c r="C38" s="27" t="s">
        <v>272</v>
      </c>
      <c r="D38" s="40" t="s">
        <v>287</v>
      </c>
      <c r="E38" s="41" t="str">
        <f>RIGHT($C38,7)</f>
        <v>science</v>
      </c>
    </row>
    <row r="39">
      <c r="A39" s="25"/>
      <c r="B39" s="26"/>
      <c r="C39" s="27" t="s">
        <v>274</v>
      </c>
      <c r="D39" s="40" t="s">
        <v>288</v>
      </c>
      <c r="E39" s="41" t="str">
        <f>RIGHT($C39,9)</f>
        <v>Nagalwade</v>
      </c>
    </row>
    <row r="40">
      <c r="A40" s="25"/>
      <c r="B40" s="26"/>
      <c r="C40" s="27" t="s">
        <v>276</v>
      </c>
      <c r="D40" s="40" t="s">
        <v>289</v>
      </c>
      <c r="E40" s="41" t="str">
        <f>RIGHT($C40,4)</f>
        <v>tics</v>
      </c>
    </row>
    <row r="41">
      <c r="A41" s="25"/>
      <c r="B41" s="26"/>
      <c r="C41" s="27" t="s">
        <v>276</v>
      </c>
      <c r="D41" s="40" t="s">
        <v>290</v>
      </c>
      <c r="E41" s="41" t="str">
        <f>RIGHT($C41,9)</f>
        <v>Analytics</v>
      </c>
    </row>
    <row r="42">
      <c r="A42" s="19"/>
      <c r="B42" s="34"/>
      <c r="C42" s="50"/>
      <c r="D42" s="51"/>
      <c r="E42" s="33"/>
    </row>
    <row r="43">
      <c r="A43" s="20">
        <v>7.0</v>
      </c>
      <c r="B43" s="21" t="s">
        <v>291</v>
      </c>
      <c r="C43" s="22" t="s">
        <v>262</v>
      </c>
      <c r="D43" s="37" t="s">
        <v>292</v>
      </c>
      <c r="E43" s="38">
        <f t="shared" ref="E43:E47" si="2">LEN($C43)</f>
        <v>10</v>
      </c>
    </row>
    <row r="44">
      <c r="A44" s="25"/>
      <c r="B44" s="26"/>
      <c r="C44" s="27" t="s">
        <v>293</v>
      </c>
      <c r="D44" s="40" t="s">
        <v>294</v>
      </c>
      <c r="E44" s="41">
        <f t="shared" si="2"/>
        <v>12</v>
      </c>
    </row>
    <row r="45">
      <c r="A45" s="25"/>
      <c r="B45" s="26"/>
      <c r="C45" s="27" t="s">
        <v>262</v>
      </c>
      <c r="D45" s="40" t="s">
        <v>295</v>
      </c>
      <c r="E45" s="41">
        <f t="shared" si="2"/>
        <v>10</v>
      </c>
    </row>
    <row r="46">
      <c r="A46" s="25"/>
      <c r="B46" s="26"/>
      <c r="C46" s="27" t="s">
        <v>296</v>
      </c>
      <c r="D46" s="40" t="s">
        <v>297</v>
      </c>
      <c r="E46" s="41">
        <f t="shared" si="2"/>
        <v>8</v>
      </c>
    </row>
    <row r="47">
      <c r="A47" s="25"/>
      <c r="B47" s="26"/>
      <c r="C47" s="27" t="s">
        <v>298</v>
      </c>
      <c r="D47" s="40" t="s">
        <v>299</v>
      </c>
      <c r="E47" s="41">
        <f t="shared" si="2"/>
        <v>5</v>
      </c>
    </row>
    <row r="48">
      <c r="A48" s="19"/>
      <c r="B48" s="34"/>
      <c r="C48" s="53"/>
      <c r="D48" s="52"/>
      <c r="E48" s="44"/>
    </row>
    <row r="49">
      <c r="A49" s="20">
        <v>8.0</v>
      </c>
      <c r="B49" s="21" t="s">
        <v>300</v>
      </c>
      <c r="C49" s="45" t="s">
        <v>262</v>
      </c>
      <c r="D49" s="46" t="s">
        <v>301</v>
      </c>
      <c r="E49" s="47" t="str">
        <f>MID($C49,1,6)</f>
        <v>Tansvi</v>
      </c>
    </row>
    <row r="50">
      <c r="A50" s="25"/>
      <c r="B50" s="26"/>
      <c r="C50" s="27" t="s">
        <v>302</v>
      </c>
      <c r="D50" s="40" t="s">
        <v>303</v>
      </c>
      <c r="E50" s="41" t="str">
        <f>MID($C50,3,1)</f>
        <v>-</v>
      </c>
    </row>
    <row r="51">
      <c r="A51" s="25"/>
      <c r="B51" s="26"/>
      <c r="C51" s="27" t="s">
        <v>304</v>
      </c>
      <c r="D51" s="40" t="s">
        <v>305</v>
      </c>
      <c r="E51" s="41" t="str">
        <f>MID($C51,1,3)</f>
        <v>Cap</v>
      </c>
    </row>
    <row r="52">
      <c r="A52" s="25"/>
      <c r="B52" s="26"/>
      <c r="C52" s="27" t="s">
        <v>306</v>
      </c>
      <c r="D52" s="40" t="s">
        <v>307</v>
      </c>
      <c r="E52" s="41" t="str">
        <f>MID($C52,6,7)</f>
        <v>grapher</v>
      </c>
    </row>
    <row r="53">
      <c r="A53" s="25"/>
      <c r="B53" s="26"/>
      <c r="C53" s="27" t="s">
        <v>308</v>
      </c>
      <c r="D53" s="40" t="s">
        <v>309</v>
      </c>
      <c r="E53" s="41" t="str">
        <f>MID($C53,1,6)</f>
        <v>direct</v>
      </c>
    </row>
    <row r="54">
      <c r="A54" s="19"/>
      <c r="B54" s="34"/>
      <c r="C54" s="50"/>
      <c r="D54" s="51"/>
      <c r="E54" s="33"/>
    </row>
    <row r="55">
      <c r="A55" s="20">
        <v>9.0</v>
      </c>
      <c r="B55" s="21" t="s">
        <v>310</v>
      </c>
      <c r="C55" s="22" t="s">
        <v>311</v>
      </c>
      <c r="D55" s="37" t="s">
        <v>312</v>
      </c>
      <c r="E55" s="38" t="str">
        <f t="shared" ref="E55:E60" si="3">LOWER($C55)</f>
        <v>tansvi-arc</v>
      </c>
    </row>
    <row r="56">
      <c r="A56" s="25"/>
      <c r="B56" s="26"/>
      <c r="C56" s="27" t="s">
        <v>313</v>
      </c>
      <c r="D56" s="40" t="s">
        <v>314</v>
      </c>
      <c r="E56" s="41" t="str">
        <f t="shared" si="3"/>
        <v>tanu</v>
      </c>
    </row>
    <row r="57">
      <c r="A57" s="25"/>
      <c r="B57" s="26"/>
      <c r="C57" s="27" t="s">
        <v>315</v>
      </c>
      <c r="D57" s="40" t="s">
        <v>316</v>
      </c>
      <c r="E57" s="41" t="str">
        <f t="shared" si="3"/>
        <v>tanvi2</v>
      </c>
    </row>
    <row r="58">
      <c r="A58" s="25"/>
      <c r="B58" s="26"/>
      <c r="C58" s="27" t="s">
        <v>317</v>
      </c>
      <c r="D58" s="40" t="s">
        <v>318</v>
      </c>
      <c r="E58" s="41" t="str">
        <f t="shared" si="3"/>
        <v>8979arc</v>
      </c>
    </row>
    <row r="59">
      <c r="A59" s="25"/>
      <c r="B59" s="26"/>
      <c r="C59" s="27" t="s">
        <v>319</v>
      </c>
      <c r="D59" s="40" t="s">
        <v>320</v>
      </c>
      <c r="E59" s="41" t="str">
        <f t="shared" si="3"/>
        <v>arcccccc</v>
      </c>
    </row>
    <row r="60">
      <c r="A60" s="19"/>
      <c r="B60" s="34"/>
      <c r="C60" s="53"/>
      <c r="D60" s="52"/>
      <c r="E60" s="54" t="str">
        <f t="shared" si="3"/>
        <v/>
      </c>
    </row>
    <row r="61">
      <c r="A61" s="20">
        <v>10.0</v>
      </c>
      <c r="B61" s="21" t="s">
        <v>321</v>
      </c>
      <c r="C61" s="45" t="s">
        <v>322</v>
      </c>
      <c r="D61" s="46" t="s">
        <v>323</v>
      </c>
      <c r="E61" s="47" t="str">
        <f t="shared" ref="E61:E66" si="4">UPPER($C61)</f>
        <v>TANSVI-ARC</v>
      </c>
    </row>
    <row r="62">
      <c r="A62" s="25"/>
      <c r="B62" s="26"/>
      <c r="C62" s="27" t="s">
        <v>324</v>
      </c>
      <c r="D62" s="40" t="s">
        <v>325</v>
      </c>
      <c r="E62" s="41" t="str">
        <f t="shared" si="4"/>
        <v>TANU</v>
      </c>
    </row>
    <row r="63">
      <c r="A63" s="25"/>
      <c r="B63" s="26"/>
      <c r="C63" s="27" t="s">
        <v>326</v>
      </c>
      <c r="D63" s="40" t="s">
        <v>327</v>
      </c>
      <c r="E63" s="41" t="str">
        <f t="shared" si="4"/>
        <v>TANVI2</v>
      </c>
    </row>
    <row r="64">
      <c r="A64" s="25"/>
      <c r="B64" s="26"/>
      <c r="C64" s="27" t="s">
        <v>328</v>
      </c>
      <c r="D64" s="40" t="s">
        <v>329</v>
      </c>
      <c r="E64" s="41" t="str">
        <f t="shared" si="4"/>
        <v>8979ARC</v>
      </c>
    </row>
    <row r="65">
      <c r="A65" s="25"/>
      <c r="B65" s="26"/>
      <c r="C65" s="27" t="s">
        <v>330</v>
      </c>
      <c r="D65" s="40" t="s">
        <v>331</v>
      </c>
      <c r="E65" s="41" t="str">
        <f t="shared" si="4"/>
        <v>ARCCCCC</v>
      </c>
    </row>
    <row r="66">
      <c r="A66" s="19"/>
      <c r="B66" s="34"/>
      <c r="C66" s="50"/>
      <c r="D66" s="51"/>
      <c r="E66" s="32" t="str">
        <f t="shared" si="4"/>
        <v/>
      </c>
    </row>
    <row r="67">
      <c r="A67" s="20">
        <v>11.0</v>
      </c>
      <c r="B67" s="21" t="s">
        <v>332</v>
      </c>
      <c r="C67" s="22" t="s">
        <v>333</v>
      </c>
      <c r="D67" s="37" t="s">
        <v>334</v>
      </c>
      <c r="E67" s="38" t="str">
        <f t="shared" ref="E67:E71" si="5">PROPER($C67)</f>
        <v>Tansvi-Arc</v>
      </c>
    </row>
    <row r="68">
      <c r="A68" s="25"/>
      <c r="B68" s="26"/>
      <c r="C68" s="27" t="s">
        <v>335</v>
      </c>
      <c r="D68" s="40" t="s">
        <v>336</v>
      </c>
      <c r="E68" s="41" t="str">
        <f t="shared" si="5"/>
        <v>Tanshree</v>
      </c>
    </row>
    <row r="69">
      <c r="A69" s="25"/>
      <c r="B69" s="26"/>
      <c r="C69" s="27" t="s">
        <v>337</v>
      </c>
      <c r="D69" s="40" t="s">
        <v>338</v>
      </c>
      <c r="E69" s="41" t="str">
        <f t="shared" si="5"/>
        <v>Tansvi Nagalwade</v>
      </c>
    </row>
    <row r="70">
      <c r="A70" s="25"/>
      <c r="B70" s="26"/>
      <c r="C70" s="27" t="s">
        <v>339</v>
      </c>
      <c r="D70" s="40" t="s">
        <v>340</v>
      </c>
      <c r="E70" s="41" t="str">
        <f t="shared" si="5"/>
        <v>Arc</v>
      </c>
    </row>
    <row r="71">
      <c r="A71" s="25"/>
      <c r="B71" s="26"/>
      <c r="C71" s="27" t="s">
        <v>341</v>
      </c>
      <c r="D71" s="40" t="s">
        <v>342</v>
      </c>
      <c r="E71" s="41" t="str">
        <f t="shared" si="5"/>
        <v>Tanvi</v>
      </c>
    </row>
    <row r="72">
      <c r="A72" s="19"/>
      <c r="B72" s="34"/>
      <c r="C72" s="53"/>
      <c r="D72" s="52"/>
      <c r="E72" s="44"/>
    </row>
    <row r="73">
      <c r="A73" s="20">
        <v>12.0</v>
      </c>
      <c r="B73" s="21" t="s">
        <v>343</v>
      </c>
      <c r="C73" s="45" t="s">
        <v>262</v>
      </c>
      <c r="D73" s="46" t="s">
        <v>344</v>
      </c>
      <c r="E73" s="47" t="str">
        <f>REPLACE($C73,4,1,"")</f>
        <v>Tanvi-ARC</v>
      </c>
    </row>
    <row r="74">
      <c r="A74" s="25"/>
      <c r="B74" s="26"/>
      <c r="C74" s="39" t="s">
        <v>251</v>
      </c>
      <c r="D74" s="40" t="s">
        <v>345</v>
      </c>
      <c r="E74" s="41" t="str">
        <f>REPLACE($C74,4,1,"mpartener")</f>
        <v>Roompartener</v>
      </c>
    </row>
    <row r="75">
      <c r="A75" s="25"/>
      <c r="B75" s="26"/>
      <c r="C75" s="39" t="s">
        <v>253</v>
      </c>
      <c r="D75" s="40" t="s">
        <v>346</v>
      </c>
      <c r="E75" s="41" t="str">
        <f>REPLACE($C75,3,3,"")</f>
        <v>Frd</v>
      </c>
    </row>
    <row r="76">
      <c r="A76" s="25"/>
      <c r="B76" s="26"/>
      <c r="C76" s="39" t="s">
        <v>255</v>
      </c>
      <c r="D76" s="40" t="s">
        <v>347</v>
      </c>
      <c r="E76" s="41" t="str">
        <f>REPLACE($C76,4,1,"***")</f>
        <v>Sch***ol</v>
      </c>
    </row>
    <row r="77">
      <c r="A77" s="25"/>
      <c r="B77" s="26"/>
      <c r="C77" s="39" t="s">
        <v>257</v>
      </c>
      <c r="D77" s="40" t="s">
        <v>348</v>
      </c>
      <c r="E77" s="41" t="str">
        <f>REPLACE($C77,4,4,"")</f>
        <v>Col</v>
      </c>
    </row>
    <row r="78">
      <c r="A78" s="19"/>
      <c r="B78" s="34"/>
      <c r="C78" s="55"/>
      <c r="D78" s="51"/>
      <c r="E78" s="33"/>
    </row>
    <row r="79">
      <c r="A79" s="20">
        <v>13.0</v>
      </c>
      <c r="B79" s="21" t="s">
        <v>349</v>
      </c>
      <c r="C79" s="36" t="s">
        <v>251</v>
      </c>
      <c r="D79" s="37" t="s">
        <v>350</v>
      </c>
      <c r="E79" s="38">
        <f>SEARCH("o",$C79,3)</f>
        <v>3</v>
      </c>
    </row>
    <row r="80">
      <c r="A80" s="25"/>
      <c r="B80" s="26"/>
      <c r="C80" s="39" t="s">
        <v>253</v>
      </c>
      <c r="D80" s="40" t="s">
        <v>351</v>
      </c>
      <c r="E80" s="41">
        <f>SEARCH("e",$C80)</f>
        <v>4</v>
      </c>
    </row>
    <row r="81">
      <c r="A81" s="25"/>
      <c r="B81" s="26"/>
      <c r="C81" s="39" t="s">
        <v>255</v>
      </c>
      <c r="D81" s="40" t="s">
        <v>352</v>
      </c>
      <c r="E81" s="41">
        <f>SEARCH("o",$C81,5)</f>
        <v>5</v>
      </c>
    </row>
    <row r="82">
      <c r="A82" s="25"/>
      <c r="B82" s="26"/>
      <c r="C82" s="39" t="s">
        <v>257</v>
      </c>
      <c r="D82" s="40" t="s">
        <v>353</v>
      </c>
      <c r="E82" s="41">
        <f>SEARCH("l",$C82,4)</f>
        <v>4</v>
      </c>
    </row>
    <row r="83">
      <c r="A83" s="25"/>
      <c r="B83" s="26"/>
      <c r="C83" s="39" t="s">
        <v>259</v>
      </c>
      <c r="D83" s="40" t="s">
        <v>354</v>
      </c>
      <c r="E83" s="41">
        <f>SEARCH("E",$C83)</f>
        <v>1</v>
      </c>
    </row>
    <row r="84">
      <c r="A84" s="19"/>
      <c r="B84" s="34"/>
      <c r="C84" s="53"/>
      <c r="D84" s="52"/>
      <c r="E84" s="44"/>
    </row>
    <row r="85">
      <c r="A85" s="20">
        <v>14.0</v>
      </c>
      <c r="B85" s="21" t="s">
        <v>355</v>
      </c>
      <c r="C85" s="45">
        <v>1.0</v>
      </c>
      <c r="D85" s="46" t="s">
        <v>356</v>
      </c>
      <c r="E85" s="47" t="str">
        <f>REPT($C85,1)</f>
        <v>1</v>
      </c>
    </row>
    <row r="86">
      <c r="A86" s="25"/>
      <c r="B86" s="26"/>
      <c r="C86" s="27">
        <v>2.0</v>
      </c>
      <c r="D86" s="40" t="s">
        <v>357</v>
      </c>
      <c r="E86" s="41" t="str">
        <f>REPT($C86,2)</f>
        <v>22</v>
      </c>
    </row>
    <row r="87">
      <c r="A87" s="25"/>
      <c r="B87" s="26"/>
      <c r="C87" s="27">
        <v>3.0</v>
      </c>
      <c r="D87" s="40" t="s">
        <v>358</v>
      </c>
      <c r="E87" s="41" t="str">
        <f>REPT($C87,3)</f>
        <v>333</v>
      </c>
    </row>
    <row r="88">
      <c r="A88" s="25"/>
      <c r="B88" s="26"/>
      <c r="C88" s="27">
        <v>4.0</v>
      </c>
      <c r="D88" s="40" t="s">
        <v>359</v>
      </c>
      <c r="E88" s="41" t="str">
        <f>REPT($C88,4)</f>
        <v>4444</v>
      </c>
    </row>
    <row r="89">
      <c r="A89" s="25"/>
      <c r="B89" s="26"/>
      <c r="C89" s="27">
        <v>5.0</v>
      </c>
      <c r="D89" s="40" t="s">
        <v>360</v>
      </c>
      <c r="E89" s="41" t="str">
        <f>REPT($C89,5)</f>
        <v>55555</v>
      </c>
    </row>
    <row r="90">
      <c r="A90" s="19"/>
      <c r="B90" s="34"/>
      <c r="C90" s="50"/>
      <c r="D90" s="51"/>
      <c r="E90" s="33"/>
    </row>
    <row r="91">
      <c r="A91" s="20">
        <v>15.0</v>
      </c>
      <c r="B91" s="21" t="s">
        <v>361</v>
      </c>
      <c r="C91" s="56">
        <v>46089.0</v>
      </c>
      <c r="D91" s="37" t="s">
        <v>362</v>
      </c>
      <c r="E91" s="38" t="str">
        <f>TEXT(C91,"ddd")</f>
        <v>Sun</v>
      </c>
    </row>
    <row r="92">
      <c r="A92" s="25"/>
      <c r="B92" s="26"/>
      <c r="C92" s="57">
        <v>50000.0</v>
      </c>
      <c r="D92" s="40" t="s">
        <v>363</v>
      </c>
      <c r="E92" s="41" t="str">
        <f>TEXT(C92, "₹#,##0.00")</f>
        <v>₹50,000.00</v>
      </c>
    </row>
    <row r="93">
      <c r="A93" s="25"/>
      <c r="B93" s="26"/>
      <c r="C93" s="57">
        <v>9.37379724E8</v>
      </c>
      <c r="D93" s="40" t="s">
        <v>364</v>
      </c>
      <c r="E93" s="41" t="str">
        <f>TEXT(C93, "000-000-0000")</f>
        <v>093-737-9724</v>
      </c>
    </row>
    <row r="94">
      <c r="A94" s="25"/>
      <c r="B94" s="26"/>
      <c r="C94" s="57">
        <v>6.0</v>
      </c>
      <c r="D94" s="40" t="s">
        <v>365</v>
      </c>
      <c r="E94" s="41" t="str">
        <f>TEXT(C94,"0000")</f>
        <v>0006</v>
      </c>
    </row>
    <row r="95">
      <c r="A95" s="25"/>
      <c r="B95" s="26"/>
      <c r="C95" s="58">
        <v>46089.0</v>
      </c>
      <c r="D95" s="40" t="s">
        <v>366</v>
      </c>
      <c r="E95" s="41" t="str">
        <f>TEXT(C95,"MMM")</f>
        <v>Mar</v>
      </c>
    </row>
    <row r="96">
      <c r="A96" s="19"/>
      <c r="B96" s="34"/>
      <c r="C96" s="53"/>
      <c r="D96" s="52"/>
      <c r="E96" s="44"/>
    </row>
    <row r="97">
      <c r="A97" s="20">
        <v>16.0</v>
      </c>
      <c r="B97" s="21" t="s">
        <v>367</v>
      </c>
      <c r="C97" s="45" t="s">
        <v>265</v>
      </c>
      <c r="D97" s="59"/>
      <c r="E97" s="47" t="str">
        <f>TEXTJOIN("-",TRUE,C97:C99)</f>
        <v>Tansvi-ARC</v>
      </c>
    </row>
    <row r="98">
      <c r="A98" s="25"/>
      <c r="B98" s="26"/>
      <c r="C98" s="60"/>
      <c r="D98" s="61"/>
      <c r="E98" s="41" t="str">
        <f>TEXTJOIN(":",TRUE,C97:C99)</f>
        <v>Tansvi:ARC</v>
      </c>
    </row>
    <row r="99">
      <c r="A99" s="25"/>
      <c r="B99" s="26"/>
      <c r="C99" s="27" t="s">
        <v>238</v>
      </c>
      <c r="D99" s="61"/>
      <c r="E99" s="41" t="str">
        <f>TEXTJOIN(" ",TRUE,C97:C102)</f>
        <v>Tansvi ARC 1 2</v>
      </c>
    </row>
    <row r="100">
      <c r="A100" s="25"/>
      <c r="B100" s="26"/>
      <c r="C100" s="60"/>
      <c r="D100" s="61"/>
      <c r="E100" s="41" t="str">
        <f>TEXTJOIN("/",TRUE,"NAGPUR","440032")</f>
        <v>NAGPUR/440032</v>
      </c>
    </row>
    <row r="101">
      <c r="A101" s="25"/>
      <c r="B101" s="26"/>
      <c r="C101" s="27">
        <v>1.0</v>
      </c>
      <c r="D101" s="61"/>
      <c r="E101" s="41" t="str">
        <f>TEXTJOIN(": ",TRUE,"Today's Date ",TEXT(TODAY(),"dd-mmm-yy"))</f>
        <v>Today's Date : 09-Mar-26</v>
      </c>
    </row>
    <row r="102">
      <c r="A102" s="25"/>
      <c r="B102" s="26"/>
      <c r="C102" s="27">
        <v>2.0</v>
      </c>
      <c r="D102" s="61"/>
      <c r="E102" s="41" t="str">
        <f>TEXTJOIN("_",FALSE,C97:C99)</f>
        <v>Tansvi__ARC</v>
      </c>
    </row>
    <row r="103">
      <c r="A103" s="19"/>
      <c r="B103" s="34"/>
      <c r="C103" s="50"/>
      <c r="D103" s="51"/>
      <c r="E103" s="33"/>
    </row>
    <row r="104">
      <c r="A104" s="20">
        <v>17.0</v>
      </c>
      <c r="B104" s="21" t="s">
        <v>368</v>
      </c>
      <c r="C104" s="22" t="s">
        <v>369</v>
      </c>
      <c r="D104" s="37" t="s">
        <v>370</v>
      </c>
      <c r="E104" s="38" t="str">
        <f t="shared" ref="E104:E109" si="6">TRIM($C104)</f>
        <v>Tansvi - ARC</v>
      </c>
    </row>
    <row r="105">
      <c r="A105" s="25"/>
      <c r="B105" s="26"/>
      <c r="C105" s="27" t="s">
        <v>371</v>
      </c>
      <c r="D105" s="61"/>
      <c r="E105" s="41" t="str">
        <f t="shared" si="6"/>
        <v>TANVI ..</v>
      </c>
    </row>
    <row r="106">
      <c r="A106" s="25"/>
      <c r="B106" s="26"/>
      <c r="C106" s="27" t="s">
        <v>372</v>
      </c>
      <c r="D106" s="61"/>
      <c r="E106" s="41" t="str">
        <f t="shared" si="6"/>
        <v>ARC /</v>
      </c>
    </row>
    <row r="107">
      <c r="A107" s="25"/>
      <c r="B107" s="26"/>
      <c r="C107" s="27" t="s">
        <v>373</v>
      </c>
      <c r="D107" s="61"/>
      <c r="E107" s="41" t="str">
        <f t="shared" si="6"/>
        <v>-A R C</v>
      </c>
    </row>
    <row r="108">
      <c r="A108" s="25"/>
      <c r="B108" s="26"/>
      <c r="C108" s="27" t="s">
        <v>374</v>
      </c>
      <c r="D108" s="61"/>
      <c r="E108" s="41" t="str">
        <f t="shared" si="6"/>
        <v>WCEM</v>
      </c>
    </row>
    <row r="109">
      <c r="A109" s="19"/>
      <c r="B109" s="34"/>
      <c r="C109" s="53"/>
      <c r="D109" s="52"/>
      <c r="E109" s="54" t="str">
        <f t="shared" si="6"/>
        <v/>
      </c>
    </row>
    <row r="110">
      <c r="A110" s="20">
        <v>18.0</v>
      </c>
      <c r="B110" s="21" t="s">
        <v>233</v>
      </c>
      <c r="C110" s="62">
        <v>1.0</v>
      </c>
      <c r="D110" s="59"/>
      <c r="E110" s="47">
        <f t="shared" ref="E110:E114" si="7">VALUE($C110)</f>
        <v>1</v>
      </c>
    </row>
    <row r="111">
      <c r="A111" s="25"/>
      <c r="B111" s="26"/>
      <c r="C111" s="63">
        <v>0.1</v>
      </c>
      <c r="D111" s="61"/>
      <c r="E111" s="41">
        <f t="shared" si="7"/>
        <v>0.1</v>
      </c>
    </row>
    <row r="112">
      <c r="A112" s="25"/>
      <c r="B112" s="26"/>
      <c r="C112" s="64">
        <v>0.5</v>
      </c>
      <c r="D112" s="61"/>
      <c r="E112" s="41">
        <f t="shared" si="7"/>
        <v>0.5</v>
      </c>
    </row>
    <row r="113">
      <c r="A113" s="25"/>
      <c r="B113" s="26"/>
      <c r="C113" s="57">
        <v>6.0</v>
      </c>
      <c r="D113" s="61"/>
      <c r="E113" s="41">
        <f t="shared" si="7"/>
        <v>6</v>
      </c>
    </row>
    <row r="114">
      <c r="A114" s="25"/>
      <c r="B114" s="26"/>
      <c r="C114" s="57">
        <v>123.0</v>
      </c>
      <c r="D114" s="61"/>
      <c r="E114" s="41">
        <f t="shared" si="7"/>
        <v>123</v>
      </c>
    </row>
    <row r="115">
      <c r="A115" s="19"/>
      <c r="B115" s="34"/>
      <c r="C115" s="50"/>
      <c r="D115" s="51"/>
      <c r="E115" s="33"/>
    </row>
    <row r="116">
      <c r="A116" s="20">
        <v>19.0</v>
      </c>
      <c r="B116" s="21" t="s">
        <v>375</v>
      </c>
      <c r="C116" s="22" t="s">
        <v>262</v>
      </c>
      <c r="D116" s="37" t="s">
        <v>376</v>
      </c>
      <c r="E116" s="38" t="str">
        <f>SUBSTITUTE(C116, "A", "a")</f>
        <v>Tansvi-aRC</v>
      </c>
    </row>
    <row r="117">
      <c r="A117" s="25"/>
      <c r="B117" s="26"/>
      <c r="C117" s="27" t="s">
        <v>272</v>
      </c>
      <c r="D117" s="40" t="s">
        <v>377</v>
      </c>
      <c r="E117" s="41" t="str">
        <f>SUBSTITUTE(C117,"svi","vi")</f>
        <v>DATAscience</v>
      </c>
    </row>
    <row r="118">
      <c r="A118" s="25"/>
      <c r="B118" s="26"/>
      <c r="C118" s="27" t="s">
        <v>274</v>
      </c>
      <c r="D118" s="40" t="s">
        <v>378</v>
      </c>
      <c r="E118" s="41" t="str">
        <f>SUBSTITUTE(C118,"s","")</f>
        <v>Tanvi_Nagalwade</v>
      </c>
    </row>
    <row r="119">
      <c r="A119" s="25"/>
      <c r="B119" s="26"/>
      <c r="C119" s="27" t="s">
        <v>276</v>
      </c>
      <c r="D119" s="61"/>
      <c r="E119" s="41" t="str">
        <f>SUBSTITUTE(C119,"a","f",1)</f>
        <v>DftaAnalytics</v>
      </c>
    </row>
    <row r="120">
      <c r="A120" s="19"/>
      <c r="B120" s="34"/>
      <c r="C120" s="42" t="s">
        <v>276</v>
      </c>
      <c r="D120" s="52"/>
      <c r="E120" s="54" t="str">
        <f>SUBSTITUTE(C120,"a","f",8)</f>
        <v>DataAnalytics</v>
      </c>
    </row>
    <row r="121">
      <c r="B121" s="14"/>
      <c r="D121" s="14"/>
      <c r="E121" s="14"/>
    </row>
    <row r="122">
      <c r="B122" s="14"/>
      <c r="D122" s="14"/>
      <c r="E122" s="14"/>
    </row>
    <row r="123">
      <c r="B123" s="14"/>
      <c r="D123" s="14"/>
      <c r="E123" s="14"/>
    </row>
    <row r="124">
      <c r="B124" s="14"/>
      <c r="D124" s="14"/>
      <c r="E124" s="14"/>
    </row>
    <row r="125">
      <c r="B125" s="14"/>
      <c r="D125" s="14"/>
      <c r="E125" s="14"/>
    </row>
    <row r="126">
      <c r="B126" s="14"/>
      <c r="D126" s="14"/>
      <c r="E126" s="14"/>
    </row>
    <row r="127">
      <c r="B127" s="14"/>
      <c r="D127" s="14"/>
      <c r="E127" s="14"/>
    </row>
    <row r="128">
      <c r="B128" s="14"/>
      <c r="D128" s="14"/>
      <c r="E128" s="14"/>
    </row>
    <row r="129">
      <c r="B129" s="14"/>
      <c r="D129" s="14"/>
      <c r="E129" s="14"/>
    </row>
    <row r="130">
      <c r="B130" s="14"/>
      <c r="D130" s="14"/>
      <c r="E130" s="14"/>
    </row>
    <row r="131">
      <c r="B131" s="14"/>
      <c r="D131" s="14"/>
      <c r="E131" s="14"/>
    </row>
    <row r="132">
      <c r="B132" s="14"/>
      <c r="D132" s="14"/>
      <c r="E132" s="14"/>
    </row>
    <row r="133">
      <c r="B133" s="14"/>
      <c r="D133" s="14"/>
      <c r="E133" s="14"/>
    </row>
    <row r="134">
      <c r="B134" s="14"/>
      <c r="D134" s="14"/>
      <c r="E134" s="14"/>
    </row>
    <row r="135">
      <c r="B135" s="14"/>
      <c r="D135" s="14"/>
      <c r="E135" s="14"/>
    </row>
    <row r="136">
      <c r="B136" s="14"/>
      <c r="D136" s="14"/>
      <c r="E136" s="14"/>
    </row>
    <row r="137">
      <c r="B137" s="14"/>
      <c r="D137" s="14"/>
      <c r="E137" s="14"/>
    </row>
    <row r="138">
      <c r="B138" s="14"/>
      <c r="D138" s="14"/>
      <c r="E138" s="14"/>
    </row>
    <row r="139">
      <c r="B139" s="14"/>
      <c r="D139" s="14"/>
      <c r="E139" s="14"/>
    </row>
    <row r="140">
      <c r="B140" s="14"/>
      <c r="D140" s="14"/>
      <c r="E140" s="14"/>
    </row>
    <row r="141">
      <c r="B141" s="14"/>
      <c r="D141" s="14"/>
      <c r="E141" s="14"/>
    </row>
    <row r="142">
      <c r="B142" s="14"/>
      <c r="D142" s="14"/>
      <c r="E142" s="14"/>
    </row>
    <row r="143">
      <c r="B143" s="14"/>
      <c r="D143" s="14"/>
      <c r="E143" s="14"/>
    </row>
    <row r="144">
      <c r="B144" s="14"/>
      <c r="D144" s="14"/>
      <c r="E144" s="14"/>
    </row>
    <row r="145">
      <c r="B145" s="14"/>
      <c r="D145" s="14"/>
      <c r="E145" s="14"/>
    </row>
    <row r="146">
      <c r="B146" s="14"/>
      <c r="D146" s="14"/>
      <c r="E146" s="14"/>
    </row>
    <row r="147">
      <c r="B147" s="14"/>
      <c r="D147" s="14"/>
      <c r="E147" s="14"/>
    </row>
    <row r="148">
      <c r="B148" s="14"/>
      <c r="D148" s="14"/>
      <c r="E148" s="14"/>
    </row>
    <row r="149">
      <c r="B149" s="14"/>
      <c r="D149" s="14"/>
      <c r="E149" s="14"/>
    </row>
    <row r="150">
      <c r="B150" s="14"/>
      <c r="D150" s="14"/>
      <c r="E150" s="14"/>
    </row>
    <row r="151">
      <c r="B151" s="14"/>
      <c r="D151" s="14"/>
      <c r="E151" s="14"/>
    </row>
    <row r="152">
      <c r="B152" s="14"/>
      <c r="D152" s="14"/>
      <c r="E152" s="14"/>
    </row>
    <row r="153">
      <c r="B153" s="14"/>
      <c r="D153" s="14"/>
      <c r="E153" s="14"/>
    </row>
    <row r="154">
      <c r="B154" s="14"/>
      <c r="D154" s="14"/>
      <c r="E154" s="14"/>
    </row>
    <row r="155">
      <c r="B155" s="14"/>
      <c r="D155" s="14"/>
      <c r="E155" s="14"/>
    </row>
    <row r="156">
      <c r="B156" s="14"/>
      <c r="D156" s="14"/>
      <c r="E156" s="14"/>
    </row>
    <row r="157">
      <c r="B157" s="14"/>
      <c r="D157" s="14"/>
      <c r="E157" s="14"/>
    </row>
    <row r="158">
      <c r="B158" s="14"/>
      <c r="D158" s="14"/>
      <c r="E158" s="14"/>
    </row>
    <row r="159">
      <c r="B159" s="14"/>
      <c r="D159" s="14"/>
      <c r="E159" s="14"/>
    </row>
    <row r="160">
      <c r="B160" s="14"/>
      <c r="D160" s="14"/>
      <c r="E160" s="14"/>
    </row>
    <row r="161">
      <c r="B161" s="14"/>
      <c r="D161" s="14"/>
      <c r="E161" s="14"/>
    </row>
    <row r="162">
      <c r="B162" s="14"/>
      <c r="D162" s="14"/>
      <c r="E162" s="14"/>
    </row>
    <row r="163">
      <c r="B163" s="14"/>
      <c r="D163" s="14"/>
      <c r="E163" s="14"/>
    </row>
    <row r="164">
      <c r="B164" s="14"/>
      <c r="D164" s="14"/>
      <c r="E164" s="14"/>
    </row>
    <row r="165">
      <c r="B165" s="14"/>
      <c r="D165" s="14"/>
      <c r="E165" s="14"/>
    </row>
    <row r="166">
      <c r="B166" s="14"/>
      <c r="D166" s="14"/>
      <c r="E166" s="14"/>
    </row>
    <row r="167">
      <c r="B167" s="14"/>
      <c r="D167" s="14"/>
      <c r="E167" s="14"/>
    </row>
    <row r="168">
      <c r="B168" s="14"/>
      <c r="D168" s="14"/>
      <c r="E168" s="14"/>
    </row>
    <row r="169">
      <c r="B169" s="14"/>
      <c r="D169" s="14"/>
      <c r="E169" s="14"/>
    </row>
    <row r="170">
      <c r="B170" s="14"/>
      <c r="D170" s="14"/>
      <c r="E170" s="14"/>
    </row>
    <row r="171">
      <c r="B171" s="14"/>
      <c r="D171" s="14"/>
      <c r="E171" s="14"/>
    </row>
    <row r="172">
      <c r="B172" s="14"/>
      <c r="D172" s="14"/>
      <c r="E172" s="14"/>
    </row>
    <row r="173">
      <c r="B173" s="14"/>
      <c r="D173" s="14"/>
      <c r="E173" s="14"/>
    </row>
    <row r="174">
      <c r="B174" s="14"/>
      <c r="D174" s="14"/>
      <c r="E174" s="14"/>
    </row>
    <row r="175">
      <c r="B175" s="14"/>
      <c r="D175" s="14"/>
      <c r="E175" s="14"/>
    </row>
    <row r="176">
      <c r="B176" s="14"/>
      <c r="D176" s="14"/>
      <c r="E176" s="14"/>
    </row>
    <row r="177">
      <c r="B177" s="14"/>
      <c r="D177" s="14"/>
      <c r="E177" s="14"/>
    </row>
    <row r="178">
      <c r="B178" s="14"/>
      <c r="D178" s="14"/>
      <c r="E178" s="14"/>
    </row>
    <row r="179">
      <c r="B179" s="14"/>
      <c r="D179" s="14"/>
      <c r="E179" s="14"/>
    </row>
    <row r="180">
      <c r="B180" s="14"/>
      <c r="D180" s="14"/>
      <c r="E180" s="14"/>
    </row>
    <row r="181">
      <c r="B181" s="14"/>
      <c r="D181" s="14"/>
      <c r="E181" s="14"/>
    </row>
    <row r="182">
      <c r="B182" s="14"/>
      <c r="D182" s="14"/>
      <c r="E182" s="14"/>
    </row>
    <row r="183">
      <c r="B183" s="14"/>
      <c r="D183" s="14"/>
      <c r="E183" s="14"/>
    </row>
    <row r="184">
      <c r="B184" s="14"/>
      <c r="D184" s="14"/>
      <c r="E184" s="14"/>
    </row>
    <row r="185">
      <c r="B185" s="14"/>
      <c r="D185" s="14"/>
      <c r="E185" s="14"/>
    </row>
    <row r="186">
      <c r="B186" s="14"/>
      <c r="D186" s="14"/>
      <c r="E186" s="14"/>
    </row>
    <row r="187">
      <c r="B187" s="14"/>
      <c r="D187" s="14"/>
      <c r="E187" s="14"/>
    </row>
    <row r="188">
      <c r="B188" s="14"/>
      <c r="D188" s="14"/>
      <c r="E188" s="14"/>
    </row>
    <row r="189">
      <c r="B189" s="14"/>
      <c r="D189" s="14"/>
      <c r="E189" s="14"/>
    </row>
    <row r="190">
      <c r="B190" s="14"/>
      <c r="D190" s="14"/>
      <c r="E190" s="14"/>
    </row>
    <row r="191">
      <c r="B191" s="14"/>
      <c r="D191" s="14"/>
      <c r="E191" s="14"/>
    </row>
    <row r="192">
      <c r="B192" s="14"/>
      <c r="D192" s="14"/>
      <c r="E192" s="14"/>
    </row>
    <row r="193">
      <c r="B193" s="14"/>
      <c r="D193" s="14"/>
      <c r="E193" s="14"/>
    </row>
    <row r="194">
      <c r="B194" s="14"/>
      <c r="D194" s="14"/>
      <c r="E194" s="14"/>
    </row>
    <row r="195">
      <c r="B195" s="14"/>
      <c r="D195" s="14"/>
      <c r="E195" s="14"/>
    </row>
    <row r="196">
      <c r="B196" s="14"/>
      <c r="D196" s="14"/>
      <c r="E196" s="14"/>
    </row>
    <row r="197">
      <c r="B197" s="14"/>
      <c r="D197" s="14"/>
      <c r="E197" s="14"/>
    </row>
    <row r="198">
      <c r="B198" s="14"/>
      <c r="D198" s="14"/>
      <c r="E198" s="14"/>
    </row>
    <row r="199">
      <c r="B199" s="14"/>
      <c r="D199" s="14"/>
      <c r="E199" s="14"/>
    </row>
    <row r="200">
      <c r="B200" s="14"/>
      <c r="D200" s="14"/>
      <c r="E200" s="14"/>
    </row>
    <row r="201">
      <c r="B201" s="14"/>
      <c r="D201" s="14"/>
      <c r="E201" s="14"/>
    </row>
    <row r="202">
      <c r="B202" s="14"/>
      <c r="D202" s="14"/>
      <c r="E202" s="14"/>
    </row>
    <row r="203">
      <c r="B203" s="14"/>
      <c r="D203" s="14"/>
      <c r="E203" s="14"/>
    </row>
    <row r="204">
      <c r="B204" s="14"/>
      <c r="D204" s="14"/>
      <c r="E204" s="14"/>
    </row>
    <row r="205">
      <c r="B205" s="14"/>
      <c r="D205" s="14"/>
      <c r="E205" s="14"/>
    </row>
    <row r="206">
      <c r="B206" s="14"/>
      <c r="D206" s="14"/>
      <c r="E206" s="14"/>
    </row>
    <row r="207">
      <c r="B207" s="14"/>
      <c r="D207" s="14"/>
      <c r="E207" s="14"/>
    </row>
    <row r="208">
      <c r="B208" s="14"/>
      <c r="D208" s="14"/>
      <c r="E208" s="14"/>
    </row>
    <row r="209">
      <c r="B209" s="14"/>
      <c r="D209" s="14"/>
      <c r="E209" s="14"/>
    </row>
    <row r="210">
      <c r="B210" s="14"/>
      <c r="D210" s="14"/>
      <c r="E210" s="14"/>
    </row>
    <row r="211">
      <c r="B211" s="14"/>
      <c r="D211" s="14"/>
      <c r="E211" s="14"/>
    </row>
    <row r="212">
      <c r="B212" s="14"/>
      <c r="D212" s="14"/>
      <c r="E212" s="14"/>
    </row>
    <row r="213">
      <c r="B213" s="14"/>
      <c r="D213" s="14"/>
      <c r="E213" s="14"/>
    </row>
    <row r="214">
      <c r="B214" s="14"/>
      <c r="D214" s="14"/>
      <c r="E214" s="14"/>
    </row>
    <row r="215">
      <c r="B215" s="14"/>
      <c r="D215" s="14"/>
      <c r="E215" s="14"/>
    </row>
    <row r="216">
      <c r="B216" s="14"/>
      <c r="D216" s="14"/>
      <c r="E216" s="14"/>
    </row>
    <row r="217">
      <c r="B217" s="14"/>
      <c r="D217" s="14"/>
      <c r="E217" s="14"/>
    </row>
    <row r="218">
      <c r="B218" s="14"/>
      <c r="D218" s="14"/>
      <c r="E218" s="14"/>
    </row>
    <row r="219">
      <c r="B219" s="14"/>
      <c r="D219" s="14"/>
      <c r="E219" s="14"/>
    </row>
    <row r="220">
      <c r="B220" s="14"/>
      <c r="D220" s="14"/>
      <c r="E220" s="14"/>
    </row>
    <row r="221">
      <c r="B221" s="14"/>
      <c r="D221" s="14"/>
      <c r="E221" s="14"/>
    </row>
    <row r="222">
      <c r="B222" s="14"/>
      <c r="D222" s="14"/>
      <c r="E222" s="14"/>
    </row>
    <row r="223">
      <c r="B223" s="14"/>
      <c r="D223" s="14"/>
      <c r="E223" s="14"/>
    </row>
    <row r="224">
      <c r="B224" s="14"/>
      <c r="D224" s="14"/>
      <c r="E224" s="14"/>
    </row>
    <row r="225">
      <c r="B225" s="14"/>
      <c r="D225" s="14"/>
      <c r="E225" s="14"/>
    </row>
    <row r="226">
      <c r="B226" s="14"/>
      <c r="D226" s="14"/>
      <c r="E226" s="14"/>
    </row>
    <row r="227">
      <c r="B227" s="14"/>
      <c r="D227" s="14"/>
      <c r="E227" s="14"/>
    </row>
    <row r="228">
      <c r="B228" s="14"/>
      <c r="D228" s="14"/>
      <c r="E228" s="14"/>
    </row>
    <row r="229">
      <c r="B229" s="14"/>
      <c r="D229" s="14"/>
      <c r="E229" s="14"/>
    </row>
    <row r="230">
      <c r="B230" s="14"/>
      <c r="D230" s="14"/>
      <c r="E230" s="14"/>
    </row>
    <row r="231">
      <c r="B231" s="14"/>
      <c r="D231" s="14"/>
      <c r="E231" s="14"/>
    </row>
    <row r="232">
      <c r="B232" s="14"/>
      <c r="D232" s="14"/>
      <c r="E232" s="14"/>
    </row>
    <row r="233">
      <c r="B233" s="14"/>
      <c r="D233" s="14"/>
      <c r="E233" s="14"/>
    </row>
    <row r="234">
      <c r="B234" s="14"/>
      <c r="D234" s="14"/>
      <c r="E234" s="14"/>
    </row>
    <row r="235">
      <c r="B235" s="14"/>
      <c r="D235" s="14"/>
      <c r="E235" s="14"/>
    </row>
    <row r="236">
      <c r="B236" s="14"/>
      <c r="D236" s="14"/>
      <c r="E236" s="14"/>
    </row>
    <row r="237">
      <c r="B237" s="14"/>
      <c r="D237" s="14"/>
      <c r="E237" s="14"/>
    </row>
    <row r="238">
      <c r="B238" s="14"/>
      <c r="D238" s="14"/>
      <c r="E238" s="14"/>
    </row>
    <row r="239">
      <c r="B239" s="14"/>
      <c r="D239" s="14"/>
      <c r="E239" s="14"/>
    </row>
    <row r="240">
      <c r="B240" s="14"/>
      <c r="D240" s="14"/>
      <c r="E240" s="14"/>
    </row>
    <row r="241">
      <c r="B241" s="14"/>
      <c r="D241" s="14"/>
      <c r="E241" s="14"/>
    </row>
    <row r="242">
      <c r="B242" s="14"/>
      <c r="D242" s="14"/>
      <c r="E242" s="14"/>
    </row>
    <row r="243">
      <c r="B243" s="14"/>
      <c r="D243" s="14"/>
      <c r="E243" s="14"/>
    </row>
    <row r="244">
      <c r="B244" s="14"/>
      <c r="D244" s="14"/>
      <c r="E244" s="14"/>
    </row>
    <row r="245">
      <c r="B245" s="14"/>
      <c r="D245" s="14"/>
      <c r="E245" s="14"/>
    </row>
    <row r="246">
      <c r="B246" s="14"/>
      <c r="D246" s="14"/>
      <c r="E246" s="14"/>
    </row>
    <row r="247">
      <c r="B247" s="14"/>
      <c r="D247" s="14"/>
      <c r="E247" s="14"/>
    </row>
    <row r="248">
      <c r="B248" s="14"/>
      <c r="D248" s="14"/>
      <c r="E248" s="14"/>
    </row>
    <row r="249">
      <c r="B249" s="14"/>
      <c r="D249" s="14"/>
      <c r="E249" s="14"/>
    </row>
    <row r="250">
      <c r="B250" s="14"/>
      <c r="D250" s="14"/>
      <c r="E250" s="14"/>
    </row>
    <row r="251">
      <c r="B251" s="14"/>
      <c r="D251" s="14"/>
      <c r="E251" s="14"/>
    </row>
    <row r="252">
      <c r="B252" s="14"/>
      <c r="D252" s="14"/>
      <c r="E252" s="14"/>
    </row>
    <row r="253">
      <c r="B253" s="14"/>
      <c r="D253" s="14"/>
      <c r="E253" s="14"/>
    </row>
    <row r="254">
      <c r="B254" s="14"/>
      <c r="D254" s="14"/>
      <c r="E254" s="14"/>
    </row>
    <row r="255">
      <c r="B255" s="14"/>
      <c r="D255" s="14"/>
      <c r="E255" s="14"/>
    </row>
    <row r="256">
      <c r="B256" s="14"/>
      <c r="D256" s="14"/>
      <c r="E256" s="14"/>
    </row>
    <row r="257">
      <c r="B257" s="14"/>
      <c r="D257" s="14"/>
      <c r="E257" s="14"/>
    </row>
    <row r="258">
      <c r="B258" s="14"/>
      <c r="D258" s="14"/>
      <c r="E258" s="14"/>
    </row>
    <row r="259">
      <c r="B259" s="14"/>
      <c r="D259" s="14"/>
      <c r="E259" s="14"/>
    </row>
    <row r="260">
      <c r="B260" s="14"/>
      <c r="D260" s="14"/>
      <c r="E260" s="14"/>
    </row>
    <row r="261">
      <c r="B261" s="14"/>
      <c r="D261" s="14"/>
      <c r="E261" s="14"/>
    </row>
    <row r="262">
      <c r="B262" s="14"/>
      <c r="D262" s="14"/>
      <c r="E262" s="14"/>
    </row>
    <row r="263">
      <c r="B263" s="14"/>
      <c r="D263" s="14"/>
      <c r="E263" s="14"/>
    </row>
    <row r="264">
      <c r="B264" s="14"/>
      <c r="D264" s="14"/>
      <c r="E264" s="14"/>
    </row>
    <row r="265">
      <c r="B265" s="14"/>
      <c r="D265" s="14"/>
      <c r="E265" s="14"/>
    </row>
    <row r="266">
      <c r="B266" s="14"/>
      <c r="D266" s="14"/>
      <c r="E266" s="14"/>
    </row>
    <row r="267">
      <c r="B267" s="14"/>
      <c r="D267" s="14"/>
      <c r="E267" s="14"/>
    </row>
    <row r="268">
      <c r="B268" s="14"/>
      <c r="D268" s="14"/>
      <c r="E268" s="14"/>
    </row>
    <row r="269">
      <c r="B269" s="14"/>
      <c r="D269" s="14"/>
      <c r="E269" s="14"/>
    </row>
    <row r="270">
      <c r="B270" s="14"/>
      <c r="D270" s="14"/>
      <c r="E270" s="14"/>
    </row>
    <row r="271">
      <c r="B271" s="14"/>
      <c r="D271" s="14"/>
      <c r="E271" s="14"/>
    </row>
    <row r="272">
      <c r="B272" s="14"/>
      <c r="D272" s="14"/>
      <c r="E272" s="14"/>
    </row>
    <row r="273">
      <c r="B273" s="14"/>
      <c r="D273" s="14"/>
      <c r="E273" s="14"/>
    </row>
    <row r="274">
      <c r="B274" s="14"/>
      <c r="D274" s="14"/>
      <c r="E274" s="14"/>
    </row>
    <row r="275">
      <c r="B275" s="14"/>
      <c r="D275" s="14"/>
      <c r="E275" s="14"/>
    </row>
    <row r="276">
      <c r="B276" s="14"/>
      <c r="D276" s="14"/>
      <c r="E276" s="14"/>
    </row>
    <row r="277">
      <c r="B277" s="14"/>
      <c r="D277" s="14"/>
      <c r="E277" s="14"/>
    </row>
    <row r="278">
      <c r="B278" s="14"/>
      <c r="D278" s="14"/>
      <c r="E278" s="14"/>
    </row>
    <row r="279">
      <c r="B279" s="14"/>
      <c r="D279" s="14"/>
      <c r="E279" s="14"/>
    </row>
    <row r="280">
      <c r="B280" s="14"/>
      <c r="D280" s="14"/>
      <c r="E280" s="14"/>
    </row>
    <row r="281">
      <c r="B281" s="14"/>
      <c r="D281" s="14"/>
      <c r="E281" s="14"/>
    </row>
    <row r="282">
      <c r="B282" s="14"/>
      <c r="D282" s="14"/>
      <c r="E282" s="14"/>
    </row>
    <row r="283">
      <c r="B283" s="14"/>
      <c r="D283" s="14"/>
      <c r="E283" s="14"/>
    </row>
    <row r="284">
      <c r="B284" s="14"/>
      <c r="D284" s="14"/>
      <c r="E284" s="14"/>
    </row>
    <row r="285">
      <c r="B285" s="14"/>
      <c r="D285" s="14"/>
      <c r="E285" s="14"/>
    </row>
    <row r="286">
      <c r="B286" s="14"/>
      <c r="D286" s="14"/>
      <c r="E286" s="14"/>
    </row>
    <row r="287">
      <c r="B287" s="14"/>
      <c r="D287" s="14"/>
      <c r="E287" s="14"/>
    </row>
    <row r="288">
      <c r="B288" s="14"/>
      <c r="D288" s="14"/>
      <c r="E288" s="14"/>
    </row>
    <row r="289">
      <c r="B289" s="14"/>
      <c r="D289" s="14"/>
      <c r="E289" s="14"/>
    </row>
    <row r="290">
      <c r="B290" s="14"/>
      <c r="D290" s="14"/>
      <c r="E290" s="14"/>
    </row>
    <row r="291">
      <c r="B291" s="14"/>
      <c r="D291" s="14"/>
      <c r="E291" s="14"/>
    </row>
    <row r="292">
      <c r="B292" s="14"/>
      <c r="D292" s="14"/>
      <c r="E292" s="14"/>
    </row>
    <row r="293">
      <c r="B293" s="14"/>
      <c r="D293" s="14"/>
      <c r="E293" s="14"/>
    </row>
    <row r="294">
      <c r="B294" s="14"/>
      <c r="D294" s="14"/>
      <c r="E294" s="14"/>
    </row>
    <row r="295">
      <c r="B295" s="14"/>
      <c r="D295" s="14"/>
      <c r="E295" s="14"/>
    </row>
    <row r="296">
      <c r="B296" s="14"/>
      <c r="D296" s="14"/>
      <c r="E296" s="14"/>
    </row>
    <row r="297">
      <c r="B297" s="14"/>
      <c r="D297" s="14"/>
      <c r="E297" s="14"/>
    </row>
    <row r="298">
      <c r="B298" s="14"/>
      <c r="D298" s="14"/>
      <c r="E298" s="14"/>
    </row>
    <row r="299">
      <c r="B299" s="14"/>
      <c r="D299" s="14"/>
      <c r="E299" s="14"/>
    </row>
    <row r="300">
      <c r="B300" s="14"/>
      <c r="D300" s="14"/>
      <c r="E300" s="14"/>
    </row>
    <row r="301">
      <c r="B301" s="14"/>
      <c r="D301" s="14"/>
      <c r="E301" s="14"/>
    </row>
    <row r="302">
      <c r="B302" s="14"/>
      <c r="D302" s="14"/>
      <c r="E302" s="14"/>
    </row>
    <row r="303">
      <c r="B303" s="14"/>
      <c r="D303" s="14"/>
      <c r="E303" s="14"/>
    </row>
    <row r="304">
      <c r="B304" s="14"/>
      <c r="D304" s="14"/>
      <c r="E304" s="14"/>
    </row>
    <row r="305">
      <c r="B305" s="14"/>
      <c r="D305" s="14"/>
      <c r="E305" s="14"/>
    </row>
    <row r="306">
      <c r="B306" s="14"/>
      <c r="D306" s="14"/>
      <c r="E306" s="14"/>
    </row>
    <row r="307">
      <c r="B307" s="14"/>
      <c r="D307" s="14"/>
      <c r="E307" s="14"/>
    </row>
    <row r="308">
      <c r="B308" s="14"/>
      <c r="D308" s="14"/>
      <c r="E308" s="14"/>
    </row>
    <row r="309">
      <c r="B309" s="14"/>
      <c r="D309" s="14"/>
      <c r="E309" s="14"/>
    </row>
    <row r="310">
      <c r="B310" s="14"/>
      <c r="D310" s="14"/>
      <c r="E310" s="14"/>
    </row>
    <row r="311">
      <c r="B311" s="14"/>
      <c r="D311" s="14"/>
      <c r="E311" s="14"/>
    </row>
    <row r="312">
      <c r="B312" s="14"/>
      <c r="D312" s="14"/>
      <c r="E312" s="14"/>
    </row>
    <row r="313">
      <c r="B313" s="14"/>
      <c r="D313" s="14"/>
      <c r="E313" s="14"/>
    </row>
    <row r="314">
      <c r="B314" s="14"/>
      <c r="D314" s="14"/>
      <c r="E314" s="14"/>
    </row>
    <row r="315">
      <c r="B315" s="14"/>
      <c r="D315" s="14"/>
      <c r="E315" s="14"/>
    </row>
    <row r="316">
      <c r="B316" s="14"/>
      <c r="D316" s="14"/>
      <c r="E316" s="14"/>
    </row>
    <row r="317">
      <c r="B317" s="14"/>
      <c r="D317" s="14"/>
      <c r="E317" s="14"/>
    </row>
    <row r="318">
      <c r="B318" s="14"/>
      <c r="D318" s="14"/>
      <c r="E318" s="14"/>
    </row>
    <row r="319">
      <c r="B319" s="14"/>
      <c r="D319" s="14"/>
      <c r="E319" s="14"/>
    </row>
    <row r="320">
      <c r="B320" s="14"/>
      <c r="D320" s="14"/>
      <c r="E320" s="14"/>
    </row>
    <row r="321">
      <c r="B321" s="14"/>
      <c r="D321" s="14"/>
      <c r="E321" s="14"/>
    </row>
    <row r="322">
      <c r="B322" s="14"/>
      <c r="D322" s="14"/>
      <c r="E322" s="14"/>
    </row>
    <row r="323">
      <c r="B323" s="14"/>
      <c r="D323" s="14"/>
      <c r="E323" s="14"/>
    </row>
    <row r="324">
      <c r="B324" s="14"/>
      <c r="D324" s="14"/>
      <c r="E324" s="14"/>
    </row>
    <row r="325">
      <c r="B325" s="14"/>
      <c r="D325" s="14"/>
      <c r="E325" s="14"/>
    </row>
    <row r="326">
      <c r="B326" s="14"/>
      <c r="D326" s="14"/>
      <c r="E326" s="14"/>
    </row>
    <row r="327">
      <c r="B327" s="14"/>
      <c r="D327" s="14"/>
      <c r="E327" s="14"/>
    </row>
    <row r="328">
      <c r="B328" s="14"/>
      <c r="D328" s="14"/>
      <c r="E328" s="14"/>
    </row>
    <row r="329">
      <c r="B329" s="14"/>
      <c r="D329" s="14"/>
      <c r="E329" s="14"/>
    </row>
    <row r="330">
      <c r="B330" s="14"/>
      <c r="D330" s="14"/>
      <c r="E330" s="14"/>
    </row>
    <row r="331">
      <c r="B331" s="14"/>
      <c r="D331" s="14"/>
      <c r="E331" s="14"/>
    </row>
    <row r="332">
      <c r="B332" s="14"/>
      <c r="D332" s="14"/>
      <c r="E332" s="14"/>
    </row>
    <row r="333">
      <c r="B333" s="14"/>
      <c r="D333" s="14"/>
      <c r="E333" s="14"/>
    </row>
    <row r="334">
      <c r="B334" s="14"/>
      <c r="D334" s="14"/>
      <c r="E334" s="14"/>
    </row>
    <row r="335">
      <c r="B335" s="14"/>
      <c r="D335" s="14"/>
      <c r="E335" s="14"/>
    </row>
    <row r="336">
      <c r="B336" s="14"/>
      <c r="D336" s="14"/>
      <c r="E336" s="14"/>
    </row>
    <row r="337">
      <c r="B337" s="14"/>
      <c r="D337" s="14"/>
      <c r="E337" s="14"/>
    </row>
    <row r="338">
      <c r="B338" s="14"/>
      <c r="D338" s="14"/>
      <c r="E338" s="14"/>
    </row>
    <row r="339">
      <c r="B339" s="14"/>
      <c r="D339" s="14"/>
      <c r="E339" s="14"/>
    </row>
    <row r="340">
      <c r="B340" s="14"/>
      <c r="D340" s="14"/>
      <c r="E340" s="14"/>
    </row>
    <row r="341">
      <c r="B341" s="14"/>
      <c r="D341" s="14"/>
      <c r="E341" s="14"/>
    </row>
    <row r="342">
      <c r="B342" s="14"/>
      <c r="D342" s="14"/>
      <c r="E342" s="14"/>
    </row>
    <row r="343">
      <c r="B343" s="14"/>
      <c r="D343" s="14"/>
      <c r="E343" s="14"/>
    </row>
    <row r="344">
      <c r="B344" s="14"/>
      <c r="D344" s="14"/>
      <c r="E344" s="14"/>
    </row>
    <row r="345">
      <c r="B345" s="14"/>
      <c r="D345" s="14"/>
      <c r="E345" s="14"/>
    </row>
    <row r="346">
      <c r="B346" s="14"/>
      <c r="D346" s="14"/>
      <c r="E346" s="14"/>
    </row>
    <row r="347">
      <c r="B347" s="14"/>
      <c r="D347" s="14"/>
      <c r="E347" s="14"/>
    </row>
    <row r="348">
      <c r="B348" s="14"/>
      <c r="D348" s="14"/>
      <c r="E348" s="14"/>
    </row>
    <row r="349">
      <c r="B349" s="14"/>
      <c r="D349" s="14"/>
      <c r="E349" s="14"/>
    </row>
    <row r="350">
      <c r="B350" s="14"/>
      <c r="D350" s="14"/>
      <c r="E350" s="14"/>
    </row>
    <row r="351">
      <c r="B351" s="14"/>
      <c r="D351" s="14"/>
      <c r="E351" s="14"/>
    </row>
    <row r="352">
      <c r="B352" s="14"/>
      <c r="D352" s="14"/>
      <c r="E352" s="14"/>
    </row>
    <row r="353">
      <c r="B353" s="14"/>
      <c r="D353" s="14"/>
      <c r="E353" s="14"/>
    </row>
    <row r="354">
      <c r="B354" s="14"/>
      <c r="D354" s="14"/>
      <c r="E354" s="14"/>
    </row>
    <row r="355">
      <c r="B355" s="14"/>
      <c r="D355" s="14"/>
      <c r="E355" s="14"/>
    </row>
    <row r="356">
      <c r="B356" s="14"/>
      <c r="D356" s="14"/>
      <c r="E356" s="14"/>
    </row>
    <row r="357">
      <c r="B357" s="14"/>
      <c r="D357" s="14"/>
      <c r="E357" s="14"/>
    </row>
    <row r="358">
      <c r="B358" s="14"/>
      <c r="D358" s="14"/>
      <c r="E358" s="14"/>
    </row>
    <row r="359">
      <c r="B359" s="14"/>
      <c r="D359" s="14"/>
      <c r="E359" s="14"/>
    </row>
    <row r="360">
      <c r="B360" s="14"/>
      <c r="D360" s="14"/>
      <c r="E360" s="14"/>
    </row>
    <row r="361">
      <c r="B361" s="14"/>
      <c r="D361" s="14"/>
      <c r="E361" s="14"/>
    </row>
    <row r="362">
      <c r="B362" s="14"/>
      <c r="D362" s="14"/>
      <c r="E362" s="14"/>
    </row>
    <row r="363">
      <c r="B363" s="14"/>
      <c r="D363" s="14"/>
      <c r="E363" s="14"/>
    </row>
    <row r="364">
      <c r="B364" s="14"/>
      <c r="D364" s="14"/>
      <c r="E364" s="14"/>
    </row>
    <row r="365">
      <c r="B365" s="14"/>
      <c r="D365" s="14"/>
      <c r="E365" s="14"/>
    </row>
    <row r="366">
      <c r="B366" s="14"/>
      <c r="D366" s="14"/>
      <c r="E366" s="14"/>
    </row>
    <row r="367">
      <c r="B367" s="14"/>
      <c r="D367" s="14"/>
      <c r="E367" s="14"/>
    </row>
    <row r="368">
      <c r="B368" s="14"/>
      <c r="D368" s="14"/>
      <c r="E368" s="14"/>
    </row>
    <row r="369">
      <c r="B369" s="14"/>
      <c r="D369" s="14"/>
      <c r="E369" s="14"/>
    </row>
    <row r="370">
      <c r="B370" s="14"/>
      <c r="D370" s="14"/>
      <c r="E370" s="14"/>
    </row>
    <row r="371">
      <c r="B371" s="14"/>
      <c r="D371" s="14"/>
      <c r="E371" s="14"/>
    </row>
    <row r="372">
      <c r="B372" s="14"/>
      <c r="D372" s="14"/>
      <c r="E372" s="14"/>
    </row>
    <row r="373">
      <c r="B373" s="14"/>
      <c r="D373" s="14"/>
      <c r="E373" s="14"/>
    </row>
    <row r="374">
      <c r="B374" s="14"/>
      <c r="D374" s="14"/>
      <c r="E374" s="14"/>
    </row>
    <row r="375">
      <c r="B375" s="14"/>
      <c r="D375" s="14"/>
      <c r="E375" s="14"/>
    </row>
    <row r="376">
      <c r="B376" s="14"/>
      <c r="D376" s="14"/>
      <c r="E376" s="14"/>
    </row>
    <row r="377">
      <c r="B377" s="14"/>
      <c r="D377" s="14"/>
      <c r="E377" s="14"/>
    </row>
    <row r="378">
      <c r="B378" s="14"/>
      <c r="D378" s="14"/>
      <c r="E378" s="14"/>
    </row>
    <row r="379">
      <c r="B379" s="14"/>
      <c r="D379" s="14"/>
      <c r="E379" s="14"/>
    </row>
    <row r="380">
      <c r="B380" s="14"/>
      <c r="D380" s="14"/>
      <c r="E380" s="14"/>
    </row>
    <row r="381">
      <c r="B381" s="14"/>
      <c r="D381" s="14"/>
      <c r="E381" s="14"/>
    </row>
    <row r="382">
      <c r="B382" s="14"/>
      <c r="D382" s="14"/>
      <c r="E382" s="14"/>
    </row>
    <row r="383">
      <c r="B383" s="14"/>
      <c r="D383" s="14"/>
      <c r="E383" s="14"/>
    </row>
    <row r="384">
      <c r="B384" s="14"/>
      <c r="D384" s="14"/>
      <c r="E384" s="14"/>
    </row>
    <row r="385">
      <c r="B385" s="14"/>
      <c r="D385" s="14"/>
      <c r="E385" s="14"/>
    </row>
    <row r="386">
      <c r="B386" s="14"/>
      <c r="D386" s="14"/>
      <c r="E386" s="14"/>
    </row>
    <row r="387">
      <c r="B387" s="14"/>
      <c r="D387" s="14"/>
      <c r="E387" s="14"/>
    </row>
    <row r="388">
      <c r="B388" s="14"/>
      <c r="D388" s="14"/>
      <c r="E388" s="14"/>
    </row>
    <row r="389">
      <c r="B389" s="14"/>
      <c r="D389" s="14"/>
      <c r="E389" s="14"/>
    </row>
    <row r="390">
      <c r="B390" s="14"/>
      <c r="D390" s="14"/>
      <c r="E390" s="14"/>
    </row>
    <row r="391">
      <c r="B391" s="14"/>
      <c r="D391" s="14"/>
      <c r="E391" s="14"/>
    </row>
    <row r="392">
      <c r="B392" s="14"/>
      <c r="D392" s="14"/>
      <c r="E392" s="14"/>
    </row>
    <row r="393">
      <c r="B393" s="14"/>
      <c r="D393" s="14"/>
      <c r="E393" s="14"/>
    </row>
    <row r="394">
      <c r="B394" s="14"/>
      <c r="D394" s="14"/>
      <c r="E394" s="14"/>
    </row>
    <row r="395">
      <c r="B395" s="14"/>
      <c r="D395" s="14"/>
      <c r="E395" s="14"/>
    </row>
    <row r="396">
      <c r="B396" s="14"/>
      <c r="D396" s="14"/>
      <c r="E396" s="14"/>
    </row>
    <row r="397">
      <c r="B397" s="14"/>
      <c r="D397" s="14"/>
      <c r="E397" s="14"/>
    </row>
    <row r="398">
      <c r="B398" s="14"/>
      <c r="D398" s="14"/>
      <c r="E398" s="14"/>
    </row>
    <row r="399">
      <c r="B399" s="14"/>
      <c r="D399" s="14"/>
      <c r="E399" s="14"/>
    </row>
    <row r="400">
      <c r="B400" s="14"/>
      <c r="D400" s="14"/>
      <c r="E400" s="14"/>
    </row>
    <row r="401">
      <c r="B401" s="14"/>
      <c r="D401" s="14"/>
      <c r="E401" s="14"/>
    </row>
    <row r="402">
      <c r="B402" s="14"/>
      <c r="D402" s="14"/>
      <c r="E402" s="14"/>
    </row>
    <row r="403">
      <c r="B403" s="14"/>
      <c r="D403" s="14"/>
      <c r="E403" s="14"/>
    </row>
    <row r="404">
      <c r="B404" s="14"/>
      <c r="D404" s="14"/>
      <c r="E404" s="14"/>
    </row>
    <row r="405">
      <c r="B405" s="14"/>
      <c r="D405" s="14"/>
      <c r="E405" s="14"/>
    </row>
    <row r="406">
      <c r="B406" s="14"/>
      <c r="D406" s="14"/>
      <c r="E406" s="14"/>
    </row>
    <row r="407">
      <c r="B407" s="14"/>
      <c r="D407" s="14"/>
      <c r="E407" s="14"/>
    </row>
    <row r="408">
      <c r="B408" s="14"/>
      <c r="D408" s="14"/>
      <c r="E408" s="14"/>
    </row>
    <row r="409">
      <c r="B409" s="14"/>
      <c r="D409" s="14"/>
      <c r="E409" s="14"/>
    </row>
    <row r="410">
      <c r="B410" s="14"/>
      <c r="D410" s="14"/>
      <c r="E410" s="14"/>
    </row>
    <row r="411">
      <c r="B411" s="14"/>
      <c r="D411" s="14"/>
      <c r="E411" s="14"/>
    </row>
    <row r="412">
      <c r="B412" s="14"/>
      <c r="D412" s="14"/>
      <c r="E412" s="14"/>
    </row>
    <row r="413">
      <c r="B413" s="14"/>
      <c r="D413" s="14"/>
      <c r="E413" s="14"/>
    </row>
    <row r="414">
      <c r="B414" s="14"/>
      <c r="D414" s="14"/>
      <c r="E414" s="14"/>
    </row>
    <row r="415">
      <c r="B415" s="14"/>
      <c r="D415" s="14"/>
      <c r="E415" s="14"/>
    </row>
    <row r="416">
      <c r="B416" s="14"/>
      <c r="D416" s="14"/>
      <c r="E416" s="14"/>
    </row>
    <row r="417">
      <c r="B417" s="14"/>
      <c r="D417" s="14"/>
      <c r="E417" s="14"/>
    </row>
    <row r="418">
      <c r="B418" s="14"/>
      <c r="D418" s="14"/>
      <c r="E418" s="14"/>
    </row>
    <row r="419">
      <c r="B419" s="14"/>
      <c r="D419" s="14"/>
      <c r="E419" s="14"/>
    </row>
    <row r="420">
      <c r="B420" s="14"/>
      <c r="D420" s="14"/>
      <c r="E420" s="14"/>
    </row>
    <row r="421">
      <c r="B421" s="14"/>
      <c r="D421" s="14"/>
      <c r="E421" s="14"/>
    </row>
    <row r="422">
      <c r="B422" s="14"/>
      <c r="D422" s="14"/>
      <c r="E422" s="14"/>
    </row>
    <row r="423">
      <c r="B423" s="14"/>
      <c r="D423" s="14"/>
      <c r="E423" s="14"/>
    </row>
    <row r="424">
      <c r="B424" s="14"/>
      <c r="D424" s="14"/>
      <c r="E424" s="14"/>
    </row>
    <row r="425">
      <c r="B425" s="14"/>
      <c r="D425" s="14"/>
      <c r="E425" s="14"/>
    </row>
    <row r="426">
      <c r="B426" s="14"/>
      <c r="D426" s="14"/>
      <c r="E426" s="14"/>
    </row>
    <row r="427">
      <c r="B427" s="14"/>
      <c r="D427" s="14"/>
      <c r="E427" s="14"/>
    </row>
    <row r="428">
      <c r="B428" s="14"/>
      <c r="D428" s="14"/>
      <c r="E428" s="14"/>
    </row>
    <row r="429">
      <c r="B429" s="14"/>
      <c r="D429" s="14"/>
      <c r="E429" s="14"/>
    </row>
    <row r="430">
      <c r="B430" s="14"/>
      <c r="D430" s="14"/>
      <c r="E430" s="14"/>
    </row>
    <row r="431">
      <c r="B431" s="14"/>
      <c r="D431" s="14"/>
      <c r="E431" s="14"/>
    </row>
    <row r="432">
      <c r="B432" s="14"/>
      <c r="D432" s="14"/>
      <c r="E432" s="14"/>
    </row>
    <row r="433">
      <c r="B433" s="14"/>
      <c r="D433" s="14"/>
      <c r="E433" s="14"/>
    </row>
    <row r="434">
      <c r="B434" s="14"/>
      <c r="D434" s="14"/>
      <c r="E434" s="14"/>
    </row>
    <row r="435">
      <c r="B435" s="14"/>
      <c r="D435" s="14"/>
      <c r="E435" s="14"/>
    </row>
    <row r="436">
      <c r="B436" s="14"/>
      <c r="D436" s="14"/>
      <c r="E436" s="14"/>
    </row>
    <row r="437">
      <c r="B437" s="14"/>
      <c r="D437" s="14"/>
      <c r="E437" s="14"/>
    </row>
    <row r="438">
      <c r="B438" s="14"/>
      <c r="D438" s="14"/>
      <c r="E438" s="14"/>
    </row>
    <row r="439">
      <c r="B439" s="14"/>
      <c r="D439" s="14"/>
      <c r="E439" s="14"/>
    </row>
    <row r="440">
      <c r="B440" s="14"/>
      <c r="D440" s="14"/>
      <c r="E440" s="14"/>
    </row>
    <row r="441">
      <c r="B441" s="14"/>
      <c r="D441" s="14"/>
      <c r="E441" s="14"/>
    </row>
    <row r="442">
      <c r="B442" s="14"/>
      <c r="D442" s="14"/>
      <c r="E442" s="14"/>
    </row>
    <row r="443">
      <c r="B443" s="14"/>
      <c r="D443" s="14"/>
      <c r="E443" s="14"/>
    </row>
    <row r="444">
      <c r="B444" s="14"/>
      <c r="D444" s="14"/>
      <c r="E444" s="14"/>
    </row>
    <row r="445">
      <c r="B445" s="14"/>
      <c r="D445" s="14"/>
      <c r="E445" s="14"/>
    </row>
    <row r="446">
      <c r="B446" s="14"/>
      <c r="D446" s="14"/>
      <c r="E446" s="14"/>
    </row>
    <row r="447">
      <c r="B447" s="14"/>
      <c r="D447" s="14"/>
      <c r="E447" s="14"/>
    </row>
    <row r="448">
      <c r="B448" s="14"/>
      <c r="D448" s="14"/>
      <c r="E448" s="14"/>
    </row>
    <row r="449">
      <c r="B449" s="14"/>
      <c r="D449" s="14"/>
      <c r="E449" s="14"/>
    </row>
    <row r="450">
      <c r="B450" s="14"/>
      <c r="D450" s="14"/>
      <c r="E450" s="14"/>
    </row>
    <row r="451">
      <c r="B451" s="14"/>
      <c r="D451" s="14"/>
      <c r="E451" s="14"/>
    </row>
    <row r="452">
      <c r="B452" s="14"/>
      <c r="D452" s="14"/>
      <c r="E452" s="14"/>
    </row>
    <row r="453">
      <c r="B453" s="14"/>
      <c r="D453" s="14"/>
      <c r="E453" s="14"/>
    </row>
    <row r="454">
      <c r="B454" s="14"/>
      <c r="D454" s="14"/>
      <c r="E454" s="14"/>
    </row>
    <row r="455">
      <c r="B455" s="14"/>
      <c r="D455" s="14"/>
      <c r="E455" s="14"/>
    </row>
    <row r="456">
      <c r="B456" s="14"/>
      <c r="D456" s="14"/>
      <c r="E456" s="14"/>
    </row>
    <row r="457">
      <c r="B457" s="14"/>
      <c r="D457" s="14"/>
      <c r="E457" s="14"/>
    </row>
    <row r="458">
      <c r="B458" s="14"/>
      <c r="D458" s="14"/>
      <c r="E458" s="14"/>
    </row>
    <row r="459">
      <c r="B459" s="14"/>
      <c r="D459" s="14"/>
      <c r="E459" s="14"/>
    </row>
    <row r="460">
      <c r="B460" s="14"/>
      <c r="D460" s="14"/>
      <c r="E460" s="14"/>
    </row>
    <row r="461">
      <c r="B461" s="14"/>
      <c r="D461" s="14"/>
      <c r="E461" s="14"/>
    </row>
    <row r="462">
      <c r="B462" s="14"/>
      <c r="D462" s="14"/>
      <c r="E462" s="14"/>
    </row>
    <row r="463">
      <c r="B463" s="14"/>
      <c r="D463" s="14"/>
      <c r="E463" s="14"/>
    </row>
    <row r="464">
      <c r="B464" s="14"/>
      <c r="D464" s="14"/>
      <c r="E464" s="14"/>
    </row>
    <row r="465">
      <c r="B465" s="14"/>
      <c r="D465" s="14"/>
      <c r="E465" s="14"/>
    </row>
    <row r="466">
      <c r="B466" s="14"/>
      <c r="D466" s="14"/>
      <c r="E466" s="14"/>
    </row>
    <row r="467">
      <c r="B467" s="14"/>
      <c r="D467" s="14"/>
      <c r="E467" s="14"/>
    </row>
    <row r="468">
      <c r="B468" s="14"/>
      <c r="D468" s="14"/>
      <c r="E468" s="14"/>
    </row>
    <row r="469">
      <c r="B469" s="14"/>
      <c r="D469" s="14"/>
      <c r="E469" s="14"/>
    </row>
    <row r="470">
      <c r="B470" s="14"/>
      <c r="D470" s="14"/>
      <c r="E470" s="14"/>
    </row>
    <row r="471">
      <c r="B471" s="14"/>
      <c r="D471" s="14"/>
      <c r="E471" s="14"/>
    </row>
    <row r="472">
      <c r="B472" s="14"/>
      <c r="D472" s="14"/>
      <c r="E472" s="14"/>
    </row>
    <row r="473">
      <c r="B473" s="14"/>
      <c r="D473" s="14"/>
      <c r="E473" s="14"/>
    </row>
    <row r="474">
      <c r="B474" s="14"/>
      <c r="D474" s="14"/>
      <c r="E474" s="14"/>
    </row>
    <row r="475">
      <c r="B475" s="14"/>
      <c r="D475" s="14"/>
      <c r="E475" s="14"/>
    </row>
    <row r="476">
      <c r="B476" s="14"/>
      <c r="D476" s="14"/>
      <c r="E476" s="14"/>
    </row>
    <row r="477">
      <c r="B477" s="14"/>
      <c r="D477" s="14"/>
      <c r="E477" s="14"/>
    </row>
    <row r="478">
      <c r="B478" s="14"/>
      <c r="D478" s="14"/>
      <c r="E478" s="14"/>
    </row>
    <row r="479">
      <c r="B479" s="14"/>
      <c r="D479" s="14"/>
      <c r="E479" s="14"/>
    </row>
    <row r="480">
      <c r="B480" s="14"/>
      <c r="D480" s="14"/>
      <c r="E480" s="14"/>
    </row>
    <row r="481">
      <c r="B481" s="14"/>
      <c r="D481" s="14"/>
      <c r="E481" s="14"/>
    </row>
    <row r="482">
      <c r="B482" s="14"/>
      <c r="D482" s="14"/>
      <c r="E482" s="14"/>
    </row>
    <row r="483">
      <c r="B483" s="14"/>
      <c r="D483" s="14"/>
      <c r="E483" s="14"/>
    </row>
    <row r="484">
      <c r="B484" s="14"/>
      <c r="D484" s="14"/>
      <c r="E484" s="14"/>
    </row>
    <row r="485">
      <c r="B485" s="14"/>
      <c r="D485" s="14"/>
      <c r="E485" s="14"/>
    </row>
    <row r="486">
      <c r="B486" s="14"/>
      <c r="D486" s="14"/>
      <c r="E486" s="14"/>
    </row>
    <row r="487">
      <c r="B487" s="14"/>
      <c r="D487" s="14"/>
      <c r="E487" s="14"/>
    </row>
    <row r="488">
      <c r="B488" s="14"/>
      <c r="D488" s="14"/>
      <c r="E488" s="14"/>
    </row>
    <row r="489">
      <c r="B489" s="14"/>
      <c r="D489" s="14"/>
      <c r="E489" s="14"/>
    </row>
    <row r="490">
      <c r="B490" s="14"/>
      <c r="D490" s="14"/>
      <c r="E490" s="14"/>
    </row>
    <row r="491">
      <c r="B491" s="14"/>
      <c r="D491" s="14"/>
      <c r="E491" s="14"/>
    </row>
    <row r="492">
      <c r="B492" s="14"/>
      <c r="D492" s="14"/>
      <c r="E492" s="14"/>
    </row>
    <row r="493">
      <c r="B493" s="14"/>
      <c r="D493" s="14"/>
      <c r="E493" s="14"/>
    </row>
    <row r="494">
      <c r="B494" s="14"/>
      <c r="D494" s="14"/>
      <c r="E494" s="14"/>
    </row>
    <row r="495">
      <c r="B495" s="14"/>
      <c r="D495" s="14"/>
      <c r="E495" s="14"/>
    </row>
    <row r="496">
      <c r="B496" s="14"/>
      <c r="D496" s="14"/>
      <c r="E496" s="14"/>
    </row>
    <row r="497">
      <c r="B497" s="14"/>
      <c r="D497" s="14"/>
      <c r="E497" s="14"/>
    </row>
    <row r="498">
      <c r="B498" s="14"/>
      <c r="D498" s="14"/>
      <c r="E498" s="14"/>
    </row>
    <row r="499">
      <c r="B499" s="14"/>
      <c r="D499" s="14"/>
      <c r="E499" s="14"/>
    </row>
    <row r="500">
      <c r="B500" s="14"/>
      <c r="D500" s="14"/>
      <c r="E500" s="14"/>
    </row>
    <row r="501">
      <c r="B501" s="14"/>
      <c r="D501" s="14"/>
      <c r="E501" s="14"/>
    </row>
    <row r="502">
      <c r="B502" s="14"/>
      <c r="D502" s="14"/>
      <c r="E502" s="14"/>
    </row>
    <row r="503">
      <c r="B503" s="14"/>
      <c r="D503" s="14"/>
      <c r="E503" s="14"/>
    </row>
    <row r="504">
      <c r="B504" s="14"/>
      <c r="D504" s="14"/>
      <c r="E504" s="14"/>
    </row>
    <row r="505">
      <c r="B505" s="14"/>
      <c r="D505" s="14"/>
      <c r="E505" s="14"/>
    </row>
    <row r="506">
      <c r="B506" s="14"/>
      <c r="D506" s="14"/>
      <c r="E506" s="14"/>
    </row>
    <row r="507">
      <c r="B507" s="14"/>
      <c r="D507" s="14"/>
      <c r="E507" s="14"/>
    </row>
    <row r="508">
      <c r="B508" s="14"/>
      <c r="D508" s="14"/>
      <c r="E508" s="14"/>
    </row>
    <row r="509">
      <c r="B509" s="14"/>
      <c r="D509" s="14"/>
      <c r="E509" s="14"/>
    </row>
    <row r="510">
      <c r="B510" s="14"/>
      <c r="D510" s="14"/>
      <c r="E510" s="14"/>
    </row>
    <row r="511">
      <c r="B511" s="14"/>
      <c r="D511" s="14"/>
      <c r="E511" s="14"/>
    </row>
    <row r="512">
      <c r="B512" s="14"/>
      <c r="D512" s="14"/>
      <c r="E512" s="14"/>
    </row>
    <row r="513">
      <c r="B513" s="14"/>
      <c r="D513" s="14"/>
      <c r="E513" s="14"/>
    </row>
    <row r="514">
      <c r="B514" s="14"/>
      <c r="D514" s="14"/>
      <c r="E514" s="14"/>
    </row>
    <row r="515">
      <c r="B515" s="14"/>
      <c r="D515" s="14"/>
      <c r="E515" s="14"/>
    </row>
    <row r="516">
      <c r="B516" s="14"/>
      <c r="D516" s="14"/>
      <c r="E516" s="14"/>
    </row>
    <row r="517">
      <c r="B517" s="14"/>
      <c r="D517" s="14"/>
      <c r="E517" s="14"/>
    </row>
    <row r="518">
      <c r="B518" s="14"/>
      <c r="D518" s="14"/>
      <c r="E518" s="14"/>
    </row>
    <row r="519">
      <c r="B519" s="14"/>
      <c r="D519" s="14"/>
      <c r="E519" s="14"/>
    </row>
    <row r="520">
      <c r="B520" s="14"/>
      <c r="D520" s="14"/>
      <c r="E520" s="14"/>
    </row>
    <row r="521">
      <c r="B521" s="14"/>
      <c r="D521" s="14"/>
      <c r="E521" s="14"/>
    </row>
    <row r="522">
      <c r="B522" s="14"/>
      <c r="D522" s="14"/>
      <c r="E522" s="14"/>
    </row>
    <row r="523">
      <c r="B523" s="14"/>
      <c r="D523" s="14"/>
      <c r="E523" s="14"/>
    </row>
    <row r="524">
      <c r="B524" s="14"/>
      <c r="D524" s="14"/>
      <c r="E524" s="14"/>
    </row>
    <row r="525">
      <c r="B525" s="14"/>
      <c r="D525" s="14"/>
      <c r="E525" s="14"/>
    </row>
    <row r="526">
      <c r="B526" s="14"/>
      <c r="D526" s="14"/>
      <c r="E526" s="14"/>
    </row>
    <row r="527">
      <c r="B527" s="14"/>
      <c r="D527" s="14"/>
      <c r="E527" s="14"/>
    </row>
    <row r="528">
      <c r="B528" s="14"/>
      <c r="D528" s="14"/>
      <c r="E528" s="14"/>
    </row>
    <row r="529">
      <c r="B529" s="14"/>
      <c r="D529" s="14"/>
      <c r="E529" s="14"/>
    </row>
    <row r="530">
      <c r="B530" s="14"/>
      <c r="D530" s="14"/>
      <c r="E530" s="14"/>
    </row>
    <row r="531">
      <c r="B531" s="14"/>
      <c r="D531" s="14"/>
      <c r="E531" s="14"/>
    </row>
    <row r="532">
      <c r="B532" s="14"/>
      <c r="D532" s="14"/>
      <c r="E532" s="14"/>
    </row>
    <row r="533">
      <c r="B533" s="14"/>
      <c r="D533" s="14"/>
      <c r="E533" s="14"/>
    </row>
    <row r="534">
      <c r="B534" s="14"/>
      <c r="D534" s="14"/>
      <c r="E534" s="14"/>
    </row>
    <row r="535">
      <c r="B535" s="14"/>
      <c r="D535" s="14"/>
      <c r="E535" s="14"/>
    </row>
    <row r="536">
      <c r="B536" s="14"/>
      <c r="D536" s="14"/>
      <c r="E536" s="14"/>
    </row>
    <row r="537">
      <c r="B537" s="14"/>
      <c r="D537" s="14"/>
      <c r="E537" s="14"/>
    </row>
    <row r="538">
      <c r="B538" s="14"/>
      <c r="D538" s="14"/>
      <c r="E538" s="14"/>
    </row>
    <row r="539">
      <c r="B539" s="14"/>
      <c r="D539" s="14"/>
      <c r="E539" s="14"/>
    </row>
    <row r="540">
      <c r="B540" s="14"/>
      <c r="D540" s="14"/>
      <c r="E540" s="14"/>
    </row>
    <row r="541">
      <c r="B541" s="14"/>
      <c r="D541" s="14"/>
      <c r="E541" s="14"/>
    </row>
    <row r="542">
      <c r="B542" s="14"/>
      <c r="D542" s="14"/>
      <c r="E542" s="14"/>
    </row>
    <row r="543">
      <c r="B543" s="14"/>
      <c r="D543" s="14"/>
      <c r="E543" s="14"/>
    </row>
    <row r="544">
      <c r="B544" s="14"/>
      <c r="D544" s="14"/>
      <c r="E544" s="14"/>
    </row>
    <row r="545">
      <c r="B545" s="14"/>
      <c r="D545" s="14"/>
      <c r="E545" s="14"/>
    </row>
    <row r="546">
      <c r="B546" s="14"/>
      <c r="D546" s="14"/>
      <c r="E546" s="14"/>
    </row>
    <row r="547">
      <c r="B547" s="14"/>
      <c r="D547" s="14"/>
      <c r="E547" s="14"/>
    </row>
    <row r="548">
      <c r="B548" s="14"/>
      <c r="D548" s="14"/>
      <c r="E548" s="14"/>
    </row>
    <row r="549">
      <c r="B549" s="14"/>
      <c r="D549" s="14"/>
      <c r="E549" s="14"/>
    </row>
    <row r="550">
      <c r="B550" s="14"/>
      <c r="D550" s="14"/>
      <c r="E550" s="14"/>
    </row>
    <row r="551">
      <c r="B551" s="14"/>
      <c r="D551" s="14"/>
      <c r="E551" s="14"/>
    </row>
    <row r="552">
      <c r="B552" s="14"/>
      <c r="D552" s="14"/>
      <c r="E552" s="14"/>
    </row>
    <row r="553">
      <c r="B553" s="14"/>
      <c r="D553" s="14"/>
      <c r="E553" s="14"/>
    </row>
    <row r="554">
      <c r="B554" s="14"/>
      <c r="D554" s="14"/>
      <c r="E554" s="14"/>
    </row>
    <row r="555">
      <c r="B555" s="14"/>
      <c r="D555" s="14"/>
      <c r="E555" s="14"/>
    </row>
    <row r="556">
      <c r="B556" s="14"/>
      <c r="D556" s="14"/>
      <c r="E556" s="14"/>
    </row>
    <row r="557">
      <c r="B557" s="14"/>
      <c r="D557" s="14"/>
      <c r="E557" s="14"/>
    </row>
    <row r="558">
      <c r="B558" s="14"/>
      <c r="D558" s="14"/>
      <c r="E558" s="14"/>
    </row>
    <row r="559">
      <c r="B559" s="14"/>
      <c r="D559" s="14"/>
      <c r="E559" s="14"/>
    </row>
    <row r="560">
      <c r="B560" s="14"/>
      <c r="D560" s="14"/>
      <c r="E560" s="14"/>
    </row>
    <row r="561">
      <c r="B561" s="14"/>
      <c r="D561" s="14"/>
      <c r="E561" s="14"/>
    </row>
    <row r="562">
      <c r="B562" s="14"/>
      <c r="D562" s="14"/>
      <c r="E562" s="14"/>
    </row>
    <row r="563">
      <c r="B563" s="14"/>
      <c r="D563" s="14"/>
      <c r="E563" s="14"/>
    </row>
    <row r="564">
      <c r="B564" s="14"/>
      <c r="D564" s="14"/>
      <c r="E564" s="14"/>
    </row>
    <row r="565">
      <c r="B565" s="14"/>
      <c r="D565" s="14"/>
      <c r="E565" s="14"/>
    </row>
    <row r="566">
      <c r="B566" s="14"/>
      <c r="D566" s="14"/>
      <c r="E566" s="14"/>
    </row>
    <row r="567">
      <c r="B567" s="14"/>
      <c r="D567" s="14"/>
      <c r="E567" s="14"/>
    </row>
    <row r="568">
      <c r="B568" s="14"/>
      <c r="D568" s="14"/>
      <c r="E568" s="14"/>
    </row>
    <row r="569">
      <c r="B569" s="14"/>
      <c r="D569" s="14"/>
      <c r="E569" s="14"/>
    </row>
    <row r="570">
      <c r="B570" s="14"/>
      <c r="D570" s="14"/>
      <c r="E570" s="14"/>
    </row>
    <row r="571">
      <c r="B571" s="14"/>
      <c r="D571" s="14"/>
      <c r="E571" s="14"/>
    </row>
    <row r="572">
      <c r="B572" s="14"/>
      <c r="D572" s="14"/>
      <c r="E572" s="14"/>
    </row>
    <row r="573">
      <c r="B573" s="14"/>
      <c r="D573" s="14"/>
      <c r="E573" s="14"/>
    </row>
    <row r="574">
      <c r="B574" s="14"/>
      <c r="D574" s="14"/>
      <c r="E574" s="14"/>
    </row>
    <row r="575">
      <c r="B575" s="14"/>
      <c r="D575" s="14"/>
      <c r="E575" s="14"/>
    </row>
    <row r="576">
      <c r="B576" s="14"/>
      <c r="D576" s="14"/>
      <c r="E576" s="14"/>
    </row>
    <row r="577">
      <c r="B577" s="14"/>
      <c r="D577" s="14"/>
      <c r="E577" s="14"/>
    </row>
    <row r="578">
      <c r="B578" s="14"/>
      <c r="D578" s="14"/>
      <c r="E578" s="14"/>
    </row>
    <row r="579">
      <c r="B579" s="14"/>
      <c r="D579" s="14"/>
      <c r="E579" s="14"/>
    </row>
    <row r="580">
      <c r="B580" s="14"/>
      <c r="D580" s="14"/>
      <c r="E580" s="14"/>
    </row>
    <row r="581">
      <c r="B581" s="14"/>
      <c r="D581" s="14"/>
      <c r="E581" s="14"/>
    </row>
    <row r="582">
      <c r="B582" s="14"/>
      <c r="D582" s="14"/>
      <c r="E582" s="14"/>
    </row>
    <row r="583">
      <c r="B583" s="14"/>
      <c r="D583" s="14"/>
      <c r="E583" s="14"/>
    </row>
    <row r="584">
      <c r="B584" s="14"/>
      <c r="D584" s="14"/>
      <c r="E584" s="14"/>
    </row>
    <row r="585">
      <c r="B585" s="14"/>
      <c r="D585" s="14"/>
      <c r="E585" s="14"/>
    </row>
    <row r="586">
      <c r="B586" s="14"/>
      <c r="D586" s="14"/>
      <c r="E586" s="14"/>
    </row>
    <row r="587">
      <c r="B587" s="14"/>
      <c r="D587" s="14"/>
      <c r="E587" s="14"/>
    </row>
    <row r="588">
      <c r="B588" s="14"/>
      <c r="D588" s="14"/>
      <c r="E588" s="14"/>
    </row>
    <row r="589">
      <c r="B589" s="14"/>
      <c r="D589" s="14"/>
      <c r="E589" s="14"/>
    </row>
    <row r="590">
      <c r="B590" s="14"/>
      <c r="D590" s="14"/>
      <c r="E590" s="14"/>
    </row>
    <row r="591">
      <c r="B591" s="14"/>
      <c r="D591" s="14"/>
      <c r="E591" s="14"/>
    </row>
    <row r="592">
      <c r="B592" s="14"/>
      <c r="D592" s="14"/>
      <c r="E592" s="14"/>
    </row>
    <row r="593">
      <c r="B593" s="14"/>
      <c r="D593" s="14"/>
      <c r="E593" s="14"/>
    </row>
    <row r="594">
      <c r="B594" s="14"/>
      <c r="D594" s="14"/>
      <c r="E594" s="14"/>
    </row>
    <row r="595">
      <c r="B595" s="14"/>
      <c r="D595" s="14"/>
      <c r="E595" s="14"/>
    </row>
    <row r="596">
      <c r="B596" s="14"/>
      <c r="D596" s="14"/>
      <c r="E596" s="14"/>
    </row>
    <row r="597">
      <c r="B597" s="14"/>
      <c r="D597" s="14"/>
      <c r="E597" s="14"/>
    </row>
    <row r="598">
      <c r="B598" s="14"/>
      <c r="D598" s="14"/>
      <c r="E598" s="14"/>
    </row>
    <row r="599">
      <c r="B599" s="14"/>
      <c r="D599" s="14"/>
      <c r="E599" s="14"/>
    </row>
    <row r="600">
      <c r="B600" s="14"/>
      <c r="D600" s="14"/>
      <c r="E600" s="14"/>
    </row>
    <row r="601">
      <c r="B601" s="14"/>
      <c r="D601" s="14"/>
      <c r="E601" s="14"/>
    </row>
    <row r="602">
      <c r="B602" s="14"/>
      <c r="D602" s="14"/>
      <c r="E602" s="14"/>
    </row>
    <row r="603">
      <c r="B603" s="14"/>
      <c r="D603" s="14"/>
      <c r="E603" s="14"/>
    </row>
    <row r="604">
      <c r="B604" s="14"/>
      <c r="D604" s="14"/>
      <c r="E604" s="14"/>
    </row>
    <row r="605">
      <c r="B605" s="14"/>
      <c r="D605" s="14"/>
      <c r="E605" s="14"/>
    </row>
    <row r="606">
      <c r="B606" s="14"/>
      <c r="D606" s="14"/>
      <c r="E606" s="14"/>
    </row>
    <row r="607">
      <c r="B607" s="14"/>
      <c r="D607" s="14"/>
      <c r="E607" s="14"/>
    </row>
    <row r="608">
      <c r="B608" s="14"/>
      <c r="D608" s="14"/>
      <c r="E608" s="14"/>
    </row>
    <row r="609">
      <c r="B609" s="14"/>
      <c r="D609" s="14"/>
      <c r="E609" s="14"/>
    </row>
    <row r="610">
      <c r="B610" s="14"/>
      <c r="D610" s="14"/>
      <c r="E610" s="14"/>
    </row>
    <row r="611">
      <c r="B611" s="14"/>
      <c r="D611" s="14"/>
      <c r="E611" s="14"/>
    </row>
    <row r="612">
      <c r="B612" s="14"/>
      <c r="D612" s="14"/>
      <c r="E612" s="14"/>
    </row>
    <row r="613">
      <c r="B613" s="14"/>
      <c r="D613" s="14"/>
      <c r="E613" s="14"/>
    </row>
    <row r="614">
      <c r="B614" s="14"/>
      <c r="D614" s="14"/>
      <c r="E614" s="14"/>
    </row>
    <row r="615">
      <c r="B615" s="14"/>
      <c r="D615" s="14"/>
      <c r="E615" s="14"/>
    </row>
    <row r="616">
      <c r="B616" s="14"/>
      <c r="D616" s="14"/>
      <c r="E616" s="14"/>
    </row>
    <row r="617">
      <c r="B617" s="14"/>
      <c r="D617" s="14"/>
      <c r="E617" s="14"/>
    </row>
    <row r="618">
      <c r="B618" s="14"/>
      <c r="D618" s="14"/>
      <c r="E618" s="14"/>
    </row>
    <row r="619">
      <c r="B619" s="14"/>
      <c r="D619" s="14"/>
      <c r="E619" s="14"/>
    </row>
    <row r="620">
      <c r="B620" s="14"/>
      <c r="D620" s="14"/>
      <c r="E620" s="14"/>
    </row>
    <row r="621">
      <c r="B621" s="14"/>
      <c r="D621" s="14"/>
      <c r="E621" s="14"/>
    </row>
    <row r="622">
      <c r="B622" s="14"/>
      <c r="D622" s="14"/>
      <c r="E622" s="14"/>
    </row>
    <row r="623">
      <c r="B623" s="14"/>
      <c r="D623" s="14"/>
      <c r="E623" s="14"/>
    </row>
    <row r="624">
      <c r="B624" s="14"/>
      <c r="D624" s="14"/>
      <c r="E624" s="14"/>
    </row>
    <row r="625">
      <c r="B625" s="14"/>
      <c r="D625" s="14"/>
      <c r="E625" s="14"/>
    </row>
    <row r="626">
      <c r="B626" s="14"/>
      <c r="D626" s="14"/>
      <c r="E626" s="14"/>
    </row>
    <row r="627">
      <c r="B627" s="14"/>
      <c r="D627" s="14"/>
      <c r="E627" s="14"/>
    </row>
    <row r="628">
      <c r="B628" s="14"/>
      <c r="D628" s="14"/>
      <c r="E628" s="14"/>
    </row>
    <row r="629">
      <c r="B629" s="14"/>
      <c r="D629" s="14"/>
      <c r="E629" s="14"/>
    </row>
    <row r="630">
      <c r="B630" s="14"/>
      <c r="D630" s="14"/>
      <c r="E630" s="14"/>
    </row>
    <row r="631">
      <c r="B631" s="14"/>
      <c r="D631" s="14"/>
      <c r="E631" s="14"/>
    </row>
    <row r="632">
      <c r="B632" s="14"/>
      <c r="D632" s="14"/>
      <c r="E632" s="14"/>
    </row>
    <row r="633">
      <c r="B633" s="14"/>
      <c r="D633" s="14"/>
      <c r="E633" s="14"/>
    </row>
    <row r="634">
      <c r="B634" s="14"/>
      <c r="D634" s="14"/>
      <c r="E634" s="14"/>
    </row>
    <row r="635">
      <c r="B635" s="14"/>
      <c r="D635" s="14"/>
      <c r="E635" s="14"/>
    </row>
    <row r="636">
      <c r="B636" s="14"/>
      <c r="D636" s="14"/>
      <c r="E636" s="14"/>
    </row>
    <row r="637">
      <c r="B637" s="14"/>
      <c r="D637" s="14"/>
      <c r="E637" s="14"/>
    </row>
    <row r="638">
      <c r="B638" s="14"/>
      <c r="D638" s="14"/>
      <c r="E638" s="14"/>
    </row>
    <row r="639">
      <c r="B639" s="14"/>
      <c r="D639" s="14"/>
      <c r="E639" s="14"/>
    </row>
    <row r="640">
      <c r="B640" s="14"/>
      <c r="D640" s="14"/>
      <c r="E640" s="14"/>
    </row>
    <row r="641">
      <c r="B641" s="14"/>
      <c r="D641" s="14"/>
      <c r="E641" s="14"/>
    </row>
    <row r="642">
      <c r="B642" s="14"/>
      <c r="D642" s="14"/>
      <c r="E642" s="14"/>
    </row>
    <row r="643">
      <c r="B643" s="14"/>
      <c r="D643" s="14"/>
      <c r="E643" s="14"/>
    </row>
    <row r="644">
      <c r="B644" s="14"/>
      <c r="D644" s="14"/>
      <c r="E644" s="14"/>
    </row>
    <row r="645">
      <c r="B645" s="14"/>
      <c r="D645" s="14"/>
      <c r="E645" s="14"/>
    </row>
    <row r="646">
      <c r="B646" s="14"/>
      <c r="D646" s="14"/>
      <c r="E646" s="14"/>
    </row>
    <row r="647">
      <c r="B647" s="14"/>
      <c r="D647" s="14"/>
      <c r="E647" s="14"/>
    </row>
    <row r="648">
      <c r="B648" s="14"/>
      <c r="D648" s="14"/>
      <c r="E648" s="14"/>
    </row>
    <row r="649">
      <c r="B649" s="14"/>
      <c r="D649" s="14"/>
      <c r="E649" s="14"/>
    </row>
    <row r="650">
      <c r="B650" s="14"/>
      <c r="D650" s="14"/>
      <c r="E650" s="14"/>
    </row>
    <row r="651">
      <c r="B651" s="14"/>
      <c r="D651" s="14"/>
      <c r="E651" s="14"/>
    </row>
    <row r="652">
      <c r="B652" s="14"/>
      <c r="D652" s="14"/>
      <c r="E652" s="14"/>
    </row>
    <row r="653">
      <c r="B653" s="14"/>
      <c r="D653" s="14"/>
      <c r="E653" s="14"/>
    </row>
    <row r="654">
      <c r="B654" s="14"/>
      <c r="D654" s="14"/>
      <c r="E654" s="14"/>
    </row>
    <row r="655">
      <c r="B655" s="14"/>
      <c r="D655" s="14"/>
      <c r="E655" s="14"/>
    </row>
    <row r="656">
      <c r="B656" s="14"/>
      <c r="D656" s="14"/>
      <c r="E656" s="14"/>
    </row>
    <row r="657">
      <c r="B657" s="14"/>
      <c r="D657" s="14"/>
      <c r="E657" s="14"/>
    </row>
    <row r="658">
      <c r="B658" s="14"/>
      <c r="D658" s="14"/>
      <c r="E658" s="14"/>
    </row>
    <row r="659">
      <c r="B659" s="14"/>
      <c r="D659" s="14"/>
      <c r="E659" s="14"/>
    </row>
    <row r="660">
      <c r="B660" s="14"/>
      <c r="D660" s="14"/>
      <c r="E660" s="14"/>
    </row>
    <row r="661">
      <c r="B661" s="14"/>
      <c r="D661" s="14"/>
      <c r="E661" s="14"/>
    </row>
    <row r="662">
      <c r="B662" s="14"/>
      <c r="D662" s="14"/>
      <c r="E662" s="14"/>
    </row>
    <row r="663">
      <c r="B663" s="14"/>
      <c r="D663" s="14"/>
      <c r="E663" s="14"/>
    </row>
    <row r="664">
      <c r="B664" s="14"/>
      <c r="D664" s="14"/>
      <c r="E664" s="14"/>
    </row>
    <row r="665">
      <c r="B665" s="14"/>
      <c r="D665" s="14"/>
      <c r="E665" s="14"/>
    </row>
    <row r="666">
      <c r="B666" s="14"/>
      <c r="D666" s="14"/>
      <c r="E666" s="14"/>
    </row>
    <row r="667">
      <c r="B667" s="14"/>
      <c r="D667" s="14"/>
      <c r="E667" s="14"/>
    </row>
    <row r="668">
      <c r="B668" s="14"/>
      <c r="D668" s="14"/>
      <c r="E668" s="14"/>
    </row>
    <row r="669">
      <c r="B669" s="14"/>
      <c r="D669" s="14"/>
      <c r="E669" s="14"/>
    </row>
    <row r="670">
      <c r="B670" s="14"/>
      <c r="D670" s="14"/>
      <c r="E670" s="14"/>
    </row>
    <row r="671">
      <c r="B671" s="14"/>
      <c r="D671" s="14"/>
      <c r="E671" s="14"/>
    </row>
    <row r="672">
      <c r="B672" s="14"/>
      <c r="D672" s="14"/>
      <c r="E672" s="14"/>
    </row>
    <row r="673">
      <c r="B673" s="14"/>
      <c r="D673" s="14"/>
      <c r="E673" s="14"/>
    </row>
    <row r="674">
      <c r="B674" s="14"/>
      <c r="D674" s="14"/>
      <c r="E674" s="14"/>
    </row>
    <row r="675">
      <c r="B675" s="14"/>
      <c r="D675" s="14"/>
      <c r="E675" s="14"/>
    </row>
    <row r="676">
      <c r="B676" s="14"/>
      <c r="D676" s="14"/>
      <c r="E676" s="14"/>
    </row>
    <row r="677">
      <c r="B677" s="14"/>
      <c r="D677" s="14"/>
      <c r="E677" s="14"/>
    </row>
    <row r="678">
      <c r="B678" s="14"/>
      <c r="D678" s="14"/>
      <c r="E678" s="14"/>
    </row>
    <row r="679">
      <c r="B679" s="14"/>
      <c r="D679" s="14"/>
      <c r="E679" s="14"/>
    </row>
    <row r="680">
      <c r="B680" s="14"/>
      <c r="D680" s="14"/>
      <c r="E680" s="14"/>
    </row>
    <row r="681">
      <c r="B681" s="14"/>
      <c r="D681" s="14"/>
      <c r="E681" s="14"/>
    </row>
    <row r="682">
      <c r="B682" s="14"/>
      <c r="D682" s="14"/>
      <c r="E682" s="14"/>
    </row>
    <row r="683">
      <c r="B683" s="14"/>
      <c r="D683" s="14"/>
      <c r="E683" s="14"/>
    </row>
    <row r="684">
      <c r="B684" s="14"/>
      <c r="D684" s="14"/>
      <c r="E684" s="14"/>
    </row>
    <row r="685">
      <c r="B685" s="14"/>
      <c r="D685" s="14"/>
      <c r="E685" s="14"/>
    </row>
    <row r="686">
      <c r="B686" s="14"/>
      <c r="D686" s="14"/>
      <c r="E686" s="14"/>
    </row>
    <row r="687">
      <c r="B687" s="14"/>
      <c r="D687" s="14"/>
      <c r="E687" s="14"/>
    </row>
    <row r="688">
      <c r="B688" s="14"/>
      <c r="D688" s="14"/>
      <c r="E688" s="14"/>
    </row>
    <row r="689">
      <c r="B689" s="14"/>
      <c r="D689" s="14"/>
      <c r="E689" s="14"/>
    </row>
    <row r="690">
      <c r="B690" s="14"/>
      <c r="D690" s="14"/>
      <c r="E690" s="14"/>
    </row>
    <row r="691">
      <c r="B691" s="14"/>
      <c r="D691" s="14"/>
      <c r="E691" s="14"/>
    </row>
    <row r="692">
      <c r="B692" s="14"/>
      <c r="D692" s="14"/>
      <c r="E692" s="14"/>
    </row>
    <row r="693">
      <c r="B693" s="14"/>
      <c r="D693" s="14"/>
      <c r="E693" s="14"/>
    </row>
    <row r="694">
      <c r="B694" s="14"/>
      <c r="D694" s="14"/>
      <c r="E694" s="14"/>
    </row>
    <row r="695">
      <c r="B695" s="14"/>
      <c r="D695" s="14"/>
      <c r="E695" s="14"/>
    </row>
    <row r="696">
      <c r="B696" s="14"/>
      <c r="D696" s="14"/>
      <c r="E696" s="14"/>
    </row>
    <row r="697">
      <c r="B697" s="14"/>
      <c r="D697" s="14"/>
      <c r="E697" s="14"/>
    </row>
    <row r="698">
      <c r="B698" s="14"/>
      <c r="D698" s="14"/>
      <c r="E698" s="14"/>
    </row>
    <row r="699">
      <c r="B699" s="14"/>
      <c r="D699" s="14"/>
      <c r="E699" s="14"/>
    </row>
    <row r="700">
      <c r="B700" s="14"/>
      <c r="D700" s="14"/>
      <c r="E700" s="14"/>
    </row>
    <row r="701">
      <c r="B701" s="14"/>
      <c r="D701" s="14"/>
      <c r="E701" s="14"/>
    </row>
    <row r="702">
      <c r="B702" s="14"/>
      <c r="D702" s="14"/>
      <c r="E702" s="14"/>
    </row>
    <row r="703">
      <c r="B703" s="14"/>
      <c r="D703" s="14"/>
      <c r="E703" s="14"/>
    </row>
    <row r="704">
      <c r="B704" s="14"/>
      <c r="D704" s="14"/>
      <c r="E704" s="14"/>
    </row>
    <row r="705">
      <c r="B705" s="14"/>
      <c r="D705" s="14"/>
      <c r="E705" s="14"/>
    </row>
    <row r="706">
      <c r="B706" s="14"/>
      <c r="D706" s="14"/>
      <c r="E706" s="14"/>
    </row>
    <row r="707">
      <c r="B707" s="14"/>
      <c r="D707" s="14"/>
      <c r="E707" s="14"/>
    </row>
    <row r="708">
      <c r="B708" s="14"/>
      <c r="D708" s="14"/>
      <c r="E708" s="14"/>
    </row>
    <row r="709">
      <c r="B709" s="14"/>
      <c r="D709" s="14"/>
      <c r="E709" s="14"/>
    </row>
    <row r="710">
      <c r="B710" s="14"/>
      <c r="D710" s="14"/>
      <c r="E710" s="14"/>
    </row>
    <row r="711">
      <c r="B711" s="14"/>
      <c r="D711" s="14"/>
      <c r="E711" s="14"/>
    </row>
    <row r="712">
      <c r="B712" s="14"/>
      <c r="D712" s="14"/>
      <c r="E712" s="14"/>
    </row>
    <row r="713">
      <c r="B713" s="14"/>
      <c r="D713" s="14"/>
      <c r="E713" s="14"/>
    </row>
    <row r="714">
      <c r="B714" s="14"/>
      <c r="D714" s="14"/>
      <c r="E714" s="14"/>
    </row>
    <row r="715">
      <c r="B715" s="14"/>
      <c r="D715" s="14"/>
      <c r="E715" s="14"/>
    </row>
    <row r="716">
      <c r="B716" s="14"/>
      <c r="D716" s="14"/>
      <c r="E716" s="14"/>
    </row>
    <row r="717">
      <c r="B717" s="14"/>
      <c r="D717" s="14"/>
      <c r="E717" s="14"/>
    </row>
    <row r="718">
      <c r="B718" s="14"/>
      <c r="D718" s="14"/>
      <c r="E718" s="14"/>
    </row>
    <row r="719">
      <c r="B719" s="14"/>
      <c r="D719" s="14"/>
      <c r="E719" s="14"/>
    </row>
    <row r="720">
      <c r="B720" s="14"/>
      <c r="D720" s="14"/>
      <c r="E720" s="14"/>
    </row>
    <row r="721">
      <c r="B721" s="14"/>
      <c r="D721" s="14"/>
      <c r="E721" s="14"/>
    </row>
    <row r="722">
      <c r="B722" s="14"/>
      <c r="D722" s="14"/>
      <c r="E722" s="14"/>
    </row>
    <row r="723">
      <c r="B723" s="14"/>
      <c r="D723" s="14"/>
      <c r="E723" s="14"/>
    </row>
    <row r="724">
      <c r="B724" s="14"/>
      <c r="D724" s="14"/>
      <c r="E724" s="14"/>
    </row>
    <row r="725">
      <c r="B725" s="14"/>
      <c r="D725" s="14"/>
      <c r="E725" s="14"/>
    </row>
    <row r="726">
      <c r="B726" s="14"/>
      <c r="D726" s="14"/>
      <c r="E726" s="14"/>
    </row>
    <row r="727">
      <c r="B727" s="14"/>
      <c r="D727" s="14"/>
      <c r="E727" s="14"/>
    </row>
    <row r="728">
      <c r="B728" s="14"/>
      <c r="D728" s="14"/>
      <c r="E728" s="14"/>
    </row>
    <row r="729">
      <c r="B729" s="14"/>
      <c r="D729" s="14"/>
      <c r="E729" s="14"/>
    </row>
    <row r="730">
      <c r="B730" s="14"/>
      <c r="D730" s="14"/>
      <c r="E730" s="14"/>
    </row>
    <row r="731">
      <c r="B731" s="14"/>
      <c r="D731" s="14"/>
      <c r="E731" s="14"/>
    </row>
    <row r="732">
      <c r="B732" s="14"/>
      <c r="D732" s="14"/>
      <c r="E732" s="14"/>
    </row>
    <row r="733">
      <c r="B733" s="14"/>
      <c r="D733" s="14"/>
      <c r="E733" s="14"/>
    </row>
    <row r="734">
      <c r="B734" s="14"/>
      <c r="D734" s="14"/>
      <c r="E734" s="14"/>
    </row>
    <row r="735">
      <c r="B735" s="14"/>
      <c r="D735" s="14"/>
      <c r="E735" s="14"/>
    </row>
    <row r="736">
      <c r="B736" s="14"/>
      <c r="D736" s="14"/>
      <c r="E736" s="14"/>
    </row>
    <row r="737">
      <c r="B737" s="14"/>
      <c r="D737" s="14"/>
      <c r="E737" s="14"/>
    </row>
    <row r="738">
      <c r="B738" s="14"/>
      <c r="D738" s="14"/>
      <c r="E738" s="14"/>
    </row>
    <row r="739">
      <c r="B739" s="14"/>
      <c r="D739" s="14"/>
      <c r="E739" s="14"/>
    </row>
    <row r="740">
      <c r="B740" s="14"/>
      <c r="D740" s="14"/>
      <c r="E740" s="14"/>
    </row>
    <row r="741">
      <c r="B741" s="14"/>
      <c r="D741" s="14"/>
      <c r="E741" s="14"/>
    </row>
    <row r="742">
      <c r="B742" s="14"/>
      <c r="D742" s="14"/>
      <c r="E742" s="14"/>
    </row>
    <row r="743">
      <c r="B743" s="14"/>
      <c r="D743" s="14"/>
      <c r="E743" s="14"/>
    </row>
    <row r="744">
      <c r="B744" s="14"/>
      <c r="D744" s="14"/>
      <c r="E744" s="14"/>
    </row>
    <row r="745">
      <c r="B745" s="14"/>
      <c r="D745" s="14"/>
      <c r="E745" s="14"/>
    </row>
    <row r="746">
      <c r="B746" s="14"/>
      <c r="D746" s="14"/>
      <c r="E746" s="14"/>
    </row>
    <row r="747">
      <c r="B747" s="14"/>
      <c r="D747" s="14"/>
      <c r="E747" s="14"/>
    </row>
    <row r="748">
      <c r="B748" s="14"/>
      <c r="D748" s="14"/>
      <c r="E748" s="14"/>
    </row>
    <row r="749">
      <c r="B749" s="14"/>
      <c r="D749" s="14"/>
      <c r="E749" s="14"/>
    </row>
    <row r="750">
      <c r="B750" s="14"/>
      <c r="D750" s="14"/>
      <c r="E750" s="14"/>
    </row>
    <row r="751">
      <c r="B751" s="14"/>
      <c r="D751" s="14"/>
      <c r="E751" s="14"/>
    </row>
    <row r="752">
      <c r="B752" s="14"/>
      <c r="D752" s="14"/>
      <c r="E752" s="14"/>
    </row>
    <row r="753">
      <c r="B753" s="14"/>
      <c r="D753" s="14"/>
      <c r="E753" s="14"/>
    </row>
    <row r="754">
      <c r="B754" s="14"/>
      <c r="D754" s="14"/>
      <c r="E754" s="14"/>
    </row>
    <row r="755">
      <c r="B755" s="14"/>
      <c r="D755" s="14"/>
      <c r="E755" s="14"/>
    </row>
    <row r="756">
      <c r="B756" s="14"/>
      <c r="D756" s="14"/>
      <c r="E756" s="14"/>
    </row>
    <row r="757">
      <c r="B757" s="14"/>
      <c r="D757" s="14"/>
      <c r="E757" s="14"/>
    </row>
    <row r="758">
      <c r="B758" s="14"/>
      <c r="D758" s="14"/>
      <c r="E758" s="14"/>
    </row>
    <row r="759">
      <c r="B759" s="14"/>
      <c r="D759" s="14"/>
      <c r="E759" s="14"/>
    </row>
    <row r="760">
      <c r="B760" s="14"/>
      <c r="D760" s="14"/>
      <c r="E760" s="14"/>
    </row>
    <row r="761">
      <c r="B761" s="14"/>
      <c r="D761" s="14"/>
      <c r="E761" s="14"/>
    </row>
    <row r="762">
      <c r="B762" s="14"/>
      <c r="D762" s="14"/>
      <c r="E762" s="14"/>
    </row>
    <row r="763">
      <c r="B763" s="14"/>
      <c r="D763" s="14"/>
      <c r="E763" s="14"/>
    </row>
    <row r="764">
      <c r="B764" s="14"/>
      <c r="D764" s="14"/>
      <c r="E764" s="14"/>
    </row>
    <row r="765">
      <c r="B765" s="14"/>
      <c r="D765" s="14"/>
      <c r="E765" s="14"/>
    </row>
    <row r="766">
      <c r="B766" s="14"/>
      <c r="D766" s="14"/>
      <c r="E766" s="14"/>
    </row>
    <row r="767">
      <c r="B767" s="14"/>
      <c r="D767" s="14"/>
      <c r="E767" s="14"/>
    </row>
    <row r="768">
      <c r="B768" s="14"/>
      <c r="D768" s="14"/>
      <c r="E768" s="14"/>
    </row>
    <row r="769">
      <c r="B769" s="14"/>
      <c r="D769" s="14"/>
      <c r="E769" s="14"/>
    </row>
    <row r="770">
      <c r="B770" s="14"/>
      <c r="D770" s="14"/>
      <c r="E770" s="14"/>
    </row>
    <row r="771">
      <c r="B771" s="14"/>
      <c r="D771" s="14"/>
      <c r="E771" s="14"/>
    </row>
    <row r="772">
      <c r="B772" s="14"/>
      <c r="D772" s="14"/>
      <c r="E772" s="14"/>
    </row>
    <row r="773">
      <c r="B773" s="14"/>
      <c r="D773" s="14"/>
      <c r="E773" s="14"/>
    </row>
    <row r="774">
      <c r="B774" s="14"/>
      <c r="D774" s="14"/>
      <c r="E774" s="14"/>
    </row>
    <row r="775">
      <c r="B775" s="14"/>
      <c r="D775" s="14"/>
      <c r="E775" s="14"/>
    </row>
    <row r="776">
      <c r="B776" s="14"/>
      <c r="D776" s="14"/>
      <c r="E776" s="14"/>
    </row>
    <row r="777">
      <c r="B777" s="14"/>
      <c r="D777" s="14"/>
      <c r="E777" s="14"/>
    </row>
    <row r="778">
      <c r="B778" s="14"/>
      <c r="D778" s="14"/>
      <c r="E778" s="14"/>
    </row>
    <row r="779">
      <c r="B779" s="14"/>
      <c r="D779" s="14"/>
      <c r="E779" s="14"/>
    </row>
    <row r="780">
      <c r="B780" s="14"/>
      <c r="D780" s="14"/>
      <c r="E780" s="14"/>
    </row>
    <row r="781">
      <c r="B781" s="14"/>
      <c r="D781" s="14"/>
      <c r="E781" s="14"/>
    </row>
    <row r="782">
      <c r="B782" s="14"/>
      <c r="D782" s="14"/>
      <c r="E782" s="14"/>
    </row>
    <row r="783">
      <c r="B783" s="14"/>
      <c r="D783" s="14"/>
      <c r="E783" s="14"/>
    </row>
    <row r="784">
      <c r="B784" s="14"/>
      <c r="D784" s="14"/>
      <c r="E784" s="14"/>
    </row>
    <row r="785">
      <c r="B785" s="14"/>
      <c r="D785" s="14"/>
      <c r="E785" s="14"/>
    </row>
    <row r="786">
      <c r="B786" s="14"/>
      <c r="D786" s="14"/>
      <c r="E786" s="14"/>
    </row>
    <row r="787">
      <c r="B787" s="14"/>
      <c r="D787" s="14"/>
      <c r="E787" s="14"/>
    </row>
    <row r="788">
      <c r="B788" s="14"/>
      <c r="D788" s="14"/>
      <c r="E788" s="14"/>
    </row>
    <row r="789">
      <c r="B789" s="14"/>
      <c r="D789" s="14"/>
      <c r="E789" s="14"/>
    </row>
    <row r="790">
      <c r="B790" s="14"/>
      <c r="D790" s="14"/>
      <c r="E790" s="14"/>
    </row>
    <row r="791">
      <c r="B791" s="14"/>
      <c r="D791" s="14"/>
      <c r="E791" s="14"/>
    </row>
    <row r="792">
      <c r="B792" s="14"/>
      <c r="D792" s="14"/>
      <c r="E792" s="14"/>
    </row>
    <row r="793">
      <c r="B793" s="14"/>
      <c r="D793" s="14"/>
      <c r="E793" s="14"/>
    </row>
    <row r="794">
      <c r="B794" s="14"/>
      <c r="D794" s="14"/>
      <c r="E794" s="14"/>
    </row>
    <row r="795">
      <c r="B795" s="14"/>
      <c r="D795" s="14"/>
      <c r="E795" s="14"/>
    </row>
    <row r="796">
      <c r="B796" s="14"/>
      <c r="D796" s="14"/>
      <c r="E796" s="14"/>
    </row>
    <row r="797">
      <c r="B797" s="14"/>
      <c r="D797" s="14"/>
      <c r="E797" s="14"/>
    </row>
    <row r="798">
      <c r="B798" s="14"/>
      <c r="D798" s="14"/>
      <c r="E798" s="14"/>
    </row>
    <row r="799">
      <c r="B799" s="14"/>
      <c r="D799" s="14"/>
      <c r="E799" s="14"/>
    </row>
    <row r="800">
      <c r="B800" s="14"/>
      <c r="D800" s="14"/>
      <c r="E800" s="14"/>
    </row>
    <row r="801">
      <c r="B801" s="14"/>
      <c r="D801" s="14"/>
      <c r="E801" s="14"/>
    </row>
    <row r="802">
      <c r="B802" s="14"/>
      <c r="D802" s="14"/>
      <c r="E802" s="14"/>
    </row>
    <row r="803">
      <c r="B803" s="14"/>
      <c r="D803" s="14"/>
      <c r="E803" s="14"/>
    </row>
    <row r="804">
      <c r="B804" s="14"/>
      <c r="D804" s="14"/>
      <c r="E804" s="14"/>
    </row>
    <row r="805">
      <c r="B805" s="14"/>
      <c r="D805" s="14"/>
      <c r="E805" s="14"/>
    </row>
    <row r="806">
      <c r="B806" s="14"/>
      <c r="D806" s="14"/>
      <c r="E806" s="14"/>
    </row>
    <row r="807">
      <c r="B807" s="14"/>
      <c r="D807" s="14"/>
      <c r="E807" s="14"/>
    </row>
    <row r="808">
      <c r="B808" s="14"/>
      <c r="D808" s="14"/>
      <c r="E808" s="14"/>
    </row>
    <row r="809">
      <c r="B809" s="14"/>
      <c r="D809" s="14"/>
      <c r="E809" s="14"/>
    </row>
    <row r="810">
      <c r="B810" s="14"/>
      <c r="D810" s="14"/>
      <c r="E810" s="14"/>
    </row>
    <row r="811">
      <c r="B811" s="14"/>
      <c r="D811" s="14"/>
      <c r="E811" s="14"/>
    </row>
    <row r="812">
      <c r="B812" s="14"/>
      <c r="D812" s="14"/>
      <c r="E812" s="14"/>
    </row>
    <row r="813">
      <c r="B813" s="14"/>
      <c r="D813" s="14"/>
      <c r="E813" s="14"/>
    </row>
    <row r="814">
      <c r="B814" s="14"/>
      <c r="D814" s="14"/>
      <c r="E814" s="14"/>
    </row>
    <row r="815">
      <c r="B815" s="14"/>
      <c r="D815" s="14"/>
      <c r="E815" s="14"/>
    </row>
    <row r="816">
      <c r="B816" s="14"/>
      <c r="D816" s="14"/>
      <c r="E816" s="14"/>
    </row>
    <row r="817">
      <c r="B817" s="14"/>
      <c r="D817" s="14"/>
      <c r="E817" s="14"/>
    </row>
    <row r="818">
      <c r="B818" s="14"/>
      <c r="D818" s="14"/>
      <c r="E818" s="14"/>
    </row>
    <row r="819">
      <c r="B819" s="14"/>
      <c r="D819" s="14"/>
      <c r="E819" s="14"/>
    </row>
    <row r="820">
      <c r="B820" s="14"/>
      <c r="D820" s="14"/>
      <c r="E820" s="14"/>
    </row>
    <row r="821">
      <c r="B821" s="14"/>
      <c r="D821" s="14"/>
      <c r="E821" s="14"/>
    </row>
    <row r="822">
      <c r="B822" s="14"/>
      <c r="D822" s="14"/>
      <c r="E822" s="14"/>
    </row>
    <row r="823">
      <c r="B823" s="14"/>
      <c r="D823" s="14"/>
      <c r="E823" s="14"/>
    </row>
    <row r="824">
      <c r="B824" s="14"/>
      <c r="D824" s="14"/>
      <c r="E824" s="14"/>
    </row>
    <row r="825">
      <c r="B825" s="14"/>
      <c r="D825" s="14"/>
      <c r="E825" s="14"/>
    </row>
    <row r="826">
      <c r="B826" s="14"/>
      <c r="D826" s="14"/>
      <c r="E826" s="14"/>
    </row>
    <row r="827">
      <c r="B827" s="14"/>
      <c r="D827" s="14"/>
      <c r="E827" s="14"/>
    </row>
    <row r="828">
      <c r="B828" s="14"/>
      <c r="D828" s="14"/>
      <c r="E828" s="14"/>
    </row>
    <row r="829">
      <c r="B829" s="14"/>
      <c r="D829" s="14"/>
      <c r="E829" s="14"/>
    </row>
    <row r="830">
      <c r="B830" s="14"/>
      <c r="D830" s="14"/>
      <c r="E830" s="14"/>
    </row>
    <row r="831">
      <c r="B831" s="14"/>
      <c r="D831" s="14"/>
      <c r="E831" s="14"/>
    </row>
    <row r="832">
      <c r="B832" s="14"/>
      <c r="D832" s="14"/>
      <c r="E832" s="14"/>
    </row>
    <row r="833">
      <c r="B833" s="14"/>
      <c r="D833" s="14"/>
      <c r="E833" s="14"/>
    </row>
    <row r="834">
      <c r="B834" s="14"/>
      <c r="D834" s="14"/>
      <c r="E834" s="14"/>
    </row>
    <row r="835">
      <c r="B835" s="14"/>
      <c r="D835" s="14"/>
      <c r="E835" s="14"/>
    </row>
    <row r="836">
      <c r="B836" s="14"/>
      <c r="D836" s="14"/>
      <c r="E836" s="14"/>
    </row>
    <row r="837">
      <c r="B837" s="14"/>
      <c r="D837" s="14"/>
      <c r="E837" s="14"/>
    </row>
    <row r="838">
      <c r="B838" s="14"/>
      <c r="D838" s="14"/>
      <c r="E838" s="14"/>
    </row>
    <row r="839">
      <c r="B839" s="14"/>
      <c r="D839" s="14"/>
      <c r="E839" s="14"/>
    </row>
    <row r="840">
      <c r="B840" s="14"/>
      <c r="D840" s="14"/>
      <c r="E840" s="14"/>
    </row>
    <row r="841">
      <c r="B841" s="14"/>
      <c r="D841" s="14"/>
      <c r="E841" s="14"/>
    </row>
    <row r="842">
      <c r="B842" s="14"/>
      <c r="D842" s="14"/>
      <c r="E842" s="14"/>
    </row>
    <row r="843">
      <c r="B843" s="14"/>
      <c r="D843" s="14"/>
      <c r="E843" s="14"/>
    </row>
    <row r="844">
      <c r="B844" s="14"/>
      <c r="D844" s="14"/>
      <c r="E844" s="14"/>
    </row>
    <row r="845">
      <c r="B845" s="14"/>
      <c r="D845" s="14"/>
      <c r="E845" s="14"/>
    </row>
    <row r="846">
      <c r="B846" s="14"/>
      <c r="D846" s="14"/>
      <c r="E846" s="14"/>
    </row>
    <row r="847">
      <c r="B847" s="14"/>
      <c r="D847" s="14"/>
      <c r="E847" s="14"/>
    </row>
    <row r="848">
      <c r="B848" s="14"/>
      <c r="D848" s="14"/>
      <c r="E848" s="14"/>
    </row>
    <row r="849">
      <c r="B849" s="14"/>
      <c r="D849" s="14"/>
      <c r="E849" s="14"/>
    </row>
    <row r="850">
      <c r="B850" s="14"/>
      <c r="D850" s="14"/>
      <c r="E850" s="14"/>
    </row>
    <row r="851">
      <c r="B851" s="14"/>
      <c r="D851" s="14"/>
      <c r="E851" s="14"/>
    </row>
    <row r="852">
      <c r="B852" s="14"/>
      <c r="D852" s="14"/>
      <c r="E852" s="14"/>
    </row>
    <row r="853">
      <c r="B853" s="14"/>
      <c r="D853" s="14"/>
      <c r="E853" s="14"/>
    </row>
    <row r="854">
      <c r="B854" s="14"/>
      <c r="D854" s="14"/>
      <c r="E854" s="14"/>
    </row>
    <row r="855">
      <c r="B855" s="14"/>
      <c r="D855" s="14"/>
      <c r="E855" s="14"/>
    </row>
    <row r="856">
      <c r="B856" s="14"/>
      <c r="D856" s="14"/>
      <c r="E856" s="14"/>
    </row>
    <row r="857">
      <c r="B857" s="14"/>
      <c r="D857" s="14"/>
      <c r="E857" s="14"/>
    </row>
    <row r="858">
      <c r="B858" s="14"/>
      <c r="D858" s="14"/>
      <c r="E858" s="14"/>
    </row>
    <row r="859">
      <c r="B859" s="14"/>
      <c r="D859" s="14"/>
      <c r="E859" s="14"/>
    </row>
    <row r="860">
      <c r="B860" s="14"/>
      <c r="D860" s="14"/>
      <c r="E860" s="14"/>
    </row>
    <row r="861">
      <c r="B861" s="14"/>
      <c r="D861" s="14"/>
      <c r="E861" s="14"/>
    </row>
    <row r="862">
      <c r="B862" s="14"/>
      <c r="D862" s="14"/>
      <c r="E862" s="14"/>
    </row>
    <row r="863">
      <c r="B863" s="14"/>
      <c r="D863" s="14"/>
      <c r="E863" s="14"/>
    </row>
    <row r="864">
      <c r="B864" s="14"/>
      <c r="D864" s="14"/>
      <c r="E864" s="14"/>
    </row>
    <row r="865">
      <c r="B865" s="14"/>
      <c r="D865" s="14"/>
      <c r="E865" s="14"/>
    </row>
    <row r="866">
      <c r="B866" s="14"/>
      <c r="D866" s="14"/>
      <c r="E866" s="14"/>
    </row>
    <row r="867">
      <c r="B867" s="14"/>
      <c r="D867" s="14"/>
      <c r="E867" s="14"/>
    </row>
    <row r="868">
      <c r="B868" s="14"/>
      <c r="D868" s="14"/>
      <c r="E868" s="14"/>
    </row>
    <row r="869">
      <c r="B869" s="14"/>
      <c r="D869" s="14"/>
      <c r="E869" s="14"/>
    </row>
    <row r="870">
      <c r="B870" s="14"/>
      <c r="D870" s="14"/>
      <c r="E870" s="14"/>
    </row>
    <row r="871">
      <c r="B871" s="14"/>
      <c r="D871" s="14"/>
      <c r="E871" s="14"/>
    </row>
    <row r="872">
      <c r="B872" s="14"/>
      <c r="D872" s="14"/>
      <c r="E872" s="14"/>
    </row>
    <row r="873">
      <c r="B873" s="14"/>
      <c r="D873" s="14"/>
      <c r="E873" s="14"/>
    </row>
    <row r="874">
      <c r="B874" s="14"/>
      <c r="D874" s="14"/>
      <c r="E874" s="14"/>
    </row>
    <row r="875">
      <c r="B875" s="14"/>
      <c r="D875" s="14"/>
      <c r="E875" s="14"/>
    </row>
    <row r="876">
      <c r="B876" s="14"/>
      <c r="D876" s="14"/>
      <c r="E876" s="14"/>
    </row>
    <row r="877">
      <c r="B877" s="14"/>
      <c r="D877" s="14"/>
      <c r="E877" s="14"/>
    </row>
    <row r="878">
      <c r="B878" s="14"/>
      <c r="D878" s="14"/>
      <c r="E878" s="14"/>
    </row>
    <row r="879">
      <c r="B879" s="14"/>
      <c r="D879" s="14"/>
      <c r="E879" s="14"/>
    </row>
    <row r="880">
      <c r="B880" s="14"/>
      <c r="D880" s="14"/>
      <c r="E880" s="14"/>
    </row>
    <row r="881">
      <c r="B881" s="14"/>
      <c r="D881" s="14"/>
      <c r="E881" s="14"/>
    </row>
    <row r="882">
      <c r="B882" s="14"/>
      <c r="D882" s="14"/>
      <c r="E882" s="14"/>
    </row>
    <row r="883">
      <c r="B883" s="14"/>
      <c r="D883" s="14"/>
      <c r="E883" s="14"/>
    </row>
    <row r="884">
      <c r="B884" s="14"/>
      <c r="D884" s="14"/>
      <c r="E884" s="14"/>
    </row>
    <row r="885">
      <c r="B885" s="14"/>
      <c r="D885" s="14"/>
      <c r="E885" s="14"/>
    </row>
    <row r="886">
      <c r="B886" s="14"/>
      <c r="D886" s="14"/>
      <c r="E886" s="14"/>
    </row>
    <row r="887">
      <c r="B887" s="14"/>
      <c r="D887" s="14"/>
      <c r="E887" s="14"/>
    </row>
    <row r="888">
      <c r="B888" s="14"/>
      <c r="D888" s="14"/>
      <c r="E888" s="14"/>
    </row>
    <row r="889">
      <c r="B889" s="14"/>
      <c r="D889" s="14"/>
      <c r="E889" s="14"/>
    </row>
    <row r="890">
      <c r="B890" s="14"/>
      <c r="D890" s="14"/>
      <c r="E890" s="14"/>
    </row>
    <row r="891">
      <c r="B891" s="14"/>
      <c r="D891" s="14"/>
      <c r="E891" s="14"/>
    </row>
    <row r="892">
      <c r="B892" s="14"/>
      <c r="D892" s="14"/>
      <c r="E892" s="14"/>
    </row>
    <row r="893">
      <c r="B893" s="14"/>
      <c r="D893" s="14"/>
      <c r="E893" s="14"/>
    </row>
    <row r="894">
      <c r="B894" s="14"/>
      <c r="D894" s="14"/>
      <c r="E894" s="14"/>
    </row>
    <row r="895">
      <c r="B895" s="14"/>
      <c r="D895" s="14"/>
      <c r="E895" s="14"/>
    </row>
    <row r="896">
      <c r="B896" s="14"/>
      <c r="D896" s="14"/>
      <c r="E896" s="14"/>
    </row>
    <row r="897">
      <c r="B897" s="14"/>
      <c r="D897" s="14"/>
      <c r="E897" s="14"/>
    </row>
    <row r="898">
      <c r="B898" s="14"/>
      <c r="D898" s="14"/>
      <c r="E898" s="14"/>
    </row>
    <row r="899">
      <c r="B899" s="14"/>
      <c r="D899" s="14"/>
      <c r="E899" s="14"/>
    </row>
    <row r="900">
      <c r="B900" s="14"/>
      <c r="D900" s="14"/>
      <c r="E900" s="14"/>
    </row>
    <row r="901">
      <c r="B901" s="14"/>
      <c r="D901" s="14"/>
      <c r="E901" s="14"/>
    </row>
    <row r="902">
      <c r="B902" s="14"/>
      <c r="D902" s="14"/>
      <c r="E902" s="14"/>
    </row>
    <row r="903">
      <c r="B903" s="14"/>
      <c r="D903" s="14"/>
      <c r="E903" s="14"/>
    </row>
    <row r="904">
      <c r="B904" s="14"/>
      <c r="D904" s="14"/>
      <c r="E904" s="14"/>
    </row>
    <row r="905">
      <c r="B905" s="14"/>
      <c r="D905" s="14"/>
      <c r="E905" s="14"/>
    </row>
    <row r="906">
      <c r="B906" s="14"/>
      <c r="D906" s="14"/>
      <c r="E906" s="14"/>
    </row>
    <row r="907">
      <c r="B907" s="14"/>
      <c r="D907" s="14"/>
      <c r="E907" s="14"/>
    </row>
    <row r="908">
      <c r="B908" s="14"/>
      <c r="D908" s="14"/>
      <c r="E908" s="14"/>
    </row>
    <row r="909">
      <c r="B909" s="14"/>
      <c r="D909" s="14"/>
      <c r="E909" s="14"/>
    </row>
    <row r="910">
      <c r="B910" s="14"/>
      <c r="D910" s="14"/>
      <c r="E910" s="14"/>
    </row>
    <row r="911">
      <c r="B911" s="14"/>
      <c r="D911" s="14"/>
      <c r="E911" s="14"/>
    </row>
    <row r="912">
      <c r="B912" s="14"/>
      <c r="D912" s="14"/>
      <c r="E912" s="14"/>
    </row>
    <row r="913">
      <c r="B913" s="14"/>
      <c r="D913" s="14"/>
      <c r="E913" s="14"/>
    </row>
    <row r="914">
      <c r="B914" s="14"/>
      <c r="D914" s="14"/>
      <c r="E914" s="14"/>
    </row>
    <row r="915">
      <c r="B915" s="14"/>
      <c r="D915" s="14"/>
      <c r="E915" s="14"/>
    </row>
    <row r="916">
      <c r="B916" s="14"/>
      <c r="D916" s="14"/>
      <c r="E916" s="14"/>
    </row>
    <row r="917">
      <c r="B917" s="14"/>
      <c r="D917" s="14"/>
      <c r="E917" s="14"/>
    </row>
    <row r="918">
      <c r="B918" s="14"/>
      <c r="D918" s="14"/>
      <c r="E918" s="14"/>
    </row>
    <row r="919">
      <c r="B919" s="14"/>
      <c r="D919" s="14"/>
      <c r="E919" s="14"/>
    </row>
    <row r="920">
      <c r="B920" s="14"/>
      <c r="D920" s="14"/>
      <c r="E920" s="14"/>
    </row>
    <row r="921">
      <c r="B921" s="14"/>
      <c r="D921" s="14"/>
      <c r="E921" s="14"/>
    </row>
    <row r="922">
      <c r="B922" s="14"/>
      <c r="D922" s="14"/>
      <c r="E922" s="14"/>
    </row>
    <row r="923">
      <c r="B923" s="14"/>
      <c r="D923" s="14"/>
      <c r="E923" s="14"/>
    </row>
    <row r="924">
      <c r="B924" s="14"/>
      <c r="D924" s="14"/>
      <c r="E924" s="14"/>
    </row>
    <row r="925">
      <c r="B925" s="14"/>
      <c r="D925" s="14"/>
      <c r="E925" s="14"/>
    </row>
    <row r="926">
      <c r="B926" s="14"/>
      <c r="D926" s="14"/>
      <c r="E926" s="14"/>
    </row>
    <row r="927">
      <c r="B927" s="14"/>
      <c r="D927" s="14"/>
      <c r="E927" s="14"/>
    </row>
    <row r="928">
      <c r="B928" s="14"/>
      <c r="D928" s="14"/>
      <c r="E928" s="14"/>
    </row>
    <row r="929">
      <c r="B929" s="14"/>
      <c r="D929" s="14"/>
      <c r="E929" s="14"/>
    </row>
    <row r="930">
      <c r="B930" s="14"/>
      <c r="D930" s="14"/>
      <c r="E930" s="14"/>
    </row>
    <row r="931">
      <c r="B931" s="14"/>
      <c r="D931" s="14"/>
      <c r="E931" s="14"/>
    </row>
    <row r="932">
      <c r="B932" s="14"/>
      <c r="D932" s="14"/>
      <c r="E932" s="14"/>
    </row>
    <row r="933">
      <c r="B933" s="14"/>
      <c r="D933" s="14"/>
      <c r="E933" s="14"/>
    </row>
    <row r="934">
      <c r="B934" s="14"/>
      <c r="D934" s="14"/>
      <c r="E934" s="14"/>
    </row>
    <row r="935">
      <c r="B935" s="14"/>
      <c r="D935" s="14"/>
      <c r="E935" s="14"/>
    </row>
    <row r="936">
      <c r="B936" s="14"/>
      <c r="D936" s="14"/>
      <c r="E936" s="14"/>
    </row>
    <row r="937">
      <c r="B937" s="14"/>
      <c r="D937" s="14"/>
      <c r="E937" s="14"/>
    </row>
    <row r="938">
      <c r="B938" s="14"/>
      <c r="D938" s="14"/>
      <c r="E938" s="14"/>
    </row>
    <row r="939">
      <c r="B939" s="14"/>
      <c r="D939" s="14"/>
      <c r="E939" s="14"/>
    </row>
    <row r="940">
      <c r="B940" s="14"/>
      <c r="D940" s="14"/>
      <c r="E940" s="14"/>
    </row>
    <row r="941">
      <c r="B941" s="14"/>
      <c r="D941" s="14"/>
      <c r="E941" s="14"/>
    </row>
    <row r="942">
      <c r="B942" s="14"/>
      <c r="D942" s="14"/>
      <c r="E942" s="14"/>
    </row>
    <row r="943">
      <c r="B943" s="14"/>
      <c r="D943" s="14"/>
      <c r="E943" s="14"/>
    </row>
    <row r="944">
      <c r="B944" s="14"/>
      <c r="D944" s="14"/>
      <c r="E944" s="14"/>
    </row>
    <row r="945">
      <c r="B945" s="14"/>
      <c r="D945" s="14"/>
      <c r="E945" s="14"/>
    </row>
    <row r="946">
      <c r="B946" s="14"/>
      <c r="D946" s="14"/>
      <c r="E946" s="14"/>
    </row>
    <row r="947">
      <c r="B947" s="14"/>
      <c r="D947" s="14"/>
      <c r="E947" s="14"/>
    </row>
    <row r="948">
      <c r="B948" s="14"/>
      <c r="D948" s="14"/>
      <c r="E948" s="14"/>
    </row>
    <row r="949">
      <c r="B949" s="14"/>
      <c r="D949" s="14"/>
      <c r="E949" s="14"/>
    </row>
    <row r="950">
      <c r="B950" s="14"/>
      <c r="D950" s="14"/>
      <c r="E950" s="14"/>
    </row>
    <row r="951">
      <c r="B951" s="14"/>
      <c r="D951" s="14"/>
      <c r="E951" s="14"/>
    </row>
    <row r="952">
      <c r="B952" s="14"/>
      <c r="D952" s="14"/>
      <c r="E952" s="14"/>
    </row>
    <row r="953">
      <c r="B953" s="14"/>
      <c r="D953" s="14"/>
      <c r="E953" s="14"/>
    </row>
    <row r="954">
      <c r="B954" s="14"/>
      <c r="D954" s="14"/>
      <c r="E954" s="14"/>
    </row>
    <row r="955">
      <c r="B955" s="14"/>
      <c r="D955" s="14"/>
      <c r="E955" s="14"/>
    </row>
    <row r="956">
      <c r="B956" s="14"/>
      <c r="D956" s="14"/>
      <c r="E956" s="14"/>
    </row>
    <row r="957">
      <c r="B957" s="14"/>
      <c r="D957" s="14"/>
      <c r="E957" s="14"/>
    </row>
    <row r="958">
      <c r="B958" s="14"/>
      <c r="D958" s="14"/>
      <c r="E958" s="14"/>
    </row>
    <row r="959">
      <c r="B959" s="14"/>
      <c r="D959" s="14"/>
      <c r="E959" s="14"/>
    </row>
    <row r="960">
      <c r="B960" s="14"/>
      <c r="D960" s="14"/>
      <c r="E960" s="14"/>
    </row>
    <row r="961">
      <c r="B961" s="14"/>
      <c r="D961" s="14"/>
      <c r="E961" s="14"/>
    </row>
    <row r="962">
      <c r="B962" s="14"/>
      <c r="D962" s="14"/>
      <c r="E962" s="14"/>
    </row>
    <row r="963">
      <c r="B963" s="14"/>
      <c r="D963" s="14"/>
      <c r="E963" s="14"/>
    </row>
    <row r="964">
      <c r="B964" s="14"/>
      <c r="D964" s="14"/>
      <c r="E964" s="14"/>
    </row>
    <row r="965">
      <c r="B965" s="14"/>
      <c r="D965" s="14"/>
      <c r="E965" s="14"/>
    </row>
    <row r="966">
      <c r="B966" s="14"/>
      <c r="D966" s="14"/>
      <c r="E966" s="14"/>
    </row>
    <row r="967">
      <c r="B967" s="14"/>
      <c r="D967" s="14"/>
      <c r="E967" s="14"/>
    </row>
    <row r="968">
      <c r="B968" s="14"/>
      <c r="D968" s="14"/>
      <c r="E968" s="14"/>
    </row>
    <row r="969">
      <c r="B969" s="14"/>
      <c r="D969" s="14"/>
      <c r="E969" s="14"/>
    </row>
    <row r="970">
      <c r="B970" s="14"/>
      <c r="D970" s="14"/>
      <c r="E970" s="14"/>
    </row>
    <row r="971">
      <c r="B971" s="14"/>
      <c r="D971" s="14"/>
      <c r="E971" s="14"/>
    </row>
    <row r="972">
      <c r="B972" s="14"/>
      <c r="D972" s="14"/>
      <c r="E972" s="14"/>
    </row>
    <row r="973">
      <c r="B973" s="14"/>
      <c r="D973" s="14"/>
      <c r="E973" s="14"/>
    </row>
    <row r="974">
      <c r="B974" s="14"/>
      <c r="D974" s="14"/>
      <c r="E974" s="14"/>
    </row>
    <row r="975">
      <c r="B975" s="14"/>
      <c r="D975" s="14"/>
      <c r="E975" s="14"/>
    </row>
    <row r="976">
      <c r="B976" s="14"/>
      <c r="D976" s="14"/>
      <c r="E976" s="14"/>
    </row>
    <row r="977">
      <c r="B977" s="14"/>
      <c r="D977" s="14"/>
      <c r="E977" s="14"/>
    </row>
    <row r="978">
      <c r="B978" s="14"/>
      <c r="D978" s="14"/>
      <c r="E978" s="14"/>
    </row>
    <row r="979">
      <c r="B979" s="14"/>
      <c r="D979" s="14"/>
      <c r="E979" s="14"/>
    </row>
    <row r="980">
      <c r="B980" s="14"/>
      <c r="D980" s="14"/>
      <c r="E980" s="14"/>
    </row>
    <row r="981">
      <c r="B981" s="14"/>
      <c r="D981" s="14"/>
      <c r="E981" s="14"/>
    </row>
    <row r="982">
      <c r="B982" s="14"/>
      <c r="D982" s="14"/>
      <c r="E982" s="14"/>
    </row>
    <row r="983">
      <c r="B983" s="14"/>
      <c r="D983" s="14"/>
      <c r="E983" s="14"/>
    </row>
    <row r="984">
      <c r="B984" s="14"/>
      <c r="D984" s="14"/>
      <c r="E984" s="14"/>
    </row>
    <row r="985">
      <c r="B985" s="14"/>
      <c r="D985" s="14"/>
      <c r="E985" s="14"/>
    </row>
    <row r="986">
      <c r="B986" s="14"/>
      <c r="D986" s="14"/>
      <c r="E986" s="14"/>
    </row>
    <row r="987">
      <c r="B987" s="14"/>
      <c r="D987" s="14"/>
      <c r="E987" s="14"/>
    </row>
    <row r="988">
      <c r="B988" s="14"/>
      <c r="D988" s="14"/>
      <c r="E988" s="14"/>
    </row>
    <row r="989">
      <c r="B989" s="14"/>
      <c r="D989" s="14"/>
      <c r="E989" s="14"/>
    </row>
    <row r="990">
      <c r="B990" s="14"/>
      <c r="D990" s="14"/>
      <c r="E990" s="14"/>
    </row>
    <row r="991">
      <c r="B991" s="14"/>
      <c r="D991" s="14"/>
      <c r="E991" s="14"/>
    </row>
    <row r="992">
      <c r="B992" s="14"/>
      <c r="D992" s="14"/>
      <c r="E992" s="14"/>
    </row>
    <row r="993">
      <c r="B993" s="14"/>
      <c r="D993" s="14"/>
      <c r="E993" s="14"/>
    </row>
    <row r="994">
      <c r="B994" s="14"/>
      <c r="D994" s="14"/>
      <c r="E994" s="14"/>
    </row>
  </sheetData>
  <mergeCells count="53">
    <mergeCell ref="D5:D6"/>
    <mergeCell ref="E5:E6"/>
    <mergeCell ref="D7:D8"/>
    <mergeCell ref="E7:E8"/>
    <mergeCell ref="D9:D10"/>
    <mergeCell ref="E9:E10"/>
    <mergeCell ref="D11:D12"/>
    <mergeCell ref="E11:E12"/>
    <mergeCell ref="A1:A2"/>
    <mergeCell ref="B1:B2"/>
    <mergeCell ref="C1:C2"/>
    <mergeCell ref="D1:D2"/>
    <mergeCell ref="E1:E2"/>
    <mergeCell ref="D3:D4"/>
    <mergeCell ref="E3:E4"/>
    <mergeCell ref="A19:A24"/>
    <mergeCell ref="A25:A30"/>
    <mergeCell ref="A31:A36"/>
    <mergeCell ref="A37:A42"/>
    <mergeCell ref="A43:A48"/>
    <mergeCell ref="A49:A54"/>
    <mergeCell ref="A55:A60"/>
    <mergeCell ref="B25:B30"/>
    <mergeCell ref="B31:B36"/>
    <mergeCell ref="B37:B42"/>
    <mergeCell ref="B43:B48"/>
    <mergeCell ref="B49:B54"/>
    <mergeCell ref="B55:B60"/>
    <mergeCell ref="B61:B66"/>
    <mergeCell ref="A104:A109"/>
    <mergeCell ref="A110:A115"/>
    <mergeCell ref="A116:A120"/>
    <mergeCell ref="A61:A66"/>
    <mergeCell ref="A67:A72"/>
    <mergeCell ref="A73:A78"/>
    <mergeCell ref="A79:A84"/>
    <mergeCell ref="A85:A90"/>
    <mergeCell ref="A91:A96"/>
    <mergeCell ref="A97:A103"/>
    <mergeCell ref="B67:B72"/>
    <mergeCell ref="B73:B78"/>
    <mergeCell ref="B79:B84"/>
    <mergeCell ref="B85:B90"/>
    <mergeCell ref="B91:B96"/>
    <mergeCell ref="B97:B103"/>
    <mergeCell ref="B104:B109"/>
    <mergeCell ref="A13:A18"/>
    <mergeCell ref="B13:B18"/>
    <mergeCell ref="B19:B24"/>
    <mergeCell ref="B3:B12"/>
    <mergeCell ref="A3:A12"/>
    <mergeCell ref="B110:B115"/>
    <mergeCell ref="B116:B120"/>
  </mergeCell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23.25"/>
    <col customWidth="1" min="5" max="5" width="26.63"/>
    <col customWidth="1" min="6" max="6" width="21.0"/>
    <col customWidth="1" min="7" max="7" width="8.63"/>
    <col customWidth="1" min="8" max="8" width="21.13"/>
    <col customWidth="1" min="9" max="9" width="29.38"/>
  </cols>
  <sheetData>
    <row r="1">
      <c r="A1" s="65"/>
      <c r="B1" s="65"/>
      <c r="C1" s="66"/>
      <c r="D1" s="66"/>
      <c r="E1" s="65"/>
      <c r="F1" s="65"/>
      <c r="G1" s="65"/>
      <c r="H1" s="65"/>
      <c r="I1" s="65"/>
    </row>
    <row r="2">
      <c r="A2" s="65"/>
      <c r="B2" s="65"/>
      <c r="C2" s="67" t="s">
        <v>379</v>
      </c>
      <c r="D2" s="66"/>
      <c r="E2" s="65"/>
      <c r="F2" s="65"/>
      <c r="G2" s="65"/>
      <c r="H2" s="65"/>
      <c r="I2" s="65"/>
    </row>
    <row r="3">
      <c r="A3" s="65"/>
      <c r="B3" s="65"/>
      <c r="C3" s="68" t="s">
        <v>229</v>
      </c>
      <c r="D3" s="69" t="s">
        <v>380</v>
      </c>
      <c r="E3" s="70" t="s">
        <v>230</v>
      </c>
      <c r="F3" s="71"/>
      <c r="G3" s="72"/>
      <c r="H3" s="69" t="s">
        <v>231</v>
      </c>
      <c r="I3" s="69" t="s">
        <v>149</v>
      </c>
    </row>
    <row r="4">
      <c r="A4" s="65"/>
      <c r="B4" s="65"/>
      <c r="C4" s="73">
        <v>1.0</v>
      </c>
      <c r="D4" s="74" t="s">
        <v>381</v>
      </c>
      <c r="E4" s="75" t="s">
        <v>382</v>
      </c>
      <c r="F4" s="76" t="s">
        <v>383</v>
      </c>
      <c r="G4" s="77" t="s">
        <v>384</v>
      </c>
      <c r="H4" s="77" t="s">
        <v>385</v>
      </c>
      <c r="I4" s="77" t="s">
        <v>386</v>
      </c>
    </row>
    <row r="5">
      <c r="A5" s="65"/>
      <c r="B5" s="65"/>
      <c r="C5" s="78"/>
      <c r="D5" s="66"/>
      <c r="E5" s="75" t="s">
        <v>387</v>
      </c>
      <c r="F5" s="76" t="s">
        <v>388</v>
      </c>
      <c r="G5" s="79"/>
      <c r="H5" s="77" t="s">
        <v>389</v>
      </c>
      <c r="I5" s="77" t="s">
        <v>390</v>
      </c>
    </row>
    <row r="6">
      <c r="A6" s="65"/>
      <c r="B6" s="65"/>
      <c r="C6" s="78"/>
      <c r="D6" s="66"/>
      <c r="E6" s="75" t="s">
        <v>391</v>
      </c>
      <c r="F6" s="76" t="s">
        <v>392</v>
      </c>
      <c r="G6" s="79"/>
      <c r="H6" s="77" t="s">
        <v>393</v>
      </c>
      <c r="I6" s="77" t="s">
        <v>394</v>
      </c>
    </row>
    <row r="7">
      <c r="A7" s="65"/>
      <c r="B7" s="65"/>
      <c r="C7" s="78"/>
      <c r="D7" s="66"/>
      <c r="E7" s="75" t="s">
        <v>395</v>
      </c>
      <c r="F7" s="76" t="s">
        <v>396</v>
      </c>
      <c r="G7" s="79"/>
      <c r="H7" s="77" t="s">
        <v>397</v>
      </c>
      <c r="I7" s="77" t="s">
        <v>398</v>
      </c>
    </row>
    <row r="8">
      <c r="A8" s="65"/>
      <c r="B8" s="65"/>
      <c r="C8" s="78"/>
      <c r="D8" s="66"/>
      <c r="E8" s="75" t="s">
        <v>399</v>
      </c>
      <c r="F8" s="76" t="s">
        <v>400</v>
      </c>
      <c r="G8" s="77" t="s">
        <v>401</v>
      </c>
      <c r="H8" s="77" t="s">
        <v>402</v>
      </c>
      <c r="I8" s="77" t="s">
        <v>403</v>
      </c>
    </row>
    <row r="9">
      <c r="A9" s="65"/>
      <c r="B9" s="65"/>
      <c r="C9" s="80"/>
      <c r="D9" s="81"/>
      <c r="E9" s="82"/>
      <c r="F9" s="83"/>
      <c r="G9" s="84"/>
      <c r="H9" s="84"/>
      <c r="I9" s="84"/>
    </row>
    <row r="10">
      <c r="A10" s="65"/>
      <c r="B10" s="65"/>
      <c r="C10" s="73">
        <v>2.0</v>
      </c>
      <c r="D10" s="74" t="s">
        <v>123</v>
      </c>
      <c r="E10" s="75" t="s">
        <v>404</v>
      </c>
      <c r="F10" s="65"/>
      <c r="G10" s="79"/>
      <c r="H10" s="77" t="s">
        <v>405</v>
      </c>
      <c r="I10" s="77" t="s">
        <v>406</v>
      </c>
    </row>
    <row r="11">
      <c r="A11" s="65"/>
      <c r="B11" s="65"/>
      <c r="C11" s="78"/>
      <c r="D11" s="66"/>
      <c r="E11" s="75" t="s">
        <v>407</v>
      </c>
      <c r="F11" s="65"/>
      <c r="G11" s="79"/>
      <c r="H11" s="77" t="s">
        <v>408</v>
      </c>
      <c r="I11" s="77" t="s">
        <v>409</v>
      </c>
    </row>
    <row r="12">
      <c r="A12" s="65"/>
      <c r="B12" s="65"/>
      <c r="C12" s="78"/>
      <c r="D12" s="66"/>
      <c r="E12" s="75" t="s">
        <v>410</v>
      </c>
      <c r="F12" s="65"/>
      <c r="G12" s="79"/>
      <c r="H12" s="77" t="s">
        <v>411</v>
      </c>
      <c r="I12" s="77" t="s">
        <v>412</v>
      </c>
    </row>
    <row r="13">
      <c r="A13" s="65"/>
      <c r="B13" s="65"/>
      <c r="C13" s="78"/>
      <c r="D13" s="66"/>
      <c r="E13" s="75" t="s">
        <v>413</v>
      </c>
      <c r="F13" s="65"/>
      <c r="G13" s="79"/>
      <c r="H13" s="77" t="s">
        <v>414</v>
      </c>
      <c r="I13" s="77" t="s">
        <v>415</v>
      </c>
    </row>
    <row r="14">
      <c r="A14" s="65"/>
      <c r="B14" s="65"/>
      <c r="C14" s="78"/>
      <c r="D14" s="66"/>
      <c r="E14" s="85" t="s">
        <v>416</v>
      </c>
      <c r="F14" s="86"/>
      <c r="G14" s="87"/>
      <c r="H14" s="77" t="s">
        <v>417</v>
      </c>
      <c r="I14" s="77" t="s">
        <v>418</v>
      </c>
    </row>
    <row r="15">
      <c r="A15" s="65"/>
      <c r="B15" s="65"/>
      <c r="C15" s="80"/>
      <c r="D15" s="81"/>
      <c r="E15" s="88"/>
      <c r="F15" s="83"/>
      <c r="G15" s="84"/>
      <c r="H15" s="84"/>
      <c r="I15" s="84"/>
    </row>
    <row r="16">
      <c r="A16" s="65"/>
      <c r="B16" s="65"/>
      <c r="C16" s="73">
        <v>3.0</v>
      </c>
      <c r="D16" s="74" t="s">
        <v>57</v>
      </c>
      <c r="E16" s="75" t="s">
        <v>404</v>
      </c>
      <c r="F16" s="65"/>
      <c r="G16" s="79"/>
      <c r="H16" s="77" t="s">
        <v>419</v>
      </c>
      <c r="I16" s="77" t="s">
        <v>420</v>
      </c>
    </row>
    <row r="17">
      <c r="A17" s="65"/>
      <c r="B17" s="65"/>
      <c r="C17" s="78"/>
      <c r="D17" s="66"/>
      <c r="E17" s="75" t="s">
        <v>407</v>
      </c>
      <c r="F17" s="65"/>
      <c r="G17" s="79"/>
      <c r="H17" s="77" t="s">
        <v>421</v>
      </c>
      <c r="I17" s="77" t="s">
        <v>422</v>
      </c>
    </row>
    <row r="18">
      <c r="A18" s="65"/>
      <c r="B18" s="65"/>
      <c r="C18" s="78"/>
      <c r="D18" s="66"/>
      <c r="E18" s="75" t="s">
        <v>410</v>
      </c>
      <c r="F18" s="65"/>
      <c r="G18" s="79"/>
      <c r="H18" s="77" t="s">
        <v>423</v>
      </c>
      <c r="I18" s="77" t="s">
        <v>424</v>
      </c>
    </row>
    <row r="19">
      <c r="A19" s="65"/>
      <c r="B19" s="65"/>
      <c r="C19" s="78"/>
      <c r="D19" s="66"/>
      <c r="E19" s="75" t="s">
        <v>413</v>
      </c>
      <c r="F19" s="65"/>
      <c r="G19" s="79"/>
      <c r="H19" s="77" t="s">
        <v>425</v>
      </c>
      <c r="I19" s="77" t="s">
        <v>426</v>
      </c>
    </row>
    <row r="20">
      <c r="A20" s="65"/>
      <c r="B20" s="65"/>
      <c r="C20" s="78"/>
      <c r="D20" s="66"/>
      <c r="E20" s="85" t="s">
        <v>416</v>
      </c>
      <c r="F20" s="86"/>
      <c r="G20" s="87"/>
      <c r="H20" s="77" t="s">
        <v>427</v>
      </c>
      <c r="I20" s="77" t="s">
        <v>428</v>
      </c>
    </row>
    <row r="21">
      <c r="A21" s="65"/>
      <c r="B21" s="65"/>
      <c r="C21" s="80"/>
      <c r="D21" s="81"/>
      <c r="E21" s="82"/>
      <c r="F21" s="83"/>
      <c r="G21" s="84"/>
      <c r="H21" s="84"/>
      <c r="I21" s="84"/>
    </row>
    <row r="22">
      <c r="A22" s="65"/>
      <c r="B22" s="65"/>
      <c r="C22" s="73">
        <v>4.0</v>
      </c>
      <c r="D22" s="74" t="s">
        <v>90</v>
      </c>
      <c r="E22" s="75" t="s">
        <v>404</v>
      </c>
      <c r="F22" s="65"/>
      <c r="G22" s="79"/>
      <c r="H22" s="77" t="s">
        <v>429</v>
      </c>
      <c r="I22" s="77" t="s">
        <v>430</v>
      </c>
    </row>
    <row r="23">
      <c r="A23" s="65"/>
      <c r="B23" s="65"/>
      <c r="C23" s="78"/>
      <c r="D23" s="66"/>
      <c r="E23" s="75" t="s">
        <v>407</v>
      </c>
      <c r="F23" s="65"/>
      <c r="G23" s="79"/>
      <c r="H23" s="77" t="s">
        <v>431</v>
      </c>
      <c r="I23" s="77" t="s">
        <v>432</v>
      </c>
    </row>
    <row r="24">
      <c r="A24" s="65"/>
      <c r="B24" s="65"/>
      <c r="C24" s="78"/>
      <c r="D24" s="66"/>
      <c r="E24" s="75" t="s">
        <v>410</v>
      </c>
      <c r="F24" s="65"/>
      <c r="G24" s="79"/>
      <c r="H24" s="77" t="s">
        <v>433</v>
      </c>
      <c r="I24" s="77" t="s">
        <v>434</v>
      </c>
    </row>
    <row r="25">
      <c r="A25" s="65"/>
      <c r="B25" s="65"/>
      <c r="C25" s="78"/>
      <c r="D25" s="66"/>
      <c r="E25" s="75" t="s">
        <v>413</v>
      </c>
      <c r="F25" s="65"/>
      <c r="G25" s="79"/>
      <c r="H25" s="77" t="s">
        <v>435</v>
      </c>
      <c r="I25" s="77" t="s">
        <v>436</v>
      </c>
    </row>
    <row r="26">
      <c r="A26" s="65"/>
      <c r="B26" s="65"/>
      <c r="C26" s="78"/>
      <c r="D26" s="66"/>
      <c r="E26" s="85" t="s">
        <v>416</v>
      </c>
      <c r="F26" s="86"/>
      <c r="G26" s="87"/>
      <c r="H26" s="77" t="s">
        <v>437</v>
      </c>
      <c r="I26" s="77" t="s">
        <v>438</v>
      </c>
    </row>
    <row r="27">
      <c r="A27" s="65"/>
      <c r="B27" s="65"/>
      <c r="C27" s="78"/>
      <c r="D27" s="66"/>
      <c r="E27" s="89"/>
      <c r="F27" s="65"/>
      <c r="G27" s="79"/>
      <c r="H27" s="79"/>
      <c r="I27" s="79"/>
    </row>
    <row r="28">
      <c r="A28" s="65"/>
      <c r="B28" s="65"/>
      <c r="C28" s="90">
        <v>5.0</v>
      </c>
      <c r="D28" s="91" t="s">
        <v>134</v>
      </c>
      <c r="E28" s="92" t="s">
        <v>439</v>
      </c>
      <c r="F28" s="93"/>
      <c r="G28" s="94"/>
      <c r="H28" s="95" t="s">
        <v>440</v>
      </c>
      <c r="I28" s="95" t="s">
        <v>441</v>
      </c>
    </row>
    <row r="29">
      <c r="A29" s="65"/>
      <c r="B29" s="65"/>
      <c r="C29" s="78"/>
      <c r="D29" s="66"/>
      <c r="E29" s="75" t="s">
        <v>442</v>
      </c>
      <c r="F29" s="65"/>
      <c r="G29" s="79"/>
      <c r="H29" s="77" t="s">
        <v>443</v>
      </c>
      <c r="I29" s="77" t="s">
        <v>444</v>
      </c>
    </row>
    <row r="30">
      <c r="A30" s="65"/>
      <c r="B30" s="65"/>
      <c r="C30" s="78"/>
      <c r="D30" s="66"/>
      <c r="E30" s="75" t="s">
        <v>445</v>
      </c>
      <c r="F30" s="65"/>
      <c r="G30" s="79"/>
      <c r="H30" s="77" t="s">
        <v>446</v>
      </c>
      <c r="I30" s="77" t="s">
        <v>447</v>
      </c>
    </row>
    <row r="31">
      <c r="A31" s="65"/>
      <c r="B31" s="65"/>
      <c r="C31" s="78"/>
      <c r="D31" s="66"/>
      <c r="E31" s="75" t="s">
        <v>448</v>
      </c>
      <c r="F31" s="65"/>
      <c r="G31" s="79"/>
      <c r="H31" s="77" t="s">
        <v>449</v>
      </c>
      <c r="I31" s="77" t="s">
        <v>450</v>
      </c>
    </row>
    <row r="32">
      <c r="A32" s="65"/>
      <c r="B32" s="65"/>
      <c r="C32" s="78"/>
      <c r="D32" s="66"/>
      <c r="E32" s="75" t="s">
        <v>451</v>
      </c>
      <c r="F32" s="65"/>
      <c r="G32" s="79"/>
      <c r="H32" s="77" t="s">
        <v>452</v>
      </c>
      <c r="I32" s="77" t="s">
        <v>453</v>
      </c>
    </row>
    <row r="33">
      <c r="A33" s="65"/>
      <c r="B33" s="65"/>
      <c r="C33" s="80"/>
      <c r="D33" s="81"/>
      <c r="E33" s="82"/>
      <c r="F33" s="83"/>
      <c r="G33" s="84"/>
      <c r="H33" s="84"/>
      <c r="I33" s="84"/>
    </row>
    <row r="34">
      <c r="A34" s="65"/>
      <c r="B34" s="65"/>
      <c r="C34" s="73">
        <v>6.0</v>
      </c>
      <c r="D34" s="74" t="s">
        <v>79</v>
      </c>
      <c r="E34" s="75" t="s">
        <v>454</v>
      </c>
      <c r="F34" s="65"/>
      <c r="G34" s="79"/>
      <c r="H34" s="77" t="s">
        <v>455</v>
      </c>
      <c r="I34" s="77" t="s">
        <v>456</v>
      </c>
    </row>
    <row r="35">
      <c r="A35" s="65"/>
      <c r="B35" s="65"/>
      <c r="C35" s="78"/>
      <c r="D35" s="66"/>
      <c r="E35" s="75" t="s">
        <v>457</v>
      </c>
      <c r="F35" s="65"/>
      <c r="G35" s="79"/>
      <c r="H35" s="77" t="s">
        <v>458</v>
      </c>
      <c r="I35" s="77" t="s">
        <v>459</v>
      </c>
    </row>
    <row r="36">
      <c r="A36" s="65"/>
      <c r="B36" s="65"/>
      <c r="C36" s="78"/>
      <c r="D36" s="66"/>
      <c r="E36" s="75" t="s">
        <v>460</v>
      </c>
      <c r="F36" s="65"/>
      <c r="G36" s="79"/>
      <c r="H36" s="77" t="s">
        <v>461</v>
      </c>
      <c r="I36" s="77" t="s">
        <v>462</v>
      </c>
    </row>
    <row r="37">
      <c r="A37" s="65"/>
      <c r="B37" s="65"/>
      <c r="C37" s="78"/>
      <c r="D37" s="66"/>
      <c r="E37" s="75" t="s">
        <v>463</v>
      </c>
      <c r="F37" s="65"/>
      <c r="G37" s="79"/>
      <c r="H37" s="77" t="s">
        <v>464</v>
      </c>
      <c r="I37" s="77" t="s">
        <v>465</v>
      </c>
    </row>
    <row r="38">
      <c r="A38" s="65"/>
      <c r="B38" s="65"/>
      <c r="C38" s="78"/>
      <c r="D38" s="66"/>
      <c r="E38" s="75" t="s">
        <v>466</v>
      </c>
      <c r="F38" s="65"/>
      <c r="G38" s="79"/>
      <c r="H38" s="77" t="s">
        <v>467</v>
      </c>
      <c r="I38" s="77" t="s">
        <v>468</v>
      </c>
    </row>
    <row r="39">
      <c r="A39" s="65"/>
      <c r="B39" s="65"/>
      <c r="C39" s="78"/>
      <c r="D39" s="66"/>
      <c r="E39" s="96"/>
      <c r="F39" s="65"/>
      <c r="G39" s="79"/>
      <c r="H39" s="79"/>
      <c r="I39" s="79"/>
    </row>
    <row r="40">
      <c r="A40" s="65"/>
      <c r="B40" s="65"/>
      <c r="C40" s="90">
        <v>7.0</v>
      </c>
      <c r="D40" s="91" t="s">
        <v>101</v>
      </c>
      <c r="E40" s="92" t="s">
        <v>469</v>
      </c>
      <c r="F40" s="93"/>
      <c r="G40" s="94"/>
      <c r="H40" s="95" t="s">
        <v>470</v>
      </c>
      <c r="I40" s="95" t="s">
        <v>471</v>
      </c>
    </row>
    <row r="41">
      <c r="A41" s="65"/>
      <c r="B41" s="65"/>
      <c r="C41" s="78"/>
      <c r="D41" s="66"/>
      <c r="E41" s="75" t="s">
        <v>472</v>
      </c>
      <c r="F41" s="65"/>
      <c r="G41" s="79"/>
      <c r="H41" s="77" t="s">
        <v>473</v>
      </c>
      <c r="I41" s="77" t="s">
        <v>474</v>
      </c>
    </row>
    <row r="42">
      <c r="A42" s="65"/>
      <c r="B42" s="65"/>
      <c r="C42" s="78"/>
      <c r="D42" s="66"/>
      <c r="E42" s="75" t="s">
        <v>475</v>
      </c>
      <c r="F42" s="65"/>
      <c r="G42" s="79"/>
      <c r="H42" s="77" t="s">
        <v>476</v>
      </c>
      <c r="I42" s="77" t="s">
        <v>477</v>
      </c>
    </row>
    <row r="43">
      <c r="A43" s="65"/>
      <c r="B43" s="65"/>
      <c r="C43" s="78"/>
      <c r="D43" s="66"/>
      <c r="E43" s="75" t="s">
        <v>478</v>
      </c>
      <c r="F43" s="65"/>
      <c r="G43" s="79"/>
      <c r="H43" s="77" t="s">
        <v>479</v>
      </c>
      <c r="I43" s="77" t="s">
        <v>480</v>
      </c>
    </row>
    <row r="44">
      <c r="A44" s="65"/>
      <c r="B44" s="65"/>
      <c r="C44" s="78"/>
      <c r="D44" s="66"/>
      <c r="E44" s="75" t="s">
        <v>481</v>
      </c>
      <c r="F44" s="65"/>
      <c r="G44" s="79"/>
      <c r="H44" s="77" t="s">
        <v>482</v>
      </c>
      <c r="I44" s="77" t="s">
        <v>483</v>
      </c>
    </row>
    <row r="45">
      <c r="A45" s="65"/>
      <c r="B45" s="65"/>
      <c r="C45" s="80"/>
      <c r="D45" s="81"/>
      <c r="E45" s="82"/>
      <c r="F45" s="83"/>
      <c r="G45" s="84"/>
      <c r="H45" s="84"/>
      <c r="I45" s="84"/>
    </row>
    <row r="46">
      <c r="A46" s="65"/>
      <c r="B46" s="65"/>
      <c r="C46" s="73">
        <v>8.0</v>
      </c>
      <c r="D46" s="74" t="s">
        <v>68</v>
      </c>
      <c r="E46" s="75" t="s">
        <v>484</v>
      </c>
      <c r="F46" s="65"/>
      <c r="G46" s="79"/>
      <c r="H46" s="77" t="s">
        <v>485</v>
      </c>
      <c r="I46" s="97">
        <v>10.0</v>
      </c>
    </row>
    <row r="47">
      <c r="A47" s="65"/>
      <c r="B47" s="65"/>
      <c r="C47" s="78"/>
      <c r="D47" s="66"/>
      <c r="E47" s="75" t="s">
        <v>486</v>
      </c>
      <c r="F47" s="65"/>
      <c r="G47" s="79"/>
      <c r="H47" s="77" t="s">
        <v>487</v>
      </c>
      <c r="I47" s="97">
        <v>11.0</v>
      </c>
    </row>
    <row r="48">
      <c r="A48" s="65"/>
      <c r="B48" s="65"/>
      <c r="C48" s="78"/>
      <c r="D48" s="66"/>
      <c r="E48" s="75" t="s">
        <v>488</v>
      </c>
      <c r="F48" s="65"/>
      <c r="G48" s="79"/>
      <c r="H48" s="77" t="s">
        <v>489</v>
      </c>
      <c r="I48" s="97">
        <v>15.0</v>
      </c>
    </row>
    <row r="49">
      <c r="A49" s="65"/>
      <c r="B49" s="65"/>
      <c r="C49" s="78"/>
      <c r="D49" s="66"/>
      <c r="E49" s="75" t="s">
        <v>490</v>
      </c>
      <c r="F49" s="65"/>
      <c r="G49" s="79"/>
      <c r="H49" s="77" t="s">
        <v>491</v>
      </c>
      <c r="I49" s="97">
        <v>9.0</v>
      </c>
    </row>
    <row r="50">
      <c r="A50" s="65"/>
      <c r="B50" s="65"/>
      <c r="C50" s="78"/>
      <c r="D50" s="66"/>
      <c r="E50" s="75" t="s">
        <v>492</v>
      </c>
      <c r="F50" s="65"/>
      <c r="G50" s="79"/>
      <c r="H50" s="77" t="s">
        <v>493</v>
      </c>
      <c r="I50" s="97">
        <v>13.0</v>
      </c>
    </row>
    <row r="51">
      <c r="A51" s="65"/>
      <c r="B51" s="65"/>
      <c r="C51" s="78"/>
      <c r="D51" s="66"/>
      <c r="E51" s="89"/>
      <c r="F51" s="65"/>
      <c r="G51" s="79"/>
      <c r="H51" s="79"/>
      <c r="I51" s="79"/>
    </row>
    <row r="52">
      <c r="A52" s="65"/>
      <c r="B52" s="65"/>
      <c r="C52" s="90">
        <v>9.0</v>
      </c>
      <c r="D52" s="91" t="s">
        <v>6</v>
      </c>
      <c r="E52" s="98" t="s">
        <v>494</v>
      </c>
      <c r="F52" s="93"/>
      <c r="G52" s="94"/>
      <c r="H52" s="95" t="s">
        <v>495</v>
      </c>
      <c r="I52" s="95" t="s">
        <v>496</v>
      </c>
    </row>
    <row r="53">
      <c r="A53" s="65"/>
      <c r="B53" s="65"/>
      <c r="C53" s="78"/>
      <c r="D53" s="66"/>
      <c r="E53" s="99" t="s">
        <v>497</v>
      </c>
      <c r="F53" s="65"/>
      <c r="G53" s="79"/>
      <c r="H53" s="77" t="s">
        <v>498</v>
      </c>
      <c r="I53" s="77" t="s">
        <v>499</v>
      </c>
    </row>
    <row r="54">
      <c r="A54" s="65"/>
      <c r="B54" s="65"/>
      <c r="C54" s="78"/>
      <c r="D54" s="66"/>
      <c r="E54" s="99" t="s">
        <v>500</v>
      </c>
      <c r="F54" s="65"/>
      <c r="G54" s="79"/>
      <c r="H54" s="77" t="s">
        <v>501</v>
      </c>
      <c r="I54" s="77" t="s">
        <v>502</v>
      </c>
    </row>
    <row r="55">
      <c r="A55" s="65"/>
      <c r="B55" s="65"/>
      <c r="C55" s="78"/>
      <c r="D55" s="66"/>
      <c r="E55" s="99" t="s">
        <v>503</v>
      </c>
      <c r="F55" s="65"/>
      <c r="G55" s="79"/>
      <c r="H55" s="77" t="s">
        <v>504</v>
      </c>
      <c r="I55" s="77" t="s">
        <v>505</v>
      </c>
    </row>
    <row r="56">
      <c r="A56" s="65"/>
      <c r="B56" s="65"/>
      <c r="C56" s="78"/>
      <c r="D56" s="66"/>
      <c r="E56" s="99" t="s">
        <v>506</v>
      </c>
      <c r="F56" s="65"/>
      <c r="G56" s="79"/>
      <c r="H56" s="77" t="s">
        <v>507</v>
      </c>
      <c r="I56" s="77" t="s">
        <v>508</v>
      </c>
    </row>
    <row r="57">
      <c r="A57" s="65"/>
      <c r="B57" s="65"/>
      <c r="C57" s="80"/>
      <c r="D57" s="81"/>
      <c r="E57" s="82"/>
      <c r="F57" s="83"/>
      <c r="G57" s="84"/>
      <c r="H57" s="84"/>
      <c r="I57" s="84"/>
    </row>
    <row r="58">
      <c r="A58" s="65"/>
      <c r="B58" s="65"/>
      <c r="C58" s="73">
        <v>10.0</v>
      </c>
      <c r="D58" s="74" t="s">
        <v>33</v>
      </c>
      <c r="E58" s="75" t="s">
        <v>509</v>
      </c>
      <c r="F58" s="65"/>
      <c r="G58" s="79"/>
      <c r="H58" s="77" t="s">
        <v>510</v>
      </c>
      <c r="I58" s="97">
        <v>12.0</v>
      </c>
    </row>
    <row r="59">
      <c r="A59" s="65"/>
      <c r="B59" s="65"/>
      <c r="C59" s="78"/>
      <c r="D59" s="66"/>
      <c r="E59" s="75" t="s">
        <v>511</v>
      </c>
      <c r="F59" s="65"/>
      <c r="G59" s="79"/>
      <c r="H59" s="77" t="s">
        <v>512</v>
      </c>
      <c r="I59" s="97">
        <v>3.0</v>
      </c>
    </row>
    <row r="60">
      <c r="A60" s="65"/>
      <c r="B60" s="65"/>
      <c r="C60" s="78"/>
      <c r="D60" s="66"/>
      <c r="E60" s="75" t="s">
        <v>513</v>
      </c>
      <c r="F60" s="65"/>
      <c r="G60" s="79"/>
      <c r="H60" s="77" t="s">
        <v>514</v>
      </c>
      <c r="I60" s="97">
        <v>7.0</v>
      </c>
    </row>
    <row r="61">
      <c r="A61" s="65"/>
      <c r="B61" s="65"/>
      <c r="C61" s="78"/>
      <c r="D61" s="66"/>
      <c r="E61" s="75" t="s">
        <v>515</v>
      </c>
      <c r="F61" s="65"/>
      <c r="G61" s="79"/>
      <c r="H61" s="77" t="s">
        <v>516</v>
      </c>
      <c r="I61" s="97">
        <v>13.0</v>
      </c>
    </row>
    <row r="62">
      <c r="A62" s="65"/>
      <c r="B62" s="65"/>
      <c r="C62" s="78"/>
      <c r="D62" s="66"/>
      <c r="E62" s="75" t="s">
        <v>517</v>
      </c>
      <c r="F62" s="65"/>
      <c r="G62" s="79"/>
      <c r="H62" s="77" t="s">
        <v>518</v>
      </c>
      <c r="I62" s="97">
        <v>8.0</v>
      </c>
    </row>
    <row r="63">
      <c r="A63" s="65"/>
      <c r="B63" s="65"/>
      <c r="C63" s="78"/>
      <c r="D63" s="66"/>
      <c r="E63" s="89"/>
      <c r="F63" s="65"/>
      <c r="G63" s="79"/>
      <c r="H63" s="79"/>
      <c r="I63" s="79"/>
    </row>
    <row r="64">
      <c r="A64" s="65"/>
      <c r="B64" s="65"/>
      <c r="C64" s="90">
        <v>11.0</v>
      </c>
      <c r="D64" s="91" t="s">
        <v>44</v>
      </c>
      <c r="E64" s="92" t="s">
        <v>519</v>
      </c>
      <c r="F64" s="93"/>
      <c r="G64" s="94"/>
      <c r="H64" s="95" t="s">
        <v>520</v>
      </c>
      <c r="I64" s="100" t="b">
        <v>1</v>
      </c>
    </row>
    <row r="65">
      <c r="A65" s="65"/>
      <c r="B65" s="65"/>
      <c r="C65" s="78"/>
      <c r="D65" s="66"/>
      <c r="E65" s="75" t="s">
        <v>521</v>
      </c>
      <c r="F65" s="65"/>
      <c r="G65" s="79"/>
      <c r="H65" s="77" t="s">
        <v>522</v>
      </c>
      <c r="I65" s="101" t="b">
        <v>0</v>
      </c>
    </row>
    <row r="66">
      <c r="A66" s="65"/>
      <c r="B66" s="65"/>
      <c r="C66" s="78"/>
      <c r="D66" s="66"/>
      <c r="E66" s="75" t="s">
        <v>523</v>
      </c>
      <c r="F66" s="65"/>
      <c r="G66" s="79"/>
      <c r="H66" s="77" t="s">
        <v>524</v>
      </c>
      <c r="I66" s="101" t="b">
        <v>1</v>
      </c>
    </row>
    <row r="67">
      <c r="A67" s="65"/>
      <c r="B67" s="65"/>
      <c r="C67" s="78"/>
      <c r="D67" s="66"/>
      <c r="E67" s="75" t="s">
        <v>525</v>
      </c>
      <c r="F67" s="65"/>
      <c r="G67" s="79"/>
      <c r="H67" s="77" t="s">
        <v>526</v>
      </c>
      <c r="I67" s="101" t="b">
        <v>0</v>
      </c>
    </row>
    <row r="68">
      <c r="A68" s="65"/>
      <c r="B68" s="65"/>
      <c r="C68" s="78"/>
      <c r="D68" s="66"/>
      <c r="E68" s="75" t="s">
        <v>527</v>
      </c>
      <c r="F68" s="65"/>
      <c r="G68" s="79"/>
      <c r="H68" s="77" t="s">
        <v>528</v>
      </c>
      <c r="I68" s="101" t="b">
        <v>1</v>
      </c>
    </row>
    <row r="69">
      <c r="A69" s="65"/>
      <c r="B69" s="65"/>
      <c r="C69" s="80"/>
      <c r="D69" s="81"/>
      <c r="E69" s="82"/>
      <c r="F69" s="83"/>
      <c r="G69" s="84"/>
      <c r="H69" s="84"/>
      <c r="I69" s="84"/>
    </row>
    <row r="70">
      <c r="A70" s="65"/>
      <c r="B70" s="65"/>
      <c r="C70" s="73">
        <v>12.0</v>
      </c>
      <c r="D70" s="74" t="s">
        <v>112</v>
      </c>
      <c r="E70" s="75" t="s">
        <v>529</v>
      </c>
      <c r="F70" s="76" t="s">
        <v>530</v>
      </c>
      <c r="G70" s="79"/>
      <c r="H70" s="77" t="s">
        <v>531</v>
      </c>
      <c r="I70" s="77" t="s">
        <v>532</v>
      </c>
    </row>
    <row r="71">
      <c r="A71" s="65"/>
      <c r="B71" s="65"/>
      <c r="C71" s="78"/>
      <c r="D71" s="66"/>
      <c r="E71" s="75" t="s">
        <v>533</v>
      </c>
      <c r="F71" s="76" t="s">
        <v>534</v>
      </c>
      <c r="G71" s="79"/>
      <c r="H71" s="77" t="s">
        <v>535</v>
      </c>
      <c r="I71" s="77" t="s">
        <v>536</v>
      </c>
    </row>
    <row r="72">
      <c r="A72" s="65"/>
      <c r="B72" s="65"/>
      <c r="C72" s="78"/>
      <c r="D72" s="66"/>
      <c r="E72" s="75" t="s">
        <v>537</v>
      </c>
      <c r="F72" s="76" t="s">
        <v>538</v>
      </c>
      <c r="G72" s="79"/>
      <c r="H72" s="77" t="s">
        <v>539</v>
      </c>
      <c r="I72" s="77" t="s">
        <v>540</v>
      </c>
    </row>
    <row r="73">
      <c r="A73" s="65"/>
      <c r="B73" s="65"/>
      <c r="C73" s="78"/>
      <c r="D73" s="66"/>
      <c r="E73" s="75" t="s">
        <v>541</v>
      </c>
      <c r="F73" s="76" t="s">
        <v>542</v>
      </c>
      <c r="G73" s="79"/>
      <c r="H73" s="77" t="s">
        <v>543</v>
      </c>
      <c r="I73" s="77" t="s">
        <v>544</v>
      </c>
    </row>
    <row r="74">
      <c r="A74" s="65"/>
      <c r="B74" s="65"/>
      <c r="C74" s="78"/>
      <c r="D74" s="66"/>
      <c r="E74" s="75" t="s">
        <v>545</v>
      </c>
      <c r="F74" s="76" t="s">
        <v>546</v>
      </c>
      <c r="G74" s="79"/>
      <c r="H74" s="77" t="s">
        <v>547</v>
      </c>
      <c r="I74" s="77" t="s">
        <v>548</v>
      </c>
    </row>
    <row r="75">
      <c r="A75" s="65"/>
      <c r="B75" s="65"/>
      <c r="C75" s="80"/>
      <c r="D75" s="81"/>
      <c r="E75" s="82"/>
      <c r="F75" s="83"/>
      <c r="G75" s="84"/>
      <c r="H75" s="84"/>
      <c r="I75" s="84"/>
    </row>
  </sheetData>
  <mergeCells count="1">
    <mergeCell ref="E3:G3"/>
  </mergeCells>
  <hyperlinks>
    <hyperlink r:id="rId1" ref="C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5" max="5" width="49.25"/>
    <col customWidth="1" min="6" max="6" width="14.63"/>
  </cols>
  <sheetData>
    <row r="1">
      <c r="A1" s="102" t="s">
        <v>549</v>
      </c>
      <c r="B1" s="103" t="s">
        <v>2</v>
      </c>
      <c r="C1" s="103" t="s">
        <v>233</v>
      </c>
      <c r="D1" s="104"/>
      <c r="E1" s="103" t="s">
        <v>4</v>
      </c>
      <c r="F1" s="103" t="s">
        <v>5</v>
      </c>
    </row>
    <row r="2">
      <c r="A2" s="105">
        <v>1.0</v>
      </c>
      <c r="B2" s="106" t="s">
        <v>235</v>
      </c>
      <c r="C2" s="107" t="s">
        <v>550</v>
      </c>
      <c r="D2" s="107" t="s">
        <v>551</v>
      </c>
      <c r="E2" s="107" t="s">
        <v>552</v>
      </c>
      <c r="F2" s="108" t="s">
        <v>553</v>
      </c>
    </row>
    <row r="3">
      <c r="A3" s="109"/>
      <c r="B3" s="110"/>
      <c r="C3" s="107" t="s">
        <v>554</v>
      </c>
      <c r="D3" s="107" t="s">
        <v>555</v>
      </c>
      <c r="E3" s="107" t="s">
        <v>556</v>
      </c>
      <c r="F3" s="108" t="s">
        <v>557</v>
      </c>
    </row>
    <row r="4">
      <c r="A4" s="109"/>
      <c r="B4" s="110"/>
      <c r="C4" s="107" t="s">
        <v>558</v>
      </c>
      <c r="D4" s="107" t="s">
        <v>559</v>
      </c>
      <c r="E4" s="107" t="s">
        <v>560</v>
      </c>
      <c r="F4" s="108" t="s">
        <v>561</v>
      </c>
    </row>
    <row r="5">
      <c r="A5" s="109"/>
      <c r="B5" s="110"/>
      <c r="C5" s="107" t="s">
        <v>562</v>
      </c>
      <c r="D5" s="107" t="s">
        <v>563</v>
      </c>
      <c r="E5" s="107" t="s">
        <v>564</v>
      </c>
      <c r="F5" s="108" t="s">
        <v>565</v>
      </c>
    </row>
    <row r="6">
      <c r="A6" s="109"/>
      <c r="B6" s="110"/>
      <c r="C6" s="111">
        <v>1047.0</v>
      </c>
      <c r="D6" s="107" t="s">
        <v>566</v>
      </c>
      <c r="E6" s="107" t="s">
        <v>567</v>
      </c>
      <c r="F6" s="108" t="s">
        <v>568</v>
      </c>
    </row>
    <row r="7">
      <c r="A7" s="109"/>
      <c r="B7" s="110"/>
      <c r="C7" s="109"/>
      <c r="D7" s="109"/>
      <c r="E7" s="109"/>
      <c r="F7" s="112"/>
    </row>
    <row r="8">
      <c r="A8" s="105">
        <v>2.0</v>
      </c>
      <c r="B8" s="106" t="s">
        <v>279</v>
      </c>
      <c r="C8" s="107" t="s">
        <v>569</v>
      </c>
      <c r="D8" s="109"/>
      <c r="E8" s="107" t="s">
        <v>570</v>
      </c>
      <c r="F8" s="108" t="s">
        <v>571</v>
      </c>
    </row>
    <row r="9">
      <c r="A9" s="109"/>
      <c r="B9" s="110"/>
      <c r="C9" s="107" t="s">
        <v>572</v>
      </c>
      <c r="D9" s="109"/>
      <c r="E9" s="107" t="s">
        <v>573</v>
      </c>
      <c r="F9" s="108" t="s">
        <v>574</v>
      </c>
    </row>
    <row r="10">
      <c r="A10" s="109"/>
      <c r="B10" s="110"/>
      <c r="C10" s="107" t="s">
        <v>575</v>
      </c>
      <c r="D10" s="109"/>
      <c r="E10" s="107" t="s">
        <v>576</v>
      </c>
      <c r="F10" s="108" t="s">
        <v>577</v>
      </c>
    </row>
    <row r="11">
      <c r="A11" s="109"/>
      <c r="B11" s="110"/>
      <c r="C11" s="107" t="s">
        <v>2</v>
      </c>
      <c r="D11" s="109"/>
      <c r="E11" s="107" t="s">
        <v>578</v>
      </c>
      <c r="F11" s="108" t="s">
        <v>579</v>
      </c>
    </row>
    <row r="12">
      <c r="A12" s="109"/>
      <c r="B12" s="110"/>
      <c r="C12" s="107" t="s">
        <v>580</v>
      </c>
      <c r="D12" s="109"/>
      <c r="E12" s="107" t="s">
        <v>581</v>
      </c>
      <c r="F12" s="108" t="s">
        <v>582</v>
      </c>
    </row>
    <row r="13">
      <c r="A13" s="109"/>
      <c r="B13" s="110"/>
      <c r="C13" s="109"/>
      <c r="D13" s="109"/>
      <c r="E13" s="109"/>
      <c r="F13" s="112"/>
    </row>
    <row r="14">
      <c r="A14" s="105">
        <v>3.0</v>
      </c>
      <c r="B14" s="106" t="s">
        <v>285</v>
      </c>
      <c r="C14" s="113" t="s">
        <v>583</v>
      </c>
      <c r="D14" s="109"/>
      <c r="E14" s="107" t="s">
        <v>584</v>
      </c>
      <c r="F14" s="108" t="s">
        <v>585</v>
      </c>
    </row>
    <row r="15">
      <c r="A15" s="109"/>
      <c r="B15" s="110"/>
      <c r="C15" s="107" t="s">
        <v>586</v>
      </c>
      <c r="D15" s="109"/>
      <c r="E15" s="107" t="s">
        <v>587</v>
      </c>
      <c r="F15" s="108" t="s">
        <v>588</v>
      </c>
    </row>
    <row r="16">
      <c r="A16" s="109"/>
      <c r="B16" s="110"/>
      <c r="C16" s="107" t="s">
        <v>589</v>
      </c>
      <c r="D16" s="109"/>
      <c r="E16" s="107" t="s">
        <v>590</v>
      </c>
      <c r="F16" s="108" t="s">
        <v>591</v>
      </c>
    </row>
    <row r="17">
      <c r="A17" s="109"/>
      <c r="B17" s="110"/>
      <c r="C17" s="107" t="s">
        <v>592</v>
      </c>
      <c r="D17" s="109"/>
      <c r="E17" s="107" t="s">
        <v>593</v>
      </c>
      <c r="F17" s="108" t="s">
        <v>594</v>
      </c>
    </row>
    <row r="18">
      <c r="A18" s="109"/>
      <c r="B18" s="110"/>
      <c r="C18" s="107" t="s">
        <v>595</v>
      </c>
      <c r="D18" s="109"/>
      <c r="E18" s="107" t="s">
        <v>596</v>
      </c>
      <c r="F18" s="108" t="s">
        <v>597</v>
      </c>
    </row>
    <row r="19">
      <c r="A19" s="109"/>
      <c r="B19" s="110"/>
      <c r="C19" s="109"/>
      <c r="D19" s="109"/>
      <c r="E19" s="109"/>
      <c r="F19" s="112"/>
    </row>
    <row r="20">
      <c r="A20" s="105">
        <v>4.0</v>
      </c>
      <c r="B20" s="106" t="s">
        <v>261</v>
      </c>
      <c r="C20" s="107" t="s">
        <v>598</v>
      </c>
      <c r="D20" s="107" t="s">
        <v>599</v>
      </c>
      <c r="E20" s="107" t="s">
        <v>600</v>
      </c>
      <c r="F20" s="114" t="b">
        <v>0</v>
      </c>
    </row>
    <row r="21">
      <c r="A21" s="109"/>
      <c r="B21" s="110"/>
      <c r="C21" s="107" t="s">
        <v>206</v>
      </c>
      <c r="D21" s="107" t="s">
        <v>601</v>
      </c>
      <c r="E21" s="107" t="s">
        <v>602</v>
      </c>
      <c r="F21" s="114" t="b">
        <v>0</v>
      </c>
    </row>
    <row r="22">
      <c r="A22" s="109"/>
      <c r="B22" s="110"/>
      <c r="C22" s="107" t="s">
        <v>603</v>
      </c>
      <c r="D22" s="107" t="s">
        <v>603</v>
      </c>
      <c r="E22" s="107" t="s">
        <v>604</v>
      </c>
      <c r="F22" s="114" t="b">
        <v>1</v>
      </c>
    </row>
    <row r="23">
      <c r="A23" s="109"/>
      <c r="B23" s="110"/>
      <c r="C23" s="107" t="s">
        <v>605</v>
      </c>
      <c r="D23" s="107" t="s">
        <v>605</v>
      </c>
      <c r="E23" s="107" t="s">
        <v>606</v>
      </c>
      <c r="F23" s="114" t="b">
        <v>1</v>
      </c>
    </row>
    <row r="24">
      <c r="A24" s="109"/>
      <c r="B24" s="110"/>
      <c r="C24" s="107" t="s">
        <v>238</v>
      </c>
      <c r="D24" s="107" t="s">
        <v>607</v>
      </c>
      <c r="E24" s="107" t="s">
        <v>608</v>
      </c>
      <c r="F24" s="114" t="b">
        <v>0</v>
      </c>
    </row>
    <row r="25">
      <c r="A25" s="109"/>
      <c r="B25" s="110"/>
      <c r="C25" s="109"/>
      <c r="D25" s="109"/>
      <c r="E25" s="109"/>
      <c r="F25" s="112"/>
    </row>
    <row r="26">
      <c r="A26" s="105">
        <v>5.0</v>
      </c>
      <c r="B26" s="106" t="s">
        <v>300</v>
      </c>
      <c r="C26" s="107" t="s">
        <v>609</v>
      </c>
      <c r="D26" s="109"/>
      <c r="E26" s="107" t="s">
        <v>610</v>
      </c>
      <c r="F26" s="108" t="s">
        <v>611</v>
      </c>
    </row>
    <row r="27">
      <c r="A27" s="115"/>
      <c r="B27" s="116"/>
      <c r="C27" s="113" t="s">
        <v>612</v>
      </c>
      <c r="D27" s="109"/>
      <c r="E27" s="107" t="s">
        <v>613</v>
      </c>
      <c r="F27" s="108" t="s">
        <v>614</v>
      </c>
    </row>
    <row r="28">
      <c r="A28" s="109"/>
      <c r="B28" s="110"/>
      <c r="C28" s="107" t="s">
        <v>615</v>
      </c>
      <c r="D28" s="109"/>
      <c r="E28" s="107" t="s">
        <v>616</v>
      </c>
      <c r="F28" s="108" t="s">
        <v>617</v>
      </c>
    </row>
    <row r="29">
      <c r="A29" s="109"/>
      <c r="B29" s="110"/>
      <c r="C29" s="107" t="s">
        <v>618</v>
      </c>
      <c r="D29" s="109"/>
      <c r="E29" s="107" t="s">
        <v>619</v>
      </c>
      <c r="F29" s="108" t="s">
        <v>620</v>
      </c>
    </row>
    <row r="30">
      <c r="A30" s="109"/>
      <c r="B30" s="110"/>
      <c r="C30" s="107" t="s">
        <v>621</v>
      </c>
      <c r="D30" s="109"/>
      <c r="E30" s="107" t="s">
        <v>622</v>
      </c>
      <c r="F30" s="108" t="s">
        <v>623</v>
      </c>
    </row>
    <row r="31">
      <c r="A31" s="109"/>
      <c r="B31" s="110"/>
      <c r="C31" s="115"/>
      <c r="D31" s="109"/>
      <c r="E31" s="115"/>
      <c r="F31" s="117"/>
    </row>
    <row r="32">
      <c r="A32" s="105">
        <v>6.0</v>
      </c>
      <c r="B32" s="106" t="s">
        <v>250</v>
      </c>
      <c r="C32" s="107" t="s">
        <v>624</v>
      </c>
      <c r="D32" s="109"/>
      <c r="E32" s="107" t="s">
        <v>625</v>
      </c>
      <c r="F32" s="108" t="s">
        <v>624</v>
      </c>
    </row>
    <row r="33">
      <c r="A33" s="115"/>
      <c r="B33" s="116"/>
      <c r="C33" s="107" t="s">
        <v>626</v>
      </c>
      <c r="D33" s="109"/>
      <c r="E33" s="107" t="s">
        <v>627</v>
      </c>
      <c r="F33" s="108" t="s">
        <v>626</v>
      </c>
    </row>
    <row r="34">
      <c r="A34" s="109"/>
      <c r="B34" s="110"/>
      <c r="C34" s="107" t="s">
        <v>628</v>
      </c>
      <c r="D34" s="109"/>
      <c r="E34" s="107" t="s">
        <v>629</v>
      </c>
      <c r="F34" s="108" t="s">
        <v>628</v>
      </c>
    </row>
    <row r="35">
      <c r="A35" s="109"/>
      <c r="B35" s="110"/>
      <c r="C35" s="107" t="s">
        <v>630</v>
      </c>
      <c r="D35" s="109"/>
      <c r="E35" s="107" t="s">
        <v>631</v>
      </c>
      <c r="F35" s="108" t="s">
        <v>630</v>
      </c>
    </row>
    <row r="36">
      <c r="A36" s="109"/>
      <c r="B36" s="110"/>
      <c r="C36" s="107" t="s">
        <v>632</v>
      </c>
      <c r="D36" s="109"/>
      <c r="E36" s="107" t="s">
        <v>633</v>
      </c>
      <c r="F36" s="108" t="s">
        <v>632</v>
      </c>
    </row>
    <row r="37">
      <c r="A37" s="109"/>
      <c r="B37" s="110"/>
      <c r="C37" s="115"/>
      <c r="D37" s="109"/>
      <c r="E37" s="115"/>
      <c r="F37" s="117"/>
    </row>
    <row r="38">
      <c r="A38" s="105">
        <v>7.0</v>
      </c>
      <c r="B38" s="106" t="s">
        <v>68</v>
      </c>
      <c r="C38" s="107" t="s">
        <v>634</v>
      </c>
      <c r="D38" s="109"/>
      <c r="E38" s="107" t="s">
        <v>635</v>
      </c>
      <c r="F38" s="118">
        <v>5.0</v>
      </c>
    </row>
    <row r="39">
      <c r="A39" s="115"/>
      <c r="B39" s="116"/>
      <c r="C39" s="107" t="s">
        <v>636</v>
      </c>
      <c r="D39" s="109"/>
      <c r="E39" s="107" t="s">
        <v>637</v>
      </c>
      <c r="F39" s="118">
        <v>13.0</v>
      </c>
    </row>
    <row r="40">
      <c r="A40" s="109"/>
      <c r="B40" s="110"/>
      <c r="C40" s="107" t="s">
        <v>638</v>
      </c>
      <c r="D40" s="109"/>
      <c r="E40" s="107" t="s">
        <v>639</v>
      </c>
      <c r="F40" s="118">
        <v>7.0</v>
      </c>
    </row>
    <row r="41">
      <c r="A41" s="109"/>
      <c r="B41" s="110"/>
      <c r="C41" s="111">
        <v>1234.0</v>
      </c>
      <c r="D41" s="109"/>
      <c r="E41" s="107" t="s">
        <v>640</v>
      </c>
      <c r="F41" s="118">
        <v>4.0</v>
      </c>
    </row>
    <row r="42">
      <c r="A42" s="109"/>
      <c r="B42" s="110"/>
      <c r="C42" s="107" t="s">
        <v>641</v>
      </c>
      <c r="D42" s="109"/>
      <c r="E42" s="107" t="s">
        <v>642</v>
      </c>
      <c r="F42" s="118">
        <v>8.0</v>
      </c>
    </row>
    <row r="43">
      <c r="A43" s="109"/>
      <c r="B43" s="110"/>
      <c r="C43" s="115"/>
      <c r="D43" s="109"/>
      <c r="E43" s="115"/>
      <c r="F43" s="117"/>
    </row>
    <row r="44">
      <c r="A44" s="105">
        <v>8.0</v>
      </c>
      <c r="B44" s="106" t="s">
        <v>310</v>
      </c>
      <c r="C44" s="107" t="s">
        <v>643</v>
      </c>
      <c r="D44" s="109"/>
      <c r="E44" s="107" t="s">
        <v>644</v>
      </c>
      <c r="F44" s="108" t="s">
        <v>645</v>
      </c>
    </row>
    <row r="45">
      <c r="A45" s="115"/>
      <c r="B45" s="116"/>
      <c r="C45" s="107" t="s">
        <v>247</v>
      </c>
      <c r="D45" s="109"/>
      <c r="E45" s="107" t="s">
        <v>646</v>
      </c>
      <c r="F45" s="108" t="s">
        <v>647</v>
      </c>
    </row>
    <row r="46">
      <c r="A46" s="109"/>
      <c r="B46" s="110"/>
      <c r="C46" s="107" t="s">
        <v>648</v>
      </c>
      <c r="D46" s="109"/>
      <c r="E46" s="107" t="s">
        <v>649</v>
      </c>
      <c r="F46" s="108" t="s">
        <v>650</v>
      </c>
    </row>
    <row r="47">
      <c r="A47" s="109"/>
      <c r="B47" s="110"/>
      <c r="C47" s="107" t="s">
        <v>651</v>
      </c>
      <c r="D47" s="109"/>
      <c r="E47" s="107" t="s">
        <v>652</v>
      </c>
      <c r="F47" s="108" t="s">
        <v>653</v>
      </c>
    </row>
    <row r="48">
      <c r="A48" s="109"/>
      <c r="B48" s="110"/>
      <c r="C48" s="107" t="s">
        <v>654</v>
      </c>
      <c r="D48" s="109"/>
      <c r="E48" s="107" t="s">
        <v>655</v>
      </c>
      <c r="F48" s="108" t="s">
        <v>656</v>
      </c>
    </row>
    <row r="49">
      <c r="A49" s="109"/>
      <c r="B49" s="110"/>
      <c r="C49" s="115"/>
      <c r="D49" s="109"/>
      <c r="E49" s="115"/>
      <c r="F49" s="117"/>
    </row>
    <row r="50">
      <c r="A50" s="105">
        <v>9.0</v>
      </c>
      <c r="B50" s="106" t="s">
        <v>321</v>
      </c>
      <c r="C50" s="107" t="s">
        <v>657</v>
      </c>
      <c r="D50" s="109"/>
      <c r="E50" s="107" t="s">
        <v>658</v>
      </c>
      <c r="F50" s="108" t="s">
        <v>659</v>
      </c>
    </row>
    <row r="51">
      <c r="A51" s="115"/>
      <c r="B51" s="116"/>
      <c r="C51" s="107" t="s">
        <v>660</v>
      </c>
      <c r="D51" s="109"/>
      <c r="E51" s="107" t="s">
        <v>661</v>
      </c>
      <c r="F51" s="108" t="s">
        <v>662</v>
      </c>
    </row>
    <row r="52">
      <c r="A52" s="109"/>
      <c r="B52" s="110"/>
      <c r="C52" s="107" t="s">
        <v>663</v>
      </c>
      <c r="D52" s="109"/>
      <c r="E52" s="107" t="s">
        <v>664</v>
      </c>
      <c r="F52" s="108" t="s">
        <v>665</v>
      </c>
    </row>
    <row r="53">
      <c r="A53" s="109"/>
      <c r="B53" s="110"/>
      <c r="C53" s="107" t="s">
        <v>666</v>
      </c>
      <c r="D53" s="109"/>
      <c r="E53" s="107" t="s">
        <v>667</v>
      </c>
      <c r="F53" s="108" t="s">
        <v>668</v>
      </c>
    </row>
    <row r="54">
      <c r="A54" s="109"/>
      <c r="B54" s="110"/>
      <c r="C54" s="107" t="s">
        <v>669</v>
      </c>
      <c r="D54" s="109"/>
      <c r="E54" s="107" t="s">
        <v>670</v>
      </c>
      <c r="F54" s="108" t="s">
        <v>671</v>
      </c>
    </row>
    <row r="55">
      <c r="A55" s="109"/>
      <c r="B55" s="110"/>
      <c r="C55" s="115"/>
      <c r="D55" s="109"/>
      <c r="E55" s="115"/>
      <c r="F55" s="117"/>
    </row>
    <row r="56">
      <c r="A56" s="105">
        <v>10.0</v>
      </c>
      <c r="B56" s="106" t="s">
        <v>270</v>
      </c>
      <c r="C56" s="107" t="s">
        <v>672</v>
      </c>
      <c r="D56" s="109"/>
      <c r="E56" s="107" t="s">
        <v>673</v>
      </c>
      <c r="F56" s="118">
        <v>3.0</v>
      </c>
    </row>
    <row r="57">
      <c r="A57" s="115"/>
      <c r="B57" s="116"/>
      <c r="C57" s="107" t="s">
        <v>332</v>
      </c>
      <c r="D57" s="109"/>
      <c r="E57" s="107" t="s">
        <v>674</v>
      </c>
      <c r="F57" s="118">
        <v>4.0</v>
      </c>
    </row>
    <row r="58">
      <c r="A58" s="109"/>
      <c r="B58" s="110"/>
      <c r="C58" s="107" t="s">
        <v>675</v>
      </c>
      <c r="D58" s="109"/>
      <c r="E58" s="107" t="s">
        <v>676</v>
      </c>
      <c r="F58" s="118">
        <v>7.0</v>
      </c>
    </row>
    <row r="59">
      <c r="A59" s="109"/>
      <c r="B59" s="110"/>
      <c r="C59" s="113" t="s">
        <v>677</v>
      </c>
      <c r="D59" s="109"/>
      <c r="E59" s="107" t="s">
        <v>678</v>
      </c>
      <c r="F59" s="118">
        <v>7.0</v>
      </c>
    </row>
    <row r="60">
      <c r="A60" s="109"/>
      <c r="B60" s="110"/>
      <c r="C60" s="107" t="s">
        <v>679</v>
      </c>
      <c r="D60" s="109"/>
      <c r="E60" s="107" t="s">
        <v>680</v>
      </c>
      <c r="F60" s="118">
        <v>5.0</v>
      </c>
    </row>
    <row r="61">
      <c r="A61" s="109"/>
      <c r="B61" s="110"/>
      <c r="C61" s="115"/>
      <c r="D61" s="109"/>
      <c r="E61" s="115"/>
      <c r="F61" s="117"/>
    </row>
    <row r="62">
      <c r="A62" s="105">
        <v>11.0</v>
      </c>
      <c r="B62" s="106" t="s">
        <v>343</v>
      </c>
      <c r="C62" s="107" t="s">
        <v>681</v>
      </c>
      <c r="D62" s="109"/>
      <c r="E62" s="107" t="s">
        <v>682</v>
      </c>
      <c r="F62" s="108" t="s">
        <v>683</v>
      </c>
    </row>
    <row r="63">
      <c r="A63" s="115"/>
      <c r="B63" s="116"/>
      <c r="C63" s="107" t="s">
        <v>684</v>
      </c>
      <c r="D63" s="109"/>
      <c r="E63" s="107" t="s">
        <v>685</v>
      </c>
      <c r="F63" s="108" t="s">
        <v>686</v>
      </c>
    </row>
    <row r="64">
      <c r="A64" s="109"/>
      <c r="B64" s="110"/>
      <c r="C64" s="107" t="s">
        <v>687</v>
      </c>
      <c r="D64" s="109"/>
      <c r="E64" s="107" t="s">
        <v>688</v>
      </c>
      <c r="F64" s="108" t="s">
        <v>689</v>
      </c>
    </row>
    <row r="65">
      <c r="A65" s="109"/>
      <c r="B65" s="110"/>
      <c r="C65" s="107" t="s">
        <v>690</v>
      </c>
      <c r="D65" s="109"/>
      <c r="E65" s="107" t="s">
        <v>691</v>
      </c>
      <c r="F65" s="108" t="s">
        <v>692</v>
      </c>
    </row>
    <row r="66">
      <c r="A66" s="109"/>
      <c r="B66" s="110"/>
      <c r="C66" s="107" t="s">
        <v>693</v>
      </c>
      <c r="D66" s="109"/>
      <c r="E66" s="107" t="s">
        <v>694</v>
      </c>
      <c r="F66" s="108" t="s">
        <v>695</v>
      </c>
    </row>
    <row r="67">
      <c r="A67" s="109"/>
      <c r="B67" s="110"/>
      <c r="C67" s="115"/>
      <c r="D67" s="109"/>
      <c r="E67" s="115"/>
      <c r="F67" s="117"/>
    </row>
    <row r="68">
      <c r="A68" s="105">
        <v>12.0</v>
      </c>
      <c r="B68" s="106" t="s">
        <v>332</v>
      </c>
      <c r="C68" s="107" t="s">
        <v>696</v>
      </c>
      <c r="D68" s="109"/>
      <c r="E68" s="107" t="s">
        <v>697</v>
      </c>
      <c r="F68" s="108" t="s">
        <v>698</v>
      </c>
    </row>
    <row r="69">
      <c r="A69" s="115"/>
      <c r="B69" s="116"/>
      <c r="C69" s="107" t="s">
        <v>699</v>
      </c>
      <c r="D69" s="109"/>
      <c r="E69" s="107" t="s">
        <v>700</v>
      </c>
      <c r="F69" s="108" t="s">
        <v>701</v>
      </c>
    </row>
    <row r="70">
      <c r="A70" s="109"/>
      <c r="B70" s="110"/>
      <c r="C70" s="107" t="s">
        <v>702</v>
      </c>
      <c r="D70" s="109"/>
      <c r="E70" s="107" t="s">
        <v>703</v>
      </c>
      <c r="F70" s="108" t="s">
        <v>681</v>
      </c>
    </row>
    <row r="71">
      <c r="A71" s="109"/>
      <c r="B71" s="110"/>
      <c r="C71" s="107" t="s">
        <v>704</v>
      </c>
      <c r="D71" s="109"/>
      <c r="E71" s="107" t="s">
        <v>705</v>
      </c>
      <c r="F71" s="108" t="s">
        <v>706</v>
      </c>
    </row>
    <row r="72">
      <c r="A72" s="109"/>
      <c r="B72" s="110"/>
      <c r="C72" s="107" t="s">
        <v>707</v>
      </c>
      <c r="D72" s="109"/>
      <c r="E72" s="107" t="s">
        <v>708</v>
      </c>
      <c r="F72" s="108" t="s">
        <v>709</v>
      </c>
    </row>
    <row r="73">
      <c r="A73" s="109"/>
      <c r="B73" s="110"/>
      <c r="C73" s="115"/>
      <c r="D73" s="109"/>
      <c r="E73" s="115"/>
      <c r="F73" s="117"/>
    </row>
    <row r="74">
      <c r="A74" s="105">
        <v>13.0</v>
      </c>
      <c r="B74" s="106" t="s">
        <v>349</v>
      </c>
      <c r="C74" s="107" t="s">
        <v>710</v>
      </c>
      <c r="D74" s="109"/>
      <c r="E74" s="107" t="s">
        <v>711</v>
      </c>
      <c r="F74" s="118">
        <v>2.0</v>
      </c>
    </row>
    <row r="75">
      <c r="A75" s="115"/>
      <c r="B75" s="116"/>
      <c r="C75" s="107" t="s">
        <v>712</v>
      </c>
      <c r="D75" s="109"/>
      <c r="E75" s="107" t="s">
        <v>713</v>
      </c>
      <c r="F75" s="118">
        <v>6.0</v>
      </c>
    </row>
    <row r="76">
      <c r="A76" s="109"/>
      <c r="B76" s="110"/>
      <c r="C76" s="107" t="s">
        <v>714</v>
      </c>
      <c r="D76" s="109"/>
      <c r="E76" s="107" t="s">
        <v>715</v>
      </c>
      <c r="F76" s="118">
        <v>4.0</v>
      </c>
    </row>
    <row r="77">
      <c r="A77" s="109"/>
      <c r="B77" s="110"/>
      <c r="C77" s="107" t="s">
        <v>716</v>
      </c>
      <c r="D77" s="109"/>
      <c r="E77" s="107" t="s">
        <v>717</v>
      </c>
      <c r="F77" s="118">
        <v>4.0</v>
      </c>
    </row>
    <row r="78">
      <c r="A78" s="109"/>
      <c r="B78" s="110"/>
      <c r="C78" s="107" t="s">
        <v>718</v>
      </c>
      <c r="D78" s="109"/>
      <c r="E78" s="107" t="s">
        <v>719</v>
      </c>
      <c r="F78" s="118">
        <v>6.0</v>
      </c>
    </row>
    <row r="79">
      <c r="A79" s="109"/>
      <c r="B79" s="110"/>
      <c r="C79" s="115"/>
      <c r="D79" s="109"/>
      <c r="E79" s="115"/>
      <c r="F79" s="117"/>
    </row>
    <row r="80">
      <c r="A80" s="105">
        <v>14.0</v>
      </c>
      <c r="B80" s="106" t="s">
        <v>375</v>
      </c>
      <c r="C80" s="107" t="s">
        <v>720</v>
      </c>
      <c r="D80" s="109"/>
      <c r="E80" s="107" t="s">
        <v>721</v>
      </c>
      <c r="F80" s="108" t="s">
        <v>722</v>
      </c>
    </row>
    <row r="81">
      <c r="A81" s="115"/>
      <c r="B81" s="116"/>
      <c r="C81" s="107" t="s">
        <v>723</v>
      </c>
      <c r="D81" s="109"/>
      <c r="E81" s="107" t="s">
        <v>724</v>
      </c>
      <c r="F81" s="108">
        <v>1002.0</v>
      </c>
    </row>
    <row r="82">
      <c r="A82" s="109"/>
      <c r="B82" s="110"/>
      <c r="C82" s="107" t="s">
        <v>725</v>
      </c>
      <c r="D82" s="109"/>
      <c r="E82" s="107" t="s">
        <v>726</v>
      </c>
      <c r="F82" s="108" t="s">
        <v>727</v>
      </c>
    </row>
    <row r="83">
      <c r="A83" s="109"/>
      <c r="B83" s="110"/>
      <c r="C83" s="107" t="s">
        <v>728</v>
      </c>
      <c r="D83" s="109"/>
      <c r="E83" s="107" t="s">
        <v>729</v>
      </c>
      <c r="F83" s="108" t="s">
        <v>730</v>
      </c>
    </row>
    <row r="84">
      <c r="A84" s="109"/>
      <c r="B84" s="110"/>
      <c r="C84" s="107" t="s">
        <v>731</v>
      </c>
      <c r="D84" s="109"/>
      <c r="E84" s="107" t="s">
        <v>732</v>
      </c>
      <c r="F84" s="108" t="s">
        <v>733</v>
      </c>
    </row>
    <row r="85">
      <c r="A85" s="109"/>
      <c r="B85" s="110"/>
      <c r="C85" s="115"/>
      <c r="D85" s="109"/>
      <c r="E85" s="115"/>
      <c r="F85" s="117"/>
    </row>
  </sheetData>
  <hyperlinks>
    <hyperlink r:id="rId1" ref="A1"/>
    <hyperlink r:id="rId2" ref="C14"/>
    <hyperlink r:id="rId3" ref="C27"/>
    <hyperlink r:id="rId4" ref="C59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5" max="5" width="14.5"/>
    <col customWidth="1" min="7" max="7" width="17.0"/>
    <col customWidth="1" min="8" max="8" width="14.88"/>
  </cols>
  <sheetData>
    <row r="1">
      <c r="A1" s="119" t="s">
        <v>734</v>
      </c>
    </row>
    <row r="2">
      <c r="A2" s="119"/>
    </row>
    <row r="4">
      <c r="C4" s="120" t="s">
        <v>735</v>
      </c>
      <c r="D4" s="121" t="s">
        <v>2</v>
      </c>
      <c r="E4" s="122" t="s">
        <v>3</v>
      </c>
      <c r="F4" s="71"/>
      <c r="G4" s="123" t="s">
        <v>4</v>
      </c>
      <c r="H4" s="123" t="s">
        <v>5</v>
      </c>
    </row>
    <row r="5">
      <c r="C5" s="65"/>
      <c r="D5" s="124"/>
      <c r="E5" s="124"/>
      <c r="F5" s="65"/>
      <c r="G5" s="65"/>
      <c r="H5" s="65"/>
    </row>
    <row r="6">
      <c r="C6" s="125">
        <v>1.0</v>
      </c>
      <c r="D6" s="126"/>
      <c r="E6" s="127" t="s">
        <v>736</v>
      </c>
      <c r="F6" s="109"/>
      <c r="G6" s="127" t="s">
        <v>737</v>
      </c>
      <c r="H6" s="127" t="s">
        <v>738</v>
      </c>
    </row>
    <row r="7">
      <c r="C7" s="109"/>
      <c r="D7" s="128"/>
      <c r="E7" s="127" t="s">
        <v>739</v>
      </c>
      <c r="F7" s="109"/>
      <c r="G7" s="127" t="s">
        <v>740</v>
      </c>
      <c r="H7" s="127" t="s">
        <v>741</v>
      </c>
    </row>
    <row r="8">
      <c r="C8" s="109"/>
      <c r="D8" s="129" t="s">
        <v>134</v>
      </c>
      <c r="E8" s="127" t="s">
        <v>742</v>
      </c>
      <c r="F8" s="109"/>
      <c r="G8" s="127" t="s">
        <v>743</v>
      </c>
      <c r="H8" s="127" t="s">
        <v>744</v>
      </c>
    </row>
    <row r="9">
      <c r="C9" s="109"/>
      <c r="D9" s="128"/>
      <c r="E9" s="127" t="s">
        <v>745</v>
      </c>
      <c r="F9" s="109"/>
      <c r="G9" s="127" t="s">
        <v>746</v>
      </c>
      <c r="H9" s="127" t="s">
        <v>747</v>
      </c>
    </row>
    <row r="10">
      <c r="C10" s="109"/>
      <c r="D10" s="130"/>
      <c r="E10" s="127" t="s">
        <v>748</v>
      </c>
      <c r="F10" s="109"/>
      <c r="G10" s="127" t="s">
        <v>749</v>
      </c>
      <c r="H10" s="127" t="s">
        <v>750</v>
      </c>
    </row>
    <row r="11">
      <c r="C11" s="65"/>
      <c r="D11" s="131"/>
      <c r="E11" s="131"/>
      <c r="F11" s="65"/>
      <c r="G11" s="131"/>
      <c r="H11" s="131"/>
    </row>
    <row r="12">
      <c r="C12" s="125">
        <v>2.0</v>
      </c>
      <c r="D12" s="126"/>
      <c r="E12" s="127" t="s">
        <v>738</v>
      </c>
      <c r="F12" s="109"/>
      <c r="G12" s="127" t="s">
        <v>751</v>
      </c>
      <c r="H12" s="127" t="s">
        <v>752</v>
      </c>
    </row>
    <row r="13">
      <c r="C13" s="109"/>
      <c r="D13" s="128"/>
      <c r="E13" s="127" t="s">
        <v>753</v>
      </c>
      <c r="F13" s="109"/>
      <c r="G13" s="127" t="s">
        <v>754</v>
      </c>
      <c r="H13" s="127" t="s">
        <v>755</v>
      </c>
    </row>
    <row r="14">
      <c r="C14" s="109"/>
      <c r="D14" s="129" t="s">
        <v>79</v>
      </c>
      <c r="E14" s="127" t="s">
        <v>756</v>
      </c>
      <c r="F14" s="109"/>
      <c r="G14" s="127" t="s">
        <v>757</v>
      </c>
      <c r="H14" s="127" t="s">
        <v>758</v>
      </c>
    </row>
    <row r="15">
      <c r="C15" s="109"/>
      <c r="D15" s="128"/>
      <c r="E15" s="127" t="s">
        <v>759</v>
      </c>
      <c r="F15" s="109"/>
      <c r="G15" s="127" t="s">
        <v>760</v>
      </c>
      <c r="H15" s="127" t="s">
        <v>759</v>
      </c>
    </row>
    <row r="16">
      <c r="C16" s="109"/>
      <c r="D16" s="130"/>
      <c r="E16" s="127" t="s">
        <v>761</v>
      </c>
      <c r="F16" s="109"/>
      <c r="G16" s="127" t="s">
        <v>762</v>
      </c>
      <c r="H16" s="127" t="s">
        <v>722</v>
      </c>
    </row>
    <row r="17">
      <c r="C17" s="65"/>
      <c r="D17" s="131"/>
      <c r="E17" s="131"/>
      <c r="F17" s="65"/>
      <c r="G17" s="65"/>
      <c r="H17" s="131"/>
    </row>
    <row r="18">
      <c r="C18" s="125">
        <v>3.0</v>
      </c>
      <c r="D18" s="132"/>
      <c r="E18" s="127" t="s">
        <v>763</v>
      </c>
      <c r="F18" s="127" t="s">
        <v>764</v>
      </c>
      <c r="G18" s="107" t="s">
        <v>765</v>
      </c>
      <c r="H18" s="127" t="s">
        <v>686</v>
      </c>
    </row>
    <row r="19">
      <c r="C19" s="109"/>
      <c r="D19" s="133"/>
      <c r="E19" s="127" t="s">
        <v>3</v>
      </c>
      <c r="F19" s="127" t="s">
        <v>766</v>
      </c>
      <c r="G19" s="107" t="s">
        <v>767</v>
      </c>
      <c r="H19" s="127" t="s">
        <v>768</v>
      </c>
    </row>
    <row r="20">
      <c r="C20" s="109"/>
      <c r="D20" s="129" t="s">
        <v>17</v>
      </c>
      <c r="E20" s="127" t="s">
        <v>769</v>
      </c>
      <c r="F20" s="127" t="s">
        <v>756</v>
      </c>
      <c r="G20" s="107" t="s">
        <v>770</v>
      </c>
      <c r="H20" s="127" t="s">
        <v>771</v>
      </c>
    </row>
    <row r="21">
      <c r="C21" s="109"/>
      <c r="D21" s="133"/>
      <c r="E21" s="127" t="s">
        <v>772</v>
      </c>
      <c r="F21" s="127" t="s">
        <v>773</v>
      </c>
      <c r="G21" s="107" t="s">
        <v>774</v>
      </c>
      <c r="H21" s="127" t="s">
        <v>775</v>
      </c>
    </row>
    <row r="22">
      <c r="C22" s="109"/>
      <c r="D22" s="134"/>
      <c r="E22" s="127" t="s">
        <v>776</v>
      </c>
      <c r="F22" s="127" t="s">
        <v>777</v>
      </c>
      <c r="G22" s="107" t="s">
        <v>778</v>
      </c>
      <c r="H22" s="127" t="s">
        <v>779</v>
      </c>
    </row>
    <row r="23">
      <c r="C23" s="65"/>
      <c r="D23" s="65"/>
      <c r="E23" s="65"/>
      <c r="F23" s="65"/>
      <c r="G23" s="65"/>
      <c r="H23" s="131"/>
    </row>
    <row r="24">
      <c r="C24" s="125">
        <v>4.0</v>
      </c>
      <c r="D24" s="135"/>
      <c r="E24" s="127" t="s">
        <v>776</v>
      </c>
      <c r="F24" s="109"/>
      <c r="G24" s="107" t="s">
        <v>780</v>
      </c>
      <c r="H24" s="127">
        <v>5.0</v>
      </c>
    </row>
    <row r="25">
      <c r="C25" s="109"/>
      <c r="D25" s="136"/>
      <c r="E25" s="127" t="s">
        <v>777</v>
      </c>
      <c r="F25" s="109"/>
      <c r="G25" s="107" t="s">
        <v>781</v>
      </c>
      <c r="H25" s="127">
        <v>7.0</v>
      </c>
    </row>
    <row r="26">
      <c r="C26" s="109"/>
      <c r="D26" s="129" t="s">
        <v>68</v>
      </c>
      <c r="E26" s="127" t="s">
        <v>782</v>
      </c>
      <c r="F26" s="109"/>
      <c r="G26" s="107" t="s">
        <v>783</v>
      </c>
      <c r="H26" s="127">
        <v>10.0</v>
      </c>
    </row>
    <row r="27">
      <c r="C27" s="109"/>
      <c r="D27" s="136"/>
      <c r="E27" s="127" t="s">
        <v>784</v>
      </c>
      <c r="F27" s="109"/>
      <c r="G27" s="107" t="s">
        <v>785</v>
      </c>
      <c r="H27" s="127">
        <v>7.0</v>
      </c>
    </row>
    <row r="28">
      <c r="C28" s="109"/>
      <c r="D28" s="137"/>
      <c r="E28" s="127" t="s">
        <v>786</v>
      </c>
      <c r="F28" s="109"/>
      <c r="G28" s="107" t="s">
        <v>787</v>
      </c>
      <c r="H28" s="127">
        <v>13.0</v>
      </c>
    </row>
    <row r="29">
      <c r="C29" s="65"/>
      <c r="D29" s="65"/>
      <c r="E29" s="65"/>
      <c r="F29" s="65"/>
      <c r="G29" s="65"/>
      <c r="H29" s="65"/>
    </row>
    <row r="30">
      <c r="C30" s="125">
        <v>5.0</v>
      </c>
      <c r="D30" s="126"/>
      <c r="E30" s="127" t="s">
        <v>788</v>
      </c>
      <c r="F30" s="109"/>
      <c r="G30" s="107" t="s">
        <v>789</v>
      </c>
      <c r="H30" s="127" t="s">
        <v>790</v>
      </c>
    </row>
    <row r="31">
      <c r="C31" s="109"/>
      <c r="D31" s="128"/>
      <c r="E31" s="127" t="s">
        <v>791</v>
      </c>
      <c r="F31" s="109"/>
      <c r="G31" s="107" t="s">
        <v>792</v>
      </c>
      <c r="H31" s="107" t="s">
        <v>793</v>
      </c>
    </row>
    <row r="32">
      <c r="C32" s="109"/>
      <c r="D32" s="129" t="s">
        <v>101</v>
      </c>
      <c r="E32" s="127" t="s">
        <v>794</v>
      </c>
      <c r="F32" s="109"/>
      <c r="G32" s="107" t="s">
        <v>795</v>
      </c>
      <c r="H32" s="107" t="s">
        <v>771</v>
      </c>
    </row>
    <row r="33">
      <c r="C33" s="109"/>
      <c r="D33" s="128"/>
      <c r="E33" s="127" t="s">
        <v>796</v>
      </c>
      <c r="F33" s="109"/>
      <c r="G33" s="107" t="s">
        <v>797</v>
      </c>
      <c r="H33" s="107" t="s">
        <v>798</v>
      </c>
    </row>
    <row r="34">
      <c r="C34" s="109"/>
      <c r="D34" s="130"/>
      <c r="E34" s="127" t="s">
        <v>799</v>
      </c>
      <c r="F34" s="109"/>
      <c r="G34" s="107" t="s">
        <v>800</v>
      </c>
      <c r="H34" s="107" t="s">
        <v>784</v>
      </c>
    </row>
    <row r="35">
      <c r="C35" s="65"/>
      <c r="D35" s="65"/>
      <c r="E35" s="65"/>
      <c r="F35" s="65"/>
      <c r="G35" s="65"/>
      <c r="H35" s="65"/>
    </row>
    <row r="36">
      <c r="C36" s="125">
        <v>6.0</v>
      </c>
      <c r="D36" s="126"/>
      <c r="E36" s="127" t="s">
        <v>801</v>
      </c>
      <c r="F36" s="109"/>
      <c r="G36" s="107" t="s">
        <v>802</v>
      </c>
      <c r="H36" s="107" t="s">
        <v>3</v>
      </c>
    </row>
    <row r="37">
      <c r="C37" s="109"/>
      <c r="D37" s="128"/>
      <c r="E37" s="127" t="s">
        <v>776</v>
      </c>
      <c r="F37" s="109"/>
      <c r="G37" s="107" t="s">
        <v>803</v>
      </c>
      <c r="H37" s="107" t="s">
        <v>804</v>
      </c>
    </row>
    <row r="38">
      <c r="C38" s="109"/>
      <c r="D38" s="129" t="s">
        <v>57</v>
      </c>
      <c r="E38" s="127" t="s">
        <v>777</v>
      </c>
      <c r="F38" s="109"/>
      <c r="G38" s="107" t="s">
        <v>805</v>
      </c>
      <c r="H38" s="107" t="s">
        <v>806</v>
      </c>
    </row>
    <row r="39">
      <c r="C39" s="109"/>
      <c r="D39" s="128"/>
      <c r="E39" s="127" t="s">
        <v>761</v>
      </c>
      <c r="F39" s="109"/>
      <c r="G39" s="107" t="s">
        <v>807</v>
      </c>
      <c r="H39" s="107" t="s">
        <v>808</v>
      </c>
    </row>
    <row r="40">
      <c r="C40" s="109"/>
      <c r="D40" s="130"/>
      <c r="E40" s="127" t="s">
        <v>773</v>
      </c>
      <c r="F40" s="109"/>
      <c r="G40" s="107" t="s">
        <v>809</v>
      </c>
      <c r="H40" s="107" t="s">
        <v>810</v>
      </c>
    </row>
    <row r="41">
      <c r="C41" s="65"/>
      <c r="D41" s="65"/>
      <c r="E41" s="65"/>
      <c r="F41" s="65"/>
      <c r="G41" s="65"/>
      <c r="H41" s="65"/>
    </row>
    <row r="42">
      <c r="C42" s="125">
        <v>7.0</v>
      </c>
      <c r="D42" s="135"/>
      <c r="E42" s="127" t="s">
        <v>801</v>
      </c>
      <c r="F42" s="109"/>
      <c r="G42" s="107" t="s">
        <v>811</v>
      </c>
      <c r="H42" s="107" t="s">
        <v>812</v>
      </c>
    </row>
    <row r="43">
      <c r="C43" s="109"/>
      <c r="D43" s="136"/>
      <c r="E43" s="127" t="s">
        <v>776</v>
      </c>
      <c r="F43" s="109"/>
      <c r="G43" s="107" t="s">
        <v>813</v>
      </c>
      <c r="H43" s="107" t="s">
        <v>814</v>
      </c>
    </row>
    <row r="44">
      <c r="C44" s="109"/>
      <c r="D44" s="129" t="s">
        <v>123</v>
      </c>
      <c r="E44" s="127" t="s">
        <v>777</v>
      </c>
      <c r="F44" s="109"/>
      <c r="G44" s="107" t="s">
        <v>815</v>
      </c>
      <c r="H44" s="107" t="s">
        <v>816</v>
      </c>
    </row>
    <row r="45">
      <c r="C45" s="109"/>
      <c r="D45" s="136"/>
      <c r="E45" s="127" t="s">
        <v>761</v>
      </c>
      <c r="F45" s="109"/>
      <c r="G45" s="107" t="s">
        <v>817</v>
      </c>
      <c r="H45" s="107" t="s">
        <v>818</v>
      </c>
    </row>
    <row r="46">
      <c r="C46" s="109"/>
      <c r="D46" s="137"/>
      <c r="E46" s="127" t="s">
        <v>773</v>
      </c>
      <c r="F46" s="109"/>
      <c r="G46" s="107" t="s">
        <v>819</v>
      </c>
      <c r="H46" s="107" t="s">
        <v>820</v>
      </c>
    </row>
    <row r="47">
      <c r="C47" s="65"/>
      <c r="D47" s="65"/>
      <c r="E47" s="65"/>
      <c r="F47" s="65"/>
      <c r="G47" s="65"/>
      <c r="H47" s="65"/>
    </row>
    <row r="48">
      <c r="C48" s="125">
        <v>8.0</v>
      </c>
      <c r="D48" s="126"/>
      <c r="E48" s="127" t="s">
        <v>773</v>
      </c>
      <c r="F48" s="109"/>
      <c r="G48" s="107" t="s">
        <v>821</v>
      </c>
      <c r="H48" s="127">
        <v>5.0</v>
      </c>
    </row>
    <row r="49">
      <c r="C49" s="109"/>
      <c r="D49" s="128"/>
      <c r="E49" s="127" t="s">
        <v>822</v>
      </c>
      <c r="F49" s="109"/>
      <c r="G49" s="107" t="s">
        <v>823</v>
      </c>
      <c r="H49" s="127">
        <v>2.0</v>
      </c>
    </row>
    <row r="50">
      <c r="C50" s="109"/>
      <c r="D50" s="129" t="s">
        <v>33</v>
      </c>
      <c r="E50" s="127" t="s">
        <v>824</v>
      </c>
      <c r="F50" s="109"/>
      <c r="G50" s="107" t="s">
        <v>825</v>
      </c>
      <c r="H50" s="127">
        <v>5.0</v>
      </c>
    </row>
    <row r="51">
      <c r="C51" s="109"/>
      <c r="D51" s="128"/>
      <c r="E51" s="127" t="s">
        <v>801</v>
      </c>
      <c r="F51" s="109"/>
      <c r="G51" s="107" t="s">
        <v>826</v>
      </c>
      <c r="H51" s="127">
        <v>4.0</v>
      </c>
    </row>
    <row r="52">
      <c r="C52" s="109"/>
      <c r="D52" s="130"/>
      <c r="E52" s="127" t="s">
        <v>827</v>
      </c>
      <c r="F52" s="109"/>
      <c r="G52" s="107" t="s">
        <v>828</v>
      </c>
      <c r="H52" s="127">
        <v>7.0</v>
      </c>
    </row>
    <row r="53">
      <c r="C53" s="65"/>
      <c r="D53" s="65"/>
      <c r="E53" s="65"/>
      <c r="F53" s="65"/>
      <c r="G53" s="65"/>
      <c r="H53" s="65"/>
    </row>
    <row r="54">
      <c r="C54" s="125">
        <v>9.0</v>
      </c>
      <c r="D54" s="135"/>
      <c r="E54" s="127" t="s">
        <v>779</v>
      </c>
      <c r="F54" s="109"/>
      <c r="G54" s="107" t="s">
        <v>829</v>
      </c>
      <c r="H54" s="107" t="s">
        <v>830</v>
      </c>
    </row>
    <row r="55">
      <c r="C55" s="109"/>
      <c r="D55" s="136"/>
      <c r="E55" s="127" t="s">
        <v>782</v>
      </c>
      <c r="F55" s="109"/>
      <c r="G55" s="107" t="s">
        <v>831</v>
      </c>
      <c r="H55" s="107" t="s">
        <v>832</v>
      </c>
    </row>
    <row r="56">
      <c r="C56" s="109"/>
      <c r="D56" s="129" t="s">
        <v>90</v>
      </c>
      <c r="E56" s="127" t="s">
        <v>756</v>
      </c>
      <c r="F56" s="109"/>
      <c r="G56" s="107" t="s">
        <v>833</v>
      </c>
      <c r="H56" s="107" t="s">
        <v>834</v>
      </c>
    </row>
    <row r="57">
      <c r="C57" s="109"/>
      <c r="D57" s="136"/>
      <c r="E57" s="127" t="s">
        <v>835</v>
      </c>
      <c r="F57" s="109"/>
      <c r="G57" s="107" t="s">
        <v>836</v>
      </c>
      <c r="H57" s="107" t="s">
        <v>837</v>
      </c>
    </row>
    <row r="58">
      <c r="C58" s="109"/>
      <c r="D58" s="137"/>
      <c r="E58" s="127" t="s">
        <v>259</v>
      </c>
      <c r="F58" s="109"/>
      <c r="G58" s="107" t="s">
        <v>838</v>
      </c>
      <c r="H58" s="107" t="s">
        <v>839</v>
      </c>
    </row>
    <row r="59">
      <c r="C59" s="65"/>
      <c r="D59" s="65"/>
      <c r="E59" s="65"/>
      <c r="F59" s="65"/>
      <c r="G59" s="65"/>
      <c r="H59" s="65"/>
    </row>
    <row r="60">
      <c r="C60" s="125">
        <v>10.0</v>
      </c>
      <c r="D60" s="135"/>
      <c r="E60" s="127" t="s">
        <v>599</v>
      </c>
      <c r="F60" s="107" t="s">
        <v>598</v>
      </c>
      <c r="G60" s="107" t="s">
        <v>840</v>
      </c>
      <c r="H60" s="127" t="b">
        <v>0</v>
      </c>
    </row>
    <row r="61">
      <c r="C61" s="109"/>
      <c r="D61" s="136"/>
      <c r="E61" s="127" t="s">
        <v>776</v>
      </c>
      <c r="F61" s="107" t="s">
        <v>776</v>
      </c>
      <c r="G61" s="107" t="s">
        <v>841</v>
      </c>
      <c r="H61" s="127" t="b">
        <v>1</v>
      </c>
    </row>
    <row r="62">
      <c r="C62" s="109"/>
      <c r="D62" s="129" t="s">
        <v>44</v>
      </c>
      <c r="E62" s="127" t="s">
        <v>842</v>
      </c>
      <c r="F62" s="107" t="s">
        <v>843</v>
      </c>
      <c r="G62" s="107" t="s">
        <v>844</v>
      </c>
      <c r="H62" s="127" t="b">
        <v>0</v>
      </c>
    </row>
    <row r="63">
      <c r="C63" s="109"/>
      <c r="D63" s="136"/>
      <c r="E63" s="127" t="s">
        <v>722</v>
      </c>
      <c r="F63" s="107" t="s">
        <v>722</v>
      </c>
      <c r="G63" s="107" t="s">
        <v>845</v>
      </c>
      <c r="H63" s="127" t="b">
        <v>1</v>
      </c>
    </row>
    <row r="64">
      <c r="C64" s="109"/>
      <c r="D64" s="137"/>
      <c r="E64" s="127" t="s">
        <v>846</v>
      </c>
      <c r="F64" s="107" t="s">
        <v>769</v>
      </c>
      <c r="G64" s="107" t="s">
        <v>847</v>
      </c>
      <c r="H64" s="127" t="b">
        <v>0</v>
      </c>
    </row>
    <row r="65">
      <c r="C65" s="65"/>
      <c r="D65" s="65"/>
      <c r="E65" s="65"/>
      <c r="F65" s="65"/>
      <c r="G65" s="65"/>
      <c r="H65" s="65"/>
    </row>
    <row r="66">
      <c r="C66" s="125">
        <v>11.0</v>
      </c>
      <c r="D66" s="126"/>
      <c r="E66" s="127" t="s">
        <v>776</v>
      </c>
      <c r="F66" s="109"/>
      <c r="G66" s="107" t="s">
        <v>848</v>
      </c>
      <c r="H66" s="107" t="s">
        <v>849</v>
      </c>
    </row>
    <row r="67">
      <c r="C67" s="109"/>
      <c r="D67" s="128"/>
      <c r="E67" s="127" t="s">
        <v>777</v>
      </c>
      <c r="F67" s="109"/>
      <c r="G67" s="107" t="s">
        <v>850</v>
      </c>
      <c r="H67" s="107" t="s">
        <v>851</v>
      </c>
    </row>
    <row r="68">
      <c r="C68" s="109"/>
      <c r="D68" s="129" t="s">
        <v>112</v>
      </c>
      <c r="E68" s="127" t="s">
        <v>852</v>
      </c>
      <c r="F68" s="109"/>
      <c r="G68" s="107" t="s">
        <v>853</v>
      </c>
      <c r="H68" s="107" t="s">
        <v>854</v>
      </c>
    </row>
    <row r="69">
      <c r="C69" s="109"/>
      <c r="D69" s="128"/>
      <c r="E69" s="127" t="s">
        <v>259</v>
      </c>
      <c r="F69" s="109"/>
      <c r="G69" s="107" t="s">
        <v>855</v>
      </c>
      <c r="H69" s="107" t="s">
        <v>856</v>
      </c>
    </row>
    <row r="70">
      <c r="C70" s="109"/>
      <c r="D70" s="130"/>
      <c r="E70" s="127" t="s">
        <v>857</v>
      </c>
      <c r="F70" s="109"/>
      <c r="G70" s="107" t="s">
        <v>858</v>
      </c>
      <c r="H70" s="107" t="s">
        <v>859</v>
      </c>
    </row>
    <row r="71">
      <c r="C71" s="65"/>
      <c r="D71" s="65"/>
      <c r="E71" s="65"/>
      <c r="F71" s="65"/>
      <c r="G71" s="65"/>
      <c r="H71" s="65"/>
    </row>
    <row r="72">
      <c r="C72" s="125">
        <v>12.0</v>
      </c>
      <c r="D72" s="135"/>
      <c r="E72" s="127">
        <v>65.0</v>
      </c>
      <c r="F72" s="109"/>
      <c r="G72" s="107" t="s">
        <v>860</v>
      </c>
      <c r="H72" s="107" t="s">
        <v>861</v>
      </c>
    </row>
    <row r="73">
      <c r="C73" s="109"/>
      <c r="D73" s="136"/>
      <c r="E73" s="127">
        <v>66.0</v>
      </c>
      <c r="F73" s="109"/>
      <c r="G73" s="107" t="s">
        <v>862</v>
      </c>
      <c r="H73" s="107" t="s">
        <v>863</v>
      </c>
    </row>
    <row r="74">
      <c r="C74" s="109"/>
      <c r="D74" s="129" t="s">
        <v>864</v>
      </c>
      <c r="E74" s="127">
        <v>97.0</v>
      </c>
      <c r="F74" s="109"/>
      <c r="G74" s="107" t="s">
        <v>865</v>
      </c>
      <c r="H74" s="107" t="s">
        <v>866</v>
      </c>
    </row>
    <row r="75">
      <c r="C75" s="109"/>
      <c r="D75" s="136"/>
      <c r="E75" s="127">
        <v>36.0</v>
      </c>
      <c r="F75" s="109"/>
      <c r="G75" s="107" t="s">
        <v>867</v>
      </c>
      <c r="H75" s="107" t="s">
        <v>868</v>
      </c>
    </row>
    <row r="76">
      <c r="C76" s="109"/>
      <c r="D76" s="137"/>
      <c r="E76" s="127">
        <v>87.0</v>
      </c>
      <c r="F76" s="109"/>
      <c r="G76" s="107" t="s">
        <v>869</v>
      </c>
      <c r="H76" s="107" t="s">
        <v>870</v>
      </c>
    </row>
    <row r="77">
      <c r="C77" s="65"/>
      <c r="D77" s="65"/>
      <c r="E77" s="65"/>
      <c r="F77" s="65"/>
      <c r="G77" s="65"/>
      <c r="H77" s="65"/>
    </row>
    <row r="78">
      <c r="C78" s="125">
        <v>13.0</v>
      </c>
      <c r="D78" s="135"/>
      <c r="E78" s="107" t="s">
        <v>259</v>
      </c>
      <c r="F78" s="109"/>
      <c r="G78" s="107" t="s">
        <v>871</v>
      </c>
      <c r="H78" s="127">
        <v>3.0</v>
      </c>
    </row>
    <row r="79">
      <c r="C79" s="109"/>
      <c r="D79" s="136"/>
      <c r="E79" s="107" t="s">
        <v>827</v>
      </c>
      <c r="F79" s="109"/>
      <c r="G79" s="107" t="s">
        <v>872</v>
      </c>
      <c r="H79" s="127">
        <v>4.0</v>
      </c>
    </row>
    <row r="80">
      <c r="C80" s="109"/>
      <c r="D80" s="129" t="s">
        <v>873</v>
      </c>
      <c r="E80" s="107" t="s">
        <v>761</v>
      </c>
      <c r="F80" s="109"/>
      <c r="G80" s="107" t="s">
        <v>874</v>
      </c>
      <c r="H80" s="127">
        <v>3.0</v>
      </c>
    </row>
    <row r="81">
      <c r="C81" s="109"/>
      <c r="D81" s="136"/>
      <c r="E81" s="107" t="s">
        <v>756</v>
      </c>
      <c r="F81" s="109"/>
      <c r="G81" s="107" t="s">
        <v>875</v>
      </c>
      <c r="H81" s="127">
        <v>7.0</v>
      </c>
    </row>
    <row r="82">
      <c r="C82" s="109"/>
      <c r="D82" s="137"/>
      <c r="E82" s="107" t="s">
        <v>3</v>
      </c>
      <c r="F82" s="109"/>
      <c r="G82" s="107" t="s">
        <v>876</v>
      </c>
      <c r="H82" s="127">
        <v>2.0</v>
      </c>
    </row>
  </sheetData>
  <mergeCells count="1">
    <mergeCell ref="E4:F4"/>
  </mergeCells>
  <hyperlinks>
    <hyperlink r:id="rId1" ref="C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21.88"/>
    <col customWidth="1" min="4" max="4" width="18.13"/>
    <col customWidth="1" min="5" max="5" width="14.63"/>
    <col customWidth="1" min="6" max="6" width="23.88"/>
    <col customWidth="1" min="7" max="7" width="25.13"/>
  </cols>
  <sheetData>
    <row r="2">
      <c r="B2" s="1" t="s">
        <v>877</v>
      </c>
    </row>
    <row r="4">
      <c r="B4" s="138" t="s">
        <v>145</v>
      </c>
      <c r="C4" s="138" t="s">
        <v>878</v>
      </c>
      <c r="D4" s="138" t="s">
        <v>230</v>
      </c>
      <c r="E4" s="138"/>
      <c r="F4" s="138" t="s">
        <v>231</v>
      </c>
      <c r="G4" s="138" t="s">
        <v>149</v>
      </c>
    </row>
    <row r="5">
      <c r="B5" s="139"/>
      <c r="C5" s="139"/>
      <c r="D5" s="139"/>
      <c r="E5" s="139"/>
      <c r="F5" s="139"/>
      <c r="G5" s="139"/>
    </row>
    <row r="6">
      <c r="B6" s="140" t="s">
        <v>861</v>
      </c>
      <c r="C6" s="141" t="s">
        <v>6</v>
      </c>
      <c r="D6" s="140" t="s">
        <v>879</v>
      </c>
      <c r="E6" s="140"/>
      <c r="F6" s="140" t="s">
        <v>880</v>
      </c>
      <c r="G6" s="139" t="str">
        <f t="shared" ref="G6:G10" si="1">CLEAN(D6)</f>
        <v>Milk Bread</v>
      </c>
    </row>
    <row r="7">
      <c r="B7" s="139"/>
      <c r="C7" s="139"/>
      <c r="D7" s="140" t="s">
        <v>881</v>
      </c>
      <c r="E7" s="140"/>
      <c r="F7" s="140" t="s">
        <v>882</v>
      </c>
      <c r="G7" s="139" t="str">
        <f t="shared" si="1"/>
        <v>order#123</v>
      </c>
    </row>
    <row r="8">
      <c r="B8" s="139"/>
      <c r="C8" s="139"/>
      <c r="D8" s="140" t="s">
        <v>883</v>
      </c>
      <c r="E8" s="140"/>
      <c r="F8" s="140" t="s">
        <v>884</v>
      </c>
      <c r="G8" s="139" t="str">
        <f t="shared" si="1"/>
        <v>cafe&amp;pizza</v>
      </c>
    </row>
    <row r="9">
      <c r="B9" s="139"/>
      <c r="C9" s="139"/>
      <c r="D9" s="140" t="s">
        <v>885</v>
      </c>
      <c r="E9" s="140"/>
      <c r="F9" s="140" t="s">
        <v>886</v>
      </c>
      <c r="G9" s="139" t="str">
        <f t="shared" si="1"/>
        <v>charger    -plug</v>
      </c>
    </row>
    <row r="10">
      <c r="B10" s="139"/>
      <c r="C10" s="139"/>
      <c r="D10" s="140" t="s">
        <v>887</v>
      </c>
      <c r="E10" s="140"/>
      <c r="F10" s="140" t="s">
        <v>888</v>
      </c>
      <c r="G10" s="139" t="str">
        <f t="shared" si="1"/>
        <v>AI - ML</v>
      </c>
    </row>
    <row r="11">
      <c r="B11" s="139"/>
      <c r="C11" s="139"/>
      <c r="D11" s="139"/>
      <c r="E11" s="139"/>
      <c r="F11" s="139"/>
      <c r="G11" s="139"/>
    </row>
    <row r="12">
      <c r="B12" s="139"/>
      <c r="C12" s="139"/>
      <c r="D12" s="139"/>
      <c r="E12" s="139"/>
      <c r="F12" s="139"/>
      <c r="G12" s="139"/>
    </row>
    <row r="13">
      <c r="B13" s="140" t="s">
        <v>863</v>
      </c>
      <c r="C13" s="141" t="s">
        <v>381</v>
      </c>
      <c r="D13" s="140" t="s">
        <v>889</v>
      </c>
      <c r="E13" s="140" t="s">
        <v>890</v>
      </c>
      <c r="F13" s="140" t="s">
        <v>891</v>
      </c>
      <c r="G13" s="139" t="str">
        <f t="shared" ref="G13:G17" si="2">CONCAT(D13,E13)</f>
        <v>ChickenBiryani</v>
      </c>
    </row>
    <row r="14">
      <c r="B14" s="139"/>
      <c r="C14" s="139"/>
      <c r="D14" s="140" t="s">
        <v>892</v>
      </c>
      <c r="E14" s="140" t="s">
        <v>893</v>
      </c>
      <c r="F14" s="140" t="s">
        <v>894</v>
      </c>
      <c r="G14" s="139" t="str">
        <f t="shared" si="2"/>
        <v>coldcoffee</v>
      </c>
    </row>
    <row r="15">
      <c r="B15" s="139"/>
      <c r="C15" s="139"/>
      <c r="D15" s="140" t="s">
        <v>895</v>
      </c>
      <c r="E15" s="140" t="s">
        <v>896</v>
      </c>
      <c r="F15" s="140" t="s">
        <v>897</v>
      </c>
      <c r="G15" s="139" t="str">
        <f t="shared" si="2"/>
        <v>pavbhaji</v>
      </c>
    </row>
    <row r="16">
      <c r="B16" s="139"/>
      <c r="C16" s="139"/>
      <c r="D16" s="140" t="s">
        <v>898</v>
      </c>
      <c r="E16" s="140" t="s">
        <v>899</v>
      </c>
      <c r="F16" s="140" t="s">
        <v>900</v>
      </c>
      <c r="G16" s="139" t="str">
        <f t="shared" si="2"/>
        <v>PaneerMomos</v>
      </c>
    </row>
    <row r="17">
      <c r="B17" s="139"/>
      <c r="C17" s="139"/>
      <c r="D17" s="140" t="s">
        <v>901</v>
      </c>
      <c r="E17" s="140" t="s">
        <v>902</v>
      </c>
      <c r="F17" s="140" t="s">
        <v>903</v>
      </c>
      <c r="G17" s="139" t="str">
        <f t="shared" si="2"/>
        <v>MasalaDosa</v>
      </c>
    </row>
    <row r="18">
      <c r="B18" s="139"/>
      <c r="C18" s="139"/>
      <c r="D18" s="139"/>
      <c r="E18" s="139"/>
      <c r="F18" s="139"/>
      <c r="G18" s="139"/>
    </row>
    <row r="19">
      <c r="B19" s="140" t="s">
        <v>904</v>
      </c>
      <c r="C19" s="141" t="s">
        <v>44</v>
      </c>
      <c r="D19" s="140" t="s">
        <v>387</v>
      </c>
      <c r="E19" s="140" t="s">
        <v>905</v>
      </c>
      <c r="F19" s="140" t="s">
        <v>906</v>
      </c>
      <c r="G19" s="139" t="b">
        <f t="shared" ref="G19:G23" si="3">EXACT(D19,E19)</f>
        <v>0</v>
      </c>
    </row>
    <row r="20">
      <c r="B20" s="139"/>
      <c r="C20" s="139"/>
      <c r="D20" s="140" t="s">
        <v>3</v>
      </c>
      <c r="E20" s="140" t="s">
        <v>3</v>
      </c>
      <c r="F20" s="140" t="s">
        <v>600</v>
      </c>
      <c r="G20" s="139" t="b">
        <f t="shared" si="3"/>
        <v>1</v>
      </c>
    </row>
    <row r="21">
      <c r="B21" s="139"/>
      <c r="C21" s="139"/>
      <c r="D21" s="140" t="s">
        <v>907</v>
      </c>
      <c r="E21" s="140" t="s">
        <v>908</v>
      </c>
      <c r="F21" s="140" t="s">
        <v>602</v>
      </c>
      <c r="G21" s="139" t="b">
        <f t="shared" si="3"/>
        <v>0</v>
      </c>
    </row>
    <row r="22">
      <c r="B22" s="139"/>
      <c r="C22" s="139"/>
      <c r="D22" s="140" t="s">
        <v>909</v>
      </c>
      <c r="E22" s="140" t="s">
        <v>910</v>
      </c>
      <c r="F22" s="140" t="s">
        <v>604</v>
      </c>
      <c r="G22" s="139" t="b">
        <f t="shared" si="3"/>
        <v>0</v>
      </c>
    </row>
    <row r="23">
      <c r="B23" s="139"/>
      <c r="C23" s="139"/>
      <c r="D23" s="140" t="s">
        <v>911</v>
      </c>
      <c r="E23" s="140" t="s">
        <v>911</v>
      </c>
      <c r="F23" s="140" t="s">
        <v>606</v>
      </c>
      <c r="G23" s="139" t="b">
        <f t="shared" si="3"/>
        <v>1</v>
      </c>
    </row>
    <row r="24">
      <c r="B24" s="139"/>
      <c r="C24" s="139"/>
      <c r="D24" s="139"/>
      <c r="E24" s="139"/>
      <c r="F24" s="139"/>
      <c r="G24" s="139"/>
    </row>
    <row r="25">
      <c r="B25" s="140" t="s">
        <v>912</v>
      </c>
      <c r="C25" s="141" t="s">
        <v>33</v>
      </c>
      <c r="D25" s="140" t="s">
        <v>913</v>
      </c>
      <c r="E25" s="139"/>
      <c r="F25" s="140" t="s">
        <v>914</v>
      </c>
      <c r="G25" s="139">
        <f>FIND("N",D25)</f>
        <v>3</v>
      </c>
    </row>
    <row r="26">
      <c r="B26" s="139"/>
      <c r="C26" s="139"/>
      <c r="D26" s="140" t="s">
        <v>915</v>
      </c>
      <c r="E26" s="139"/>
      <c r="F26" s="140" t="s">
        <v>916</v>
      </c>
      <c r="G26" s="139">
        <f>FIND("D",D26)</f>
        <v>4</v>
      </c>
    </row>
    <row r="27">
      <c r="B27" s="139"/>
      <c r="C27" s="139"/>
      <c r="D27" s="140" t="s">
        <v>453</v>
      </c>
      <c r="E27" s="139"/>
      <c r="F27" s="140" t="s">
        <v>917</v>
      </c>
      <c r="G27" s="139">
        <f>FIND("N",D27)</f>
        <v>5</v>
      </c>
    </row>
    <row r="28">
      <c r="B28" s="139"/>
      <c r="C28" s="139"/>
      <c r="D28" s="140" t="s">
        <v>918</v>
      </c>
      <c r="E28" s="139"/>
      <c r="F28" s="140" t="s">
        <v>919</v>
      </c>
      <c r="G28" s="139">
        <f>FIND("K",D28)</f>
        <v>7</v>
      </c>
    </row>
    <row r="29">
      <c r="B29" s="139"/>
      <c r="C29" s="139"/>
      <c r="D29" s="140" t="s">
        <v>441</v>
      </c>
      <c r="E29" s="139"/>
      <c r="F29" s="140" t="s">
        <v>920</v>
      </c>
      <c r="G29" s="139">
        <f>FIND("I",D29)</f>
        <v>1</v>
      </c>
    </row>
    <row r="30">
      <c r="B30" s="139"/>
      <c r="C30" s="139"/>
      <c r="D30" s="139"/>
      <c r="E30" s="139"/>
      <c r="F30" s="139"/>
      <c r="G30" s="139"/>
    </row>
    <row r="31">
      <c r="B31" s="140" t="s">
        <v>921</v>
      </c>
      <c r="C31" s="141" t="s">
        <v>57</v>
      </c>
      <c r="D31" s="140" t="s">
        <v>922</v>
      </c>
      <c r="E31" s="139"/>
      <c r="F31" s="140" t="s">
        <v>923</v>
      </c>
      <c r="G31" s="139" t="str">
        <f>LEFT(D31,4)</f>
        <v>Stud</v>
      </c>
    </row>
    <row r="32">
      <c r="B32" s="139"/>
      <c r="C32" s="139"/>
      <c r="D32" s="140" t="s">
        <v>924</v>
      </c>
      <c r="E32" s="139"/>
      <c r="F32" s="140" t="s">
        <v>925</v>
      </c>
      <c r="G32" s="139" t="str">
        <f>LEFT(D32,3)</f>
        <v>Tea</v>
      </c>
    </row>
    <row r="33">
      <c r="B33" s="139"/>
      <c r="C33" s="139"/>
      <c r="D33" s="140" t="s">
        <v>926</v>
      </c>
      <c r="E33" s="139"/>
      <c r="F33" s="140" t="s">
        <v>927</v>
      </c>
      <c r="G33" s="139" t="str">
        <f>LEFT(D33,5)</f>
        <v>Libra</v>
      </c>
    </row>
    <row r="34">
      <c r="B34" s="139"/>
      <c r="C34" s="139"/>
      <c r="D34" s="140" t="s">
        <v>257</v>
      </c>
      <c r="E34" s="139"/>
      <c r="F34" s="140" t="s">
        <v>928</v>
      </c>
      <c r="G34" s="139" t="str">
        <f>LEFT(D34,7)</f>
        <v>College</v>
      </c>
    </row>
    <row r="35">
      <c r="B35" s="139"/>
      <c r="C35" s="139"/>
      <c r="D35" s="140" t="s">
        <v>929</v>
      </c>
      <c r="E35" s="139"/>
      <c r="F35" s="140" t="s">
        <v>930</v>
      </c>
      <c r="G35" s="139" t="str">
        <f>LEFT(D35,5)</f>
        <v>Class</v>
      </c>
    </row>
    <row r="36">
      <c r="B36" s="139"/>
      <c r="C36" s="139"/>
      <c r="D36" s="139"/>
      <c r="E36" s="139"/>
      <c r="F36" s="139"/>
      <c r="G36" s="139"/>
    </row>
    <row r="37">
      <c r="B37" s="140" t="s">
        <v>931</v>
      </c>
      <c r="C37" s="141" t="s">
        <v>123</v>
      </c>
      <c r="D37" s="140" t="s">
        <v>932</v>
      </c>
      <c r="E37" s="139"/>
      <c r="F37" s="140" t="s">
        <v>933</v>
      </c>
      <c r="G37" s="139" t="str">
        <f>RIGHT(D37,9)</f>
        <v>structure</v>
      </c>
    </row>
    <row r="38">
      <c r="B38" s="139"/>
      <c r="C38" s="139"/>
      <c r="D38" s="140" t="s">
        <v>934</v>
      </c>
      <c r="E38" s="139"/>
      <c r="F38" s="140" t="s">
        <v>935</v>
      </c>
      <c r="G38" s="139" t="str">
        <f>RIGHT(D38,4)</f>
        <v>stem</v>
      </c>
    </row>
    <row r="39">
      <c r="B39" s="139"/>
      <c r="C39" s="139"/>
      <c r="D39" s="140" t="s">
        <v>794</v>
      </c>
      <c r="E39" s="139"/>
      <c r="F39" s="140" t="s">
        <v>936</v>
      </c>
      <c r="G39" s="139" t="str">
        <f>RIGHT(D39,9)</f>
        <v>computing</v>
      </c>
    </row>
    <row r="40">
      <c r="B40" s="139"/>
      <c r="C40" s="139"/>
      <c r="D40" s="140" t="s">
        <v>937</v>
      </c>
      <c r="E40" s="139"/>
      <c r="F40" s="140" t="s">
        <v>938</v>
      </c>
      <c r="G40" s="139" t="str">
        <f>RIGHT(D40,15)</f>
        <v>al intelligence</v>
      </c>
    </row>
    <row r="41">
      <c r="B41" s="139"/>
      <c r="C41" s="139"/>
      <c r="D41" s="140" t="s">
        <v>939</v>
      </c>
      <c r="E41" s="139"/>
      <c r="F41" s="140" t="s">
        <v>940</v>
      </c>
      <c r="G41" s="139" t="str">
        <f>RIGHT(D41,7)</f>
        <v>network</v>
      </c>
    </row>
    <row r="42">
      <c r="B42" s="139"/>
      <c r="C42" s="139"/>
      <c r="D42" s="139"/>
      <c r="E42" s="139"/>
      <c r="F42" s="139"/>
      <c r="G42" s="139"/>
    </row>
    <row r="43">
      <c r="B43" s="140" t="s">
        <v>941</v>
      </c>
      <c r="C43" s="141" t="s">
        <v>90</v>
      </c>
      <c r="D43" s="140" t="s">
        <v>942</v>
      </c>
      <c r="E43" s="139"/>
      <c r="F43" s="140" t="s">
        <v>943</v>
      </c>
      <c r="G43" s="139" t="str">
        <f>MID(D43,3,8)</f>
        <v>ephant</v>
      </c>
    </row>
    <row r="44">
      <c r="B44" s="139"/>
      <c r="C44" s="139"/>
      <c r="D44" s="140" t="s">
        <v>944</v>
      </c>
      <c r="E44" s="139"/>
      <c r="F44" s="140" t="s">
        <v>945</v>
      </c>
      <c r="G44" s="139" t="str">
        <f>MID(D44,2,5)</f>
        <v>iger</v>
      </c>
    </row>
    <row r="45">
      <c r="B45" s="139"/>
      <c r="C45" s="139"/>
      <c r="D45" s="140" t="s">
        <v>946</v>
      </c>
      <c r="E45" s="139"/>
      <c r="F45" s="140" t="s">
        <v>947</v>
      </c>
      <c r="G45" s="139" t="str">
        <f>MID(D45,3,6)</f>
        <v>raffe</v>
      </c>
    </row>
    <row r="46">
      <c r="B46" s="139"/>
      <c r="C46" s="139"/>
      <c r="D46" s="140" t="s">
        <v>948</v>
      </c>
      <c r="E46" s="139"/>
      <c r="F46" s="140" t="s">
        <v>949</v>
      </c>
      <c r="G46" s="139" t="str">
        <f>MID(D46,4,7)</f>
        <v>phin</v>
      </c>
    </row>
    <row r="47">
      <c r="B47" s="139"/>
      <c r="C47" s="139"/>
      <c r="D47" s="140" t="s">
        <v>950</v>
      </c>
      <c r="E47" s="139"/>
      <c r="F47" s="140" t="s">
        <v>951</v>
      </c>
      <c r="G47" s="139" t="str">
        <f>MID(D47,1,7)</f>
        <v>Penguin</v>
      </c>
    </row>
    <row r="48">
      <c r="B48" s="139"/>
      <c r="C48" s="139"/>
      <c r="D48" s="139"/>
      <c r="E48" s="139"/>
      <c r="F48" s="139"/>
      <c r="G48" s="139"/>
    </row>
    <row r="49">
      <c r="B49" s="140" t="s">
        <v>952</v>
      </c>
      <c r="C49" s="142" t="s">
        <v>79</v>
      </c>
      <c r="D49" s="140" t="s">
        <v>953</v>
      </c>
      <c r="E49" s="139"/>
      <c r="F49" s="140" t="s">
        <v>954</v>
      </c>
      <c r="G49" s="139" t="str">
        <f t="shared" ref="G49:G53" si="4">LOWER(D49)</f>
        <v>shah rukh khan</v>
      </c>
    </row>
    <row r="50">
      <c r="B50" s="139"/>
      <c r="C50" s="139"/>
      <c r="D50" s="140" t="s">
        <v>955</v>
      </c>
      <c r="E50" s="139"/>
      <c r="F50" s="140" t="s">
        <v>956</v>
      </c>
      <c r="G50" s="139" t="str">
        <f t="shared" si="4"/>
        <v>leonardo dicaprio</v>
      </c>
    </row>
    <row r="51">
      <c r="B51" s="139"/>
      <c r="C51" s="139"/>
      <c r="D51" s="140" t="s">
        <v>957</v>
      </c>
      <c r="E51" s="139"/>
      <c r="F51" s="140" t="s">
        <v>958</v>
      </c>
      <c r="G51" s="139" t="str">
        <f t="shared" si="4"/>
        <v> allu arjun</v>
      </c>
    </row>
    <row r="52">
      <c r="B52" s="139"/>
      <c r="C52" s="139"/>
      <c r="D52" s="140" t="s">
        <v>959</v>
      </c>
      <c r="E52" s="139"/>
      <c r="F52" s="140" t="s">
        <v>960</v>
      </c>
      <c r="G52" s="139" t="str">
        <f t="shared" si="4"/>
        <v> chen zheyuan</v>
      </c>
    </row>
    <row r="53">
      <c r="B53" s="139"/>
      <c r="C53" s="139"/>
      <c r="D53" s="140" t="s">
        <v>961</v>
      </c>
      <c r="E53" s="139"/>
      <c r="F53" s="140" t="s">
        <v>962</v>
      </c>
      <c r="G53" s="139" t="str">
        <f t="shared" si="4"/>
        <v>bilal abbas</v>
      </c>
    </row>
    <row r="54">
      <c r="B54" s="139"/>
      <c r="C54" s="139"/>
      <c r="D54" s="139"/>
      <c r="E54" s="139"/>
      <c r="F54" s="139"/>
      <c r="G54" s="139"/>
    </row>
    <row r="55">
      <c r="B55" s="140" t="s">
        <v>963</v>
      </c>
      <c r="C55" s="141" t="s">
        <v>134</v>
      </c>
      <c r="D55" s="140" t="s">
        <v>964</v>
      </c>
      <c r="E55" s="139"/>
      <c r="F55" s="140" t="s">
        <v>965</v>
      </c>
      <c r="G55" s="139" t="str">
        <f t="shared" ref="G55:G59" si="5">UPPER(D55)</f>
        <v>ALIA BHATT</v>
      </c>
    </row>
    <row r="56">
      <c r="B56" s="139"/>
      <c r="C56" s="139"/>
      <c r="D56" s="140" t="s">
        <v>966</v>
      </c>
      <c r="E56" s="139"/>
      <c r="F56" s="140" t="s">
        <v>967</v>
      </c>
      <c r="G56" s="139" t="str">
        <f t="shared" si="5"/>
        <v>SCARLETT JOHANSSON</v>
      </c>
    </row>
    <row r="57">
      <c r="B57" s="139"/>
      <c r="C57" s="139"/>
      <c r="D57" s="140" t="s">
        <v>968</v>
      </c>
      <c r="E57" s="139"/>
      <c r="F57" s="140" t="s">
        <v>969</v>
      </c>
      <c r="G57" s="139" t="str">
        <f t="shared" si="5"/>
        <v>SAMANTHA PRABHU</v>
      </c>
    </row>
    <row r="58">
      <c r="B58" s="139"/>
      <c r="C58" s="139"/>
      <c r="D58" s="140" t="s">
        <v>970</v>
      </c>
      <c r="E58" s="139"/>
      <c r="F58" s="140" t="s">
        <v>971</v>
      </c>
      <c r="G58" s="139" t="str">
        <f t="shared" si="5"/>
        <v>ZHAO LUSI</v>
      </c>
    </row>
    <row r="59">
      <c r="B59" s="139"/>
      <c r="C59" s="139"/>
      <c r="D59" s="140" t="s">
        <v>972</v>
      </c>
      <c r="E59" s="139"/>
      <c r="F59" s="140" t="s">
        <v>973</v>
      </c>
      <c r="G59" s="139" t="str">
        <f t="shared" si="5"/>
        <v>HANIA AMIR</v>
      </c>
    </row>
    <row r="60">
      <c r="B60" s="139"/>
      <c r="C60" s="139"/>
      <c r="D60" s="139"/>
      <c r="E60" s="139"/>
      <c r="F60" s="139"/>
      <c r="G60" s="139"/>
    </row>
    <row r="61">
      <c r="B61" s="140" t="s">
        <v>974</v>
      </c>
      <c r="C61" s="141" t="s">
        <v>68</v>
      </c>
      <c r="D61" s="140" t="s">
        <v>975</v>
      </c>
      <c r="E61" s="139"/>
      <c r="F61" s="140" t="s">
        <v>976</v>
      </c>
      <c r="G61" s="139">
        <f t="shared" ref="G61:G65" si="6">LEN(D61)</f>
        <v>11</v>
      </c>
    </row>
    <row r="62">
      <c r="B62" s="139"/>
      <c r="C62" s="139"/>
      <c r="D62" s="140" t="s">
        <v>977</v>
      </c>
      <c r="E62" s="139"/>
      <c r="F62" s="140" t="s">
        <v>978</v>
      </c>
      <c r="G62" s="139">
        <f t="shared" si="6"/>
        <v>10</v>
      </c>
    </row>
    <row r="63">
      <c r="B63" s="139"/>
      <c r="C63" s="139"/>
      <c r="D63" s="140" t="s">
        <v>979</v>
      </c>
      <c r="E63" s="139"/>
      <c r="F63" s="140" t="s">
        <v>980</v>
      </c>
      <c r="G63" s="139">
        <f t="shared" si="6"/>
        <v>8</v>
      </c>
    </row>
    <row r="64">
      <c r="B64" s="139"/>
      <c r="C64" s="139"/>
      <c r="D64" s="140" t="s">
        <v>981</v>
      </c>
      <c r="E64" s="139"/>
      <c r="F64" s="140" t="s">
        <v>982</v>
      </c>
      <c r="G64" s="139">
        <f t="shared" si="6"/>
        <v>11</v>
      </c>
    </row>
    <row r="65">
      <c r="B65" s="139"/>
      <c r="C65" s="139"/>
      <c r="D65" s="140" t="s">
        <v>983</v>
      </c>
      <c r="E65" s="139"/>
      <c r="F65" s="140" t="s">
        <v>984</v>
      </c>
      <c r="G65" s="139">
        <f t="shared" si="6"/>
        <v>10</v>
      </c>
    </row>
    <row r="66">
      <c r="B66" s="139"/>
      <c r="C66" s="139"/>
      <c r="D66" s="139"/>
      <c r="E66" s="139"/>
      <c r="F66" s="139"/>
      <c r="G66" s="139"/>
    </row>
    <row r="67">
      <c r="B67" s="140" t="s">
        <v>985</v>
      </c>
      <c r="C67" s="141" t="s">
        <v>112</v>
      </c>
      <c r="D67" s="140" t="s">
        <v>986</v>
      </c>
      <c r="E67" s="139"/>
      <c r="F67" s="140" t="s">
        <v>987</v>
      </c>
      <c r="G67" s="139" t="str">
        <f>REPLACE(D67,7,12,"shi")</f>
        <v>Indirashi</v>
      </c>
    </row>
    <row r="68">
      <c r="B68" s="139"/>
      <c r="C68" s="139"/>
      <c r="D68" s="140" t="s">
        <v>988</v>
      </c>
      <c r="E68" s="139"/>
      <c r="F68" s="140" t="s">
        <v>989</v>
      </c>
      <c r="G68" s="139" t="str">
        <f>REPLACE(D68,6,12,"lal")</f>
        <v>Jawahlal</v>
      </c>
    </row>
    <row r="69">
      <c r="B69" s="139"/>
      <c r="C69" s="139"/>
      <c r="D69" s="140" t="s">
        <v>990</v>
      </c>
      <c r="E69" s="139"/>
      <c r="F69" s="140" t="s">
        <v>991</v>
      </c>
      <c r="G69" s="139" t="str">
        <f>REPLACE(D69,6,12," kalam")</f>
        <v>A.P.J kalam</v>
      </c>
    </row>
    <row r="70">
      <c r="B70" s="139"/>
      <c r="C70" s="139"/>
      <c r="D70" s="140" t="s">
        <v>992</v>
      </c>
      <c r="E70" s="139"/>
      <c r="F70" s="140" t="s">
        <v>993</v>
      </c>
      <c r="G70" s="139" t="str">
        <f>REPLACE(D70,1,0," ")</f>
        <v> B. R. Ambedkar</v>
      </c>
    </row>
    <row r="71">
      <c r="B71" s="139"/>
      <c r="C71" s="139"/>
      <c r="D71" s="140" t="s">
        <v>994</v>
      </c>
      <c r="E71" s="139"/>
      <c r="F71" s="140" t="s">
        <v>995</v>
      </c>
      <c r="G71" s="139" t="str">
        <f>REPLACE(D71,9,12,"@")</f>
        <v>Pratibha@</v>
      </c>
    </row>
    <row r="72">
      <c r="B72" s="139"/>
      <c r="C72" s="139"/>
      <c r="D72" s="139"/>
      <c r="E72" s="139"/>
      <c r="F72" s="139"/>
      <c r="G72" s="139"/>
    </row>
    <row r="73">
      <c r="B73" s="139"/>
      <c r="C73" s="139"/>
      <c r="D73" s="139"/>
      <c r="E73" s="139"/>
      <c r="F73" s="139"/>
      <c r="G73" s="139"/>
    </row>
    <row r="74">
      <c r="B74" s="140" t="s">
        <v>996</v>
      </c>
      <c r="C74" s="141" t="s">
        <v>101</v>
      </c>
      <c r="D74" s="140" t="s">
        <v>997</v>
      </c>
      <c r="E74" s="139"/>
      <c r="F74" s="140" t="s">
        <v>998</v>
      </c>
      <c r="G74" s="139" t="str">
        <f t="shared" ref="G74:G78" si="7">PROPER(D74)</f>
        <v>Avengers Endgame</v>
      </c>
    </row>
    <row r="75">
      <c r="B75" s="139"/>
      <c r="C75" s="139"/>
      <c r="D75" s="140" t="s">
        <v>999</v>
      </c>
      <c r="E75" s="139"/>
      <c r="F75" s="140" t="s">
        <v>1000</v>
      </c>
      <c r="G75" s="139" t="str">
        <f t="shared" si="7"/>
        <v>Avatar The Way Of Water</v>
      </c>
    </row>
    <row r="76">
      <c r="B76" s="139"/>
      <c r="C76" s="139"/>
      <c r="D76" s="140" t="s">
        <v>1001</v>
      </c>
      <c r="E76" s="139"/>
      <c r="F76" s="140" t="s">
        <v>1002</v>
      </c>
      <c r="G76" s="139" t="str">
        <f t="shared" si="7"/>
        <v>3 Idiots</v>
      </c>
    </row>
    <row r="77">
      <c r="B77" s="139"/>
      <c r="C77" s="139"/>
      <c r="D77" s="140" t="s">
        <v>1003</v>
      </c>
      <c r="E77" s="139"/>
      <c r="F77" s="140" t="s">
        <v>1004</v>
      </c>
      <c r="G77" s="139" t="str">
        <f t="shared" si="7"/>
        <v>Train To Busan</v>
      </c>
    </row>
    <row r="78">
      <c r="B78" s="139"/>
      <c r="C78" s="139"/>
      <c r="D78" s="140" t="s">
        <v>1005</v>
      </c>
      <c r="E78" s="139"/>
      <c r="F78" s="140" t="s">
        <v>1006</v>
      </c>
      <c r="G78" s="139" t="str">
        <f t="shared" si="7"/>
        <v>All Of Us Are Dead</v>
      </c>
    </row>
    <row r="81">
      <c r="D81" s="1"/>
      <c r="F81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75"/>
    <col customWidth="1" min="6" max="6" width="21.75"/>
    <col customWidth="1" min="7" max="26" width="16.75"/>
  </cols>
  <sheetData>
    <row r="1">
      <c r="A1" s="1" t="s">
        <v>1007</v>
      </c>
      <c r="C1" s="143" t="s">
        <v>1</v>
      </c>
      <c r="D1" s="144" t="s">
        <v>2</v>
      </c>
      <c r="E1" s="144" t="s">
        <v>3</v>
      </c>
      <c r="F1" s="144" t="s">
        <v>4</v>
      </c>
      <c r="G1" s="144" t="s">
        <v>5</v>
      </c>
    </row>
    <row r="2">
      <c r="C2" s="145"/>
      <c r="D2" s="146"/>
      <c r="E2" s="146"/>
      <c r="F2" s="146"/>
      <c r="G2" s="146"/>
    </row>
    <row r="3">
      <c r="C3" s="147">
        <v>1.0</v>
      </c>
      <c r="D3" s="148" t="s">
        <v>17</v>
      </c>
      <c r="E3" s="149" t="s">
        <v>1008</v>
      </c>
      <c r="F3" s="149" t="s">
        <v>1009</v>
      </c>
      <c r="G3" s="150" t="str">
        <f>CONCAT(E3,E4)</f>
        <v>JaiVeeru</v>
      </c>
    </row>
    <row r="4">
      <c r="C4" s="145"/>
      <c r="D4" s="146"/>
      <c r="E4" s="149" t="s">
        <v>1010</v>
      </c>
      <c r="F4" s="146"/>
      <c r="G4" s="146"/>
    </row>
    <row r="5">
      <c r="C5" s="145"/>
      <c r="D5" s="146"/>
      <c r="E5" s="150"/>
      <c r="F5" s="146"/>
      <c r="G5" s="146"/>
    </row>
    <row r="6">
      <c r="C6" s="145"/>
      <c r="D6" s="146"/>
      <c r="E6" s="149" t="s">
        <v>1011</v>
      </c>
      <c r="F6" s="149" t="s">
        <v>1012</v>
      </c>
      <c r="G6" s="149" t="str">
        <f>CONCAT(E6,E7)</f>
        <v>RadhaSham</v>
      </c>
    </row>
    <row r="7">
      <c r="C7" s="145"/>
      <c r="D7" s="146"/>
      <c r="E7" s="149" t="s">
        <v>1013</v>
      </c>
      <c r="F7" s="146"/>
      <c r="G7" s="146"/>
    </row>
    <row r="8">
      <c r="C8" s="145"/>
      <c r="D8" s="146"/>
      <c r="E8" s="150"/>
      <c r="F8" s="146"/>
      <c r="G8" s="146"/>
    </row>
    <row r="9">
      <c r="C9" s="145"/>
      <c r="D9" s="146"/>
      <c r="E9" s="149" t="s">
        <v>24</v>
      </c>
      <c r="F9" s="149" t="s">
        <v>1014</v>
      </c>
      <c r="G9" s="149" t="str">
        <f>CONCAT(E9,E10)</f>
        <v>StartEnd</v>
      </c>
    </row>
    <row r="10">
      <c r="C10" s="145"/>
      <c r="D10" s="146"/>
      <c r="E10" s="149" t="s">
        <v>1015</v>
      </c>
      <c r="F10" s="146"/>
      <c r="G10" s="146"/>
    </row>
    <row r="11">
      <c r="C11" s="145"/>
      <c r="D11" s="146"/>
      <c r="E11" s="150"/>
      <c r="F11" s="146"/>
      <c r="G11" s="146"/>
    </row>
    <row r="12">
      <c r="C12" s="145"/>
      <c r="D12" s="146"/>
      <c r="E12" s="149" t="s">
        <v>1016</v>
      </c>
      <c r="F12" s="149" t="s">
        <v>1017</v>
      </c>
      <c r="G12" s="149" t="str">
        <f>CONCAT(E12,E13)</f>
        <v>StrangeThings</v>
      </c>
    </row>
    <row r="13">
      <c r="C13" s="145"/>
      <c r="D13" s="146"/>
      <c r="E13" s="149" t="s">
        <v>29</v>
      </c>
      <c r="F13" s="146"/>
      <c r="G13" s="146"/>
    </row>
    <row r="14">
      <c r="C14" s="145"/>
      <c r="D14" s="146"/>
      <c r="E14" s="150"/>
      <c r="F14" s="146"/>
      <c r="G14" s="146"/>
    </row>
    <row r="15">
      <c r="C15" s="145"/>
      <c r="D15" s="146"/>
      <c r="E15" s="149" t="s">
        <v>279</v>
      </c>
      <c r="F15" s="149" t="s">
        <v>1018</v>
      </c>
      <c r="G15" s="149" t="str">
        <f>CONCAT(E15,E16)</f>
        <v>LeftRight</v>
      </c>
    </row>
    <row r="16">
      <c r="C16" s="151"/>
      <c r="D16" s="152"/>
      <c r="E16" s="153" t="s">
        <v>285</v>
      </c>
      <c r="F16" s="152"/>
      <c r="G16" s="152"/>
    </row>
    <row r="17">
      <c r="C17" s="145"/>
      <c r="D17" s="146"/>
      <c r="E17" s="146"/>
      <c r="F17" s="146"/>
      <c r="G17" s="146"/>
    </row>
    <row r="18">
      <c r="C18" s="147">
        <v>2.0</v>
      </c>
      <c r="D18" s="148" t="s">
        <v>33</v>
      </c>
      <c r="E18" s="149" t="s">
        <v>1019</v>
      </c>
      <c r="F18" s="149" t="s">
        <v>1020</v>
      </c>
      <c r="G18" s="149">
        <f>FIND("n",E18)</f>
        <v>4</v>
      </c>
    </row>
    <row r="19">
      <c r="C19" s="145"/>
      <c r="D19" s="146"/>
      <c r="E19" s="149" t="s">
        <v>1021</v>
      </c>
      <c r="F19" s="149" t="s">
        <v>1022</v>
      </c>
      <c r="G19" s="149">
        <f>FIND("C",E19)</f>
        <v>1</v>
      </c>
    </row>
    <row r="20">
      <c r="C20" s="145"/>
      <c r="D20" s="146"/>
      <c r="E20" s="149" t="s">
        <v>1023</v>
      </c>
      <c r="F20" s="149" t="s">
        <v>1024</v>
      </c>
      <c r="G20" s="149">
        <f>FIND("c",E20)</f>
        <v>4</v>
      </c>
    </row>
    <row r="21">
      <c r="C21" s="145"/>
      <c r="D21" s="146"/>
      <c r="E21" s="149" t="s">
        <v>1025</v>
      </c>
      <c r="F21" s="149" t="s">
        <v>1026</v>
      </c>
      <c r="G21" s="149">
        <f>FIND("s",E21)</f>
        <v>3</v>
      </c>
    </row>
    <row r="22">
      <c r="C22" s="151"/>
      <c r="D22" s="152"/>
      <c r="E22" s="153" t="s">
        <v>1027</v>
      </c>
      <c r="F22" s="153" t="s">
        <v>39</v>
      </c>
      <c r="G22" s="153">
        <f>FIND("a",E22)</f>
        <v>2</v>
      </c>
    </row>
    <row r="23">
      <c r="C23" s="145"/>
      <c r="D23" s="146"/>
      <c r="E23" s="146"/>
      <c r="F23" s="146"/>
      <c r="G23" s="146"/>
    </row>
    <row r="24">
      <c r="C24" s="147">
        <v>3.0</v>
      </c>
      <c r="D24" s="148" t="s">
        <v>44</v>
      </c>
      <c r="E24" s="149" t="s">
        <v>1028</v>
      </c>
      <c r="F24" s="149" t="s">
        <v>1029</v>
      </c>
      <c r="G24" s="149" t="b">
        <f>EXACT(E24,E25)</f>
        <v>1</v>
      </c>
    </row>
    <row r="25">
      <c r="C25" s="145"/>
      <c r="D25" s="146"/>
      <c r="E25" s="149" t="s">
        <v>1028</v>
      </c>
      <c r="F25" s="146"/>
      <c r="G25" s="146"/>
    </row>
    <row r="26">
      <c r="C26" s="145"/>
      <c r="D26" s="146"/>
      <c r="E26" s="150"/>
      <c r="F26" s="146"/>
      <c r="G26" s="146"/>
    </row>
    <row r="27">
      <c r="C27" s="145"/>
      <c r="D27" s="146"/>
      <c r="E27" s="149" t="s">
        <v>1030</v>
      </c>
      <c r="F27" s="149" t="s">
        <v>46</v>
      </c>
      <c r="G27" s="149" t="b">
        <f>EXACT(E27,E28)</f>
        <v>0</v>
      </c>
    </row>
    <row r="28">
      <c r="C28" s="145"/>
      <c r="D28" s="146"/>
      <c r="E28" s="149" t="s">
        <v>1031</v>
      </c>
      <c r="F28" s="146"/>
      <c r="G28" s="146"/>
    </row>
    <row r="29">
      <c r="C29" s="145"/>
      <c r="D29" s="146"/>
      <c r="E29" s="150"/>
      <c r="F29" s="146"/>
      <c r="G29" s="146"/>
    </row>
    <row r="30">
      <c r="C30" s="145"/>
      <c r="D30" s="146"/>
      <c r="E30" s="149" t="s">
        <v>1032</v>
      </c>
      <c r="F30" s="149" t="s">
        <v>1033</v>
      </c>
      <c r="G30" s="149" t="b">
        <f>EXACT(E30,E31)</f>
        <v>0</v>
      </c>
    </row>
    <row r="31">
      <c r="C31" s="145"/>
      <c r="D31" s="146"/>
      <c r="E31" s="149" t="s">
        <v>1034</v>
      </c>
      <c r="F31" s="146"/>
      <c r="G31" s="146"/>
    </row>
    <row r="32">
      <c r="C32" s="145"/>
      <c r="D32" s="146"/>
      <c r="E32" s="150"/>
      <c r="F32" s="146"/>
      <c r="G32" s="146"/>
    </row>
    <row r="33">
      <c r="C33" s="145"/>
      <c r="D33" s="146"/>
      <c r="E33" s="149" t="s">
        <v>1035</v>
      </c>
      <c r="F33" s="149" t="s">
        <v>54</v>
      </c>
      <c r="G33" s="149" t="b">
        <f>EXACT(E33,E34)</f>
        <v>0</v>
      </c>
    </row>
    <row r="34">
      <c r="C34" s="145"/>
      <c r="D34" s="146"/>
      <c r="E34" s="149" t="s">
        <v>1036</v>
      </c>
      <c r="F34" s="146"/>
      <c r="G34" s="146"/>
    </row>
    <row r="35">
      <c r="C35" s="145"/>
      <c r="D35" s="146"/>
      <c r="E35" s="150"/>
      <c r="F35" s="146"/>
      <c r="G35" s="146"/>
    </row>
    <row r="36">
      <c r="C36" s="145"/>
      <c r="D36" s="146"/>
      <c r="E36" s="149" t="s">
        <v>1037</v>
      </c>
      <c r="F36" s="149" t="s">
        <v>1038</v>
      </c>
      <c r="G36" s="149" t="b">
        <f>EXACT(E36,E37)</f>
        <v>1</v>
      </c>
    </row>
    <row r="37">
      <c r="C37" s="151"/>
      <c r="D37" s="152"/>
      <c r="E37" s="153" t="s">
        <v>1037</v>
      </c>
      <c r="F37" s="152"/>
      <c r="G37" s="152"/>
    </row>
    <row r="38">
      <c r="C38" s="145"/>
      <c r="D38" s="146"/>
      <c r="E38" s="146"/>
      <c r="F38" s="146"/>
      <c r="G38" s="146"/>
    </row>
    <row r="39">
      <c r="C39" s="147">
        <v>4.0</v>
      </c>
      <c r="D39" s="148" t="s">
        <v>57</v>
      </c>
      <c r="E39" s="149" t="s">
        <v>1039</v>
      </c>
      <c r="F39" s="149" t="s">
        <v>1040</v>
      </c>
      <c r="G39" s="149" t="str">
        <f>LEFT(E39,3)</f>
        <v>Red</v>
      </c>
    </row>
    <row r="40">
      <c r="C40" s="145"/>
      <c r="D40" s="146"/>
      <c r="E40" s="149" t="s">
        <v>1041</v>
      </c>
      <c r="F40" s="149" t="s">
        <v>1042</v>
      </c>
      <c r="G40" s="149" t="str">
        <f>LEFT(E40,4)</f>
        <v>Pink</v>
      </c>
    </row>
    <row r="41">
      <c r="C41" s="145"/>
      <c r="D41" s="146"/>
      <c r="E41" s="149" t="s">
        <v>1043</v>
      </c>
      <c r="F41" s="149" t="s">
        <v>1044</v>
      </c>
      <c r="G41" s="149" t="str">
        <f>LEFT(E41,6)</f>
        <v>Orange</v>
      </c>
    </row>
    <row r="42">
      <c r="C42" s="145"/>
      <c r="D42" s="146"/>
      <c r="E42" s="149" t="s">
        <v>1045</v>
      </c>
      <c r="F42" s="149" t="s">
        <v>1046</v>
      </c>
      <c r="G42" s="149" t="str">
        <f>LEFT(E42,5)</f>
        <v>Brown</v>
      </c>
    </row>
    <row r="43">
      <c r="C43" s="151"/>
      <c r="D43" s="152"/>
      <c r="E43" s="153" t="s">
        <v>1047</v>
      </c>
      <c r="F43" s="153" t="s">
        <v>1048</v>
      </c>
      <c r="G43" s="153" t="str">
        <f>LEFT(E43,6)</f>
        <v>Purple</v>
      </c>
    </row>
    <row r="44">
      <c r="C44" s="145"/>
      <c r="D44" s="146"/>
      <c r="E44" s="146"/>
      <c r="F44" s="146"/>
      <c r="G44" s="146"/>
    </row>
    <row r="45">
      <c r="C45" s="147">
        <v>5.0</v>
      </c>
      <c r="D45" s="148" t="s">
        <v>123</v>
      </c>
      <c r="E45" s="149" t="s">
        <v>1039</v>
      </c>
      <c r="F45" s="149" t="s">
        <v>1049</v>
      </c>
      <c r="G45" s="149" t="str">
        <f>RIGHT(E45,5)</f>
        <v>Shade</v>
      </c>
    </row>
    <row r="46">
      <c r="C46" s="145"/>
      <c r="D46" s="146"/>
      <c r="E46" s="149" t="s">
        <v>1041</v>
      </c>
      <c r="F46" s="149" t="s">
        <v>1050</v>
      </c>
      <c r="G46" s="149" t="str">
        <f>RIGHT(E46,4)</f>
        <v>wink</v>
      </c>
    </row>
    <row r="47">
      <c r="C47" s="145"/>
      <c r="D47" s="146"/>
      <c r="E47" s="149" t="s">
        <v>1043</v>
      </c>
      <c r="F47" s="149" t="s">
        <v>1051</v>
      </c>
      <c r="G47" s="149" t="str">
        <f>RIGHT(E47,6)</f>
        <v>Orange</v>
      </c>
    </row>
    <row r="48">
      <c r="C48" s="145"/>
      <c r="D48" s="146"/>
      <c r="E48" s="149" t="s">
        <v>1045</v>
      </c>
      <c r="F48" s="149" t="s">
        <v>1052</v>
      </c>
      <c r="G48" s="149" t="str">
        <f>RIGHT(E48,5)</f>
        <v>Crown</v>
      </c>
    </row>
    <row r="49">
      <c r="C49" s="151"/>
      <c r="D49" s="152"/>
      <c r="E49" s="153" t="s">
        <v>1047</v>
      </c>
      <c r="F49" s="153" t="s">
        <v>1053</v>
      </c>
      <c r="G49" s="153" t="str">
        <f>RIGHT(E49,6)</f>
        <v>hurdle</v>
      </c>
    </row>
    <row r="50">
      <c r="C50" s="145"/>
      <c r="D50" s="146"/>
      <c r="E50" s="146"/>
      <c r="F50" s="146"/>
      <c r="G50" s="146"/>
    </row>
    <row r="51">
      <c r="C51" s="147">
        <v>6.0</v>
      </c>
      <c r="D51" s="148" t="s">
        <v>68</v>
      </c>
      <c r="E51" s="149" t="s">
        <v>1028</v>
      </c>
      <c r="F51" s="149" t="s">
        <v>1054</v>
      </c>
      <c r="G51" s="149">
        <f t="shared" ref="G51:G55" si="1">LEN(E51)</f>
        <v>3</v>
      </c>
    </row>
    <row r="52">
      <c r="C52" s="145"/>
      <c r="D52" s="146"/>
      <c r="E52" s="149" t="s">
        <v>1030</v>
      </c>
      <c r="F52" s="149" t="s">
        <v>1055</v>
      </c>
      <c r="G52" s="149">
        <f t="shared" si="1"/>
        <v>4</v>
      </c>
    </row>
    <row r="53">
      <c r="C53" s="145"/>
      <c r="D53" s="146"/>
      <c r="E53" s="149" t="s">
        <v>1032</v>
      </c>
      <c r="F53" s="149" t="s">
        <v>1056</v>
      </c>
      <c r="G53" s="149">
        <f t="shared" si="1"/>
        <v>6</v>
      </c>
    </row>
    <row r="54">
      <c r="C54" s="145"/>
      <c r="D54" s="146"/>
      <c r="E54" s="149" t="s">
        <v>1036</v>
      </c>
      <c r="F54" s="149" t="s">
        <v>1057</v>
      </c>
      <c r="G54" s="149">
        <f t="shared" si="1"/>
        <v>5</v>
      </c>
    </row>
    <row r="55">
      <c r="C55" s="151"/>
      <c r="D55" s="152"/>
      <c r="E55" s="153" t="s">
        <v>1037</v>
      </c>
      <c r="F55" s="153" t="s">
        <v>1058</v>
      </c>
      <c r="G55" s="153">
        <f t="shared" si="1"/>
        <v>6</v>
      </c>
    </row>
    <row r="56">
      <c r="C56" s="145"/>
      <c r="D56" s="146"/>
      <c r="E56" s="146"/>
      <c r="F56" s="146"/>
      <c r="G56" s="146"/>
    </row>
    <row r="57">
      <c r="C57" s="147">
        <v>7.0</v>
      </c>
      <c r="D57" s="148" t="s">
        <v>79</v>
      </c>
      <c r="E57" s="149" t="s">
        <v>1028</v>
      </c>
      <c r="F57" s="149" t="s">
        <v>1059</v>
      </c>
      <c r="G57" s="149" t="str">
        <f t="shared" ref="G57:G61" si="2">LOWER(E57)</f>
        <v>red</v>
      </c>
    </row>
    <row r="58">
      <c r="C58" s="145"/>
      <c r="D58" s="146"/>
      <c r="E58" s="149" t="s">
        <v>1060</v>
      </c>
      <c r="F58" s="149" t="s">
        <v>1061</v>
      </c>
      <c r="G58" s="149" t="str">
        <f t="shared" si="2"/>
        <v>pink</v>
      </c>
    </row>
    <row r="59">
      <c r="C59" s="145"/>
      <c r="D59" s="146"/>
      <c r="E59" s="149" t="s">
        <v>1062</v>
      </c>
      <c r="F59" s="149" t="s">
        <v>1063</v>
      </c>
      <c r="G59" s="149" t="str">
        <f t="shared" si="2"/>
        <v>orange</v>
      </c>
    </row>
    <row r="60">
      <c r="C60" s="145"/>
      <c r="D60" s="146"/>
      <c r="E60" s="149" t="s">
        <v>1064</v>
      </c>
      <c r="F60" s="149" t="s">
        <v>1065</v>
      </c>
      <c r="G60" s="149" t="str">
        <f t="shared" si="2"/>
        <v>blue</v>
      </c>
    </row>
    <row r="61">
      <c r="C61" s="151"/>
      <c r="D61" s="152"/>
      <c r="E61" s="153" t="s">
        <v>1066</v>
      </c>
      <c r="F61" s="153" t="s">
        <v>1067</v>
      </c>
      <c r="G61" s="153" t="str">
        <f t="shared" si="2"/>
        <v>purple</v>
      </c>
    </row>
    <row r="62">
      <c r="C62" s="145"/>
      <c r="D62" s="146"/>
      <c r="E62" s="146"/>
      <c r="F62" s="146"/>
      <c r="G62" s="146"/>
    </row>
    <row r="63">
      <c r="C63" s="147">
        <v>8.0</v>
      </c>
      <c r="D63" s="148" t="s">
        <v>134</v>
      </c>
      <c r="E63" s="149" t="s">
        <v>1028</v>
      </c>
      <c r="F63" s="149" t="s">
        <v>1068</v>
      </c>
      <c r="G63" s="149" t="str">
        <f t="shared" ref="G63:G67" si="3">UPPER(E63)</f>
        <v>RED</v>
      </c>
    </row>
    <row r="64">
      <c r="C64" s="145"/>
      <c r="D64" s="146"/>
      <c r="E64" s="149" t="s">
        <v>1060</v>
      </c>
      <c r="F64" s="149" t="s">
        <v>1069</v>
      </c>
      <c r="G64" s="154" t="str">
        <f t="shared" si="3"/>
        <v>PINK</v>
      </c>
    </row>
    <row r="65">
      <c r="C65" s="145"/>
      <c r="D65" s="146"/>
      <c r="E65" s="149" t="s">
        <v>1062</v>
      </c>
      <c r="F65" s="149" t="s">
        <v>1070</v>
      </c>
      <c r="G65" s="149" t="str">
        <f t="shared" si="3"/>
        <v>ORANGE</v>
      </c>
    </row>
    <row r="66">
      <c r="C66" s="145"/>
      <c r="D66" s="146"/>
      <c r="E66" s="149" t="s">
        <v>1064</v>
      </c>
      <c r="F66" s="149" t="s">
        <v>1071</v>
      </c>
      <c r="G66" s="149" t="str">
        <f t="shared" si="3"/>
        <v>BLUE</v>
      </c>
    </row>
    <row r="67">
      <c r="C67" s="151"/>
      <c r="D67" s="152"/>
      <c r="E67" s="153" t="s">
        <v>1066</v>
      </c>
      <c r="F67" s="153" t="s">
        <v>1072</v>
      </c>
      <c r="G67" s="153" t="str">
        <f t="shared" si="3"/>
        <v>PURPLE</v>
      </c>
    </row>
    <row r="68">
      <c r="C68" s="145"/>
      <c r="D68" s="146"/>
      <c r="E68" s="146"/>
      <c r="F68" s="146"/>
      <c r="G68" s="146"/>
    </row>
    <row r="69">
      <c r="C69" s="147">
        <v>9.0</v>
      </c>
      <c r="D69" s="148" t="s">
        <v>101</v>
      </c>
      <c r="E69" s="149" t="s">
        <v>1028</v>
      </c>
      <c r="F69" s="149" t="s">
        <v>1073</v>
      </c>
      <c r="G69" s="149" t="str">
        <f t="shared" ref="G69:G73" si="4">PROPER(E69)</f>
        <v>Red</v>
      </c>
    </row>
    <row r="70">
      <c r="C70" s="145"/>
      <c r="D70" s="146"/>
      <c r="E70" s="149" t="s">
        <v>1060</v>
      </c>
      <c r="F70" s="149" t="s">
        <v>1074</v>
      </c>
      <c r="G70" s="149" t="str">
        <f t="shared" si="4"/>
        <v>Pink</v>
      </c>
    </row>
    <row r="71">
      <c r="C71" s="145"/>
      <c r="D71" s="146"/>
      <c r="E71" s="149" t="s">
        <v>1062</v>
      </c>
      <c r="F71" s="149" t="s">
        <v>1075</v>
      </c>
      <c r="G71" s="149" t="str">
        <f t="shared" si="4"/>
        <v>Orange</v>
      </c>
    </row>
    <row r="72">
      <c r="C72" s="145"/>
      <c r="D72" s="146"/>
      <c r="E72" s="149" t="s">
        <v>1064</v>
      </c>
      <c r="F72" s="149" t="s">
        <v>1076</v>
      </c>
      <c r="G72" s="149" t="str">
        <f t="shared" si="4"/>
        <v>Blue</v>
      </c>
    </row>
    <row r="73">
      <c r="C73" s="151"/>
      <c r="D73" s="152"/>
      <c r="E73" s="153" t="s">
        <v>1066</v>
      </c>
      <c r="F73" s="153" t="s">
        <v>1077</v>
      </c>
      <c r="G73" s="153" t="str">
        <f t="shared" si="4"/>
        <v>Purple</v>
      </c>
    </row>
    <row r="74">
      <c r="C74" s="145"/>
      <c r="D74" s="146"/>
      <c r="E74" s="146"/>
      <c r="F74" s="146"/>
      <c r="G74" s="146"/>
    </row>
    <row r="75">
      <c r="C75" s="147">
        <v>10.0</v>
      </c>
      <c r="D75" s="148" t="s">
        <v>112</v>
      </c>
      <c r="E75" s="149" t="s">
        <v>1039</v>
      </c>
      <c r="F75" s="149" t="s">
        <v>1078</v>
      </c>
      <c r="G75" s="149" t="str">
        <f>REPLACE(E75,4,5,"Bus")</f>
        <v>RedBus</v>
      </c>
    </row>
    <row r="76">
      <c r="C76" s="145"/>
      <c r="D76" s="146"/>
      <c r="E76" s="149" t="s">
        <v>1041</v>
      </c>
      <c r="F76" s="149" t="s">
        <v>1079</v>
      </c>
      <c r="G76" s="149" t="str">
        <f>REPLACE(E76,5,4,"Drink")</f>
        <v>PinkDrink</v>
      </c>
    </row>
    <row r="77">
      <c r="C77" s="145"/>
      <c r="D77" s="146"/>
      <c r="E77" s="149" t="s">
        <v>1043</v>
      </c>
      <c r="F77" s="149" t="s">
        <v>1080</v>
      </c>
      <c r="G77" s="149" t="str">
        <f>REPLACE(E77,7,6," ")</f>
        <v>Orange </v>
      </c>
    </row>
    <row r="78">
      <c r="C78" s="145"/>
      <c r="D78" s="146"/>
      <c r="E78" s="149" t="s">
        <v>1045</v>
      </c>
      <c r="F78" s="149" t="s">
        <v>1081</v>
      </c>
      <c r="G78" s="149" t="str">
        <f>REPLACE(E78,1,5,"Royal")</f>
        <v>RoyalCrown</v>
      </c>
    </row>
    <row r="79">
      <c r="C79" s="151"/>
      <c r="D79" s="152"/>
      <c r="E79" s="153" t="s">
        <v>1047</v>
      </c>
      <c r="F79" s="153" t="s">
        <v>1082</v>
      </c>
      <c r="G79" s="153" t="str">
        <f>REPLACE(E79,1,6,"")</f>
        <v>hurdle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75"/>
  </cols>
  <sheetData>
    <row r="1">
      <c r="A1" s="155" t="s">
        <v>2</v>
      </c>
      <c r="B1" s="156" t="s">
        <v>233</v>
      </c>
      <c r="C1" s="156" t="s">
        <v>233</v>
      </c>
      <c r="D1" s="156" t="s">
        <v>4</v>
      </c>
      <c r="E1" s="156" t="s">
        <v>5</v>
      </c>
    </row>
    <row r="2">
      <c r="A2" s="157" t="s">
        <v>6</v>
      </c>
      <c r="B2" s="158" t="s">
        <v>686</v>
      </c>
      <c r="C2" s="158"/>
      <c r="D2" s="158" t="s">
        <v>1083</v>
      </c>
      <c r="E2" s="158" t="s">
        <v>686</v>
      </c>
    </row>
    <row r="3">
      <c r="A3" s="157" t="s">
        <v>6</v>
      </c>
      <c r="B3" s="159" t="s">
        <v>1084</v>
      </c>
      <c r="C3" s="158"/>
      <c r="D3" s="158" t="s">
        <v>1085</v>
      </c>
      <c r="E3" s="158" t="str">
        <f t="shared" ref="E3:E6" si="1">CLEAN(B3)</f>
        <v>Data Entry</v>
      </c>
      <c r="F3" s="160"/>
      <c r="G3" s="160"/>
    </row>
    <row r="4">
      <c r="A4" s="161" t="s">
        <v>6</v>
      </c>
      <c r="B4" s="162" t="s">
        <v>1086</v>
      </c>
      <c r="C4" s="158"/>
      <c r="D4" s="158" t="s">
        <v>1087</v>
      </c>
      <c r="E4" s="162" t="str">
        <f t="shared" si="1"/>
        <v>ExcelTraining</v>
      </c>
      <c r="F4" s="163"/>
    </row>
    <row r="5">
      <c r="A5" s="161" t="s">
        <v>6</v>
      </c>
      <c r="B5" s="158" t="s">
        <v>1088</v>
      </c>
      <c r="C5" s="158"/>
      <c r="D5" s="158" t="s">
        <v>1089</v>
      </c>
      <c r="E5" s="164" t="str">
        <f t="shared" si="1"/>
        <v>HRReport</v>
      </c>
    </row>
    <row r="6">
      <c r="A6" s="161" t="s">
        <v>6</v>
      </c>
      <c r="B6" s="158" t="s">
        <v>1090</v>
      </c>
      <c r="C6" s="158"/>
      <c r="D6" s="158" t="s">
        <v>1091</v>
      </c>
      <c r="E6" s="164" t="str">
        <f t="shared" si="1"/>
        <v>EmployeeList</v>
      </c>
    </row>
    <row r="7">
      <c r="A7" s="161"/>
      <c r="B7" s="158"/>
      <c r="C7" s="158"/>
      <c r="D7" s="158"/>
      <c r="E7" s="164"/>
    </row>
    <row r="8">
      <c r="A8" s="161" t="s">
        <v>17</v>
      </c>
      <c r="B8" s="158" t="s">
        <v>1092</v>
      </c>
      <c r="C8" s="158" t="s">
        <v>1093</v>
      </c>
      <c r="D8" s="158" t="s">
        <v>1094</v>
      </c>
      <c r="E8" s="164" t="str">
        <f t="shared" ref="E8:E12" si="2">CONCAT(B8,C8)</f>
        <v>HRReport</v>
      </c>
    </row>
    <row r="9">
      <c r="A9" s="161" t="s">
        <v>17</v>
      </c>
      <c r="B9" s="158" t="s">
        <v>1095</v>
      </c>
      <c r="C9" s="158" t="s">
        <v>1096</v>
      </c>
      <c r="D9" s="158" t="s">
        <v>1097</v>
      </c>
      <c r="E9" s="164" t="str">
        <f t="shared" si="2"/>
        <v>HR Manager</v>
      </c>
    </row>
    <row r="10">
      <c r="A10" s="161" t="s">
        <v>17</v>
      </c>
      <c r="B10" s="158" t="s">
        <v>1098</v>
      </c>
      <c r="C10" s="158" t="s">
        <v>1099</v>
      </c>
      <c r="D10" s="158" t="s">
        <v>1100</v>
      </c>
      <c r="E10" s="164" t="str">
        <f t="shared" si="2"/>
        <v>Data Analyst</v>
      </c>
    </row>
    <row r="11">
      <c r="A11" s="161" t="s">
        <v>17</v>
      </c>
      <c r="B11" s="158" t="s">
        <v>1101</v>
      </c>
      <c r="C11" s="158" t="s">
        <v>1102</v>
      </c>
      <c r="D11" s="158" t="s">
        <v>1103</v>
      </c>
      <c r="E11" s="164" t="str">
        <f t="shared" si="2"/>
        <v>Women Day</v>
      </c>
    </row>
    <row r="12">
      <c r="A12" s="161" t="s">
        <v>17</v>
      </c>
      <c r="B12" s="158" t="s">
        <v>1104</v>
      </c>
      <c r="C12" s="158" t="s">
        <v>709</v>
      </c>
      <c r="D12" s="158" t="s">
        <v>1105</v>
      </c>
      <c r="E12" s="164" t="str">
        <f t="shared" si="2"/>
        <v>Excel Training</v>
      </c>
    </row>
    <row r="13">
      <c r="A13" s="161"/>
      <c r="B13" s="158"/>
      <c r="C13" s="164"/>
      <c r="D13" s="158"/>
      <c r="E13" s="164"/>
    </row>
    <row r="14">
      <c r="A14" s="161" t="s">
        <v>33</v>
      </c>
      <c r="B14" s="158" t="s">
        <v>763</v>
      </c>
      <c r="C14" s="164"/>
      <c r="D14" s="158" t="s">
        <v>1106</v>
      </c>
      <c r="E14" s="164">
        <f>FIND("l",B14,"4")</f>
        <v>4</v>
      </c>
    </row>
    <row r="15">
      <c r="A15" s="161" t="s">
        <v>33</v>
      </c>
      <c r="B15" s="158" t="s">
        <v>566</v>
      </c>
      <c r="C15" s="164"/>
      <c r="D15" s="158" t="s">
        <v>1107</v>
      </c>
      <c r="E15" s="164">
        <f>FIND("g",B15,"3")</f>
        <v>3</v>
      </c>
    </row>
    <row r="16">
      <c r="A16" s="161" t="s">
        <v>33</v>
      </c>
      <c r="B16" s="158" t="s">
        <v>259</v>
      </c>
      <c r="C16" s="164"/>
      <c r="D16" s="158" t="s">
        <v>1108</v>
      </c>
      <c r="E16" s="164">
        <f>FIND("x",B16,"2")</f>
        <v>2</v>
      </c>
    </row>
    <row r="17">
      <c r="A17" s="161" t="s">
        <v>33</v>
      </c>
      <c r="B17" s="158" t="s">
        <v>1109</v>
      </c>
      <c r="C17" s="164"/>
      <c r="D17" s="158" t="s">
        <v>1110</v>
      </c>
      <c r="E17" s="164">
        <f>FIND("c",B17,"5")</f>
        <v>5</v>
      </c>
    </row>
    <row r="18">
      <c r="A18" s="161" t="s">
        <v>33</v>
      </c>
      <c r="B18" s="158" t="s">
        <v>1096</v>
      </c>
      <c r="C18" s="164"/>
      <c r="D18" s="158" t="s">
        <v>1111</v>
      </c>
      <c r="E18" s="164">
        <f>Find("e",B18,"6")</f>
        <v>6</v>
      </c>
    </row>
    <row r="19">
      <c r="A19" s="161"/>
      <c r="B19" s="158"/>
      <c r="C19" s="158"/>
      <c r="D19" s="158"/>
      <c r="E19" s="164"/>
    </row>
    <row r="20">
      <c r="A20" s="161" t="s">
        <v>44</v>
      </c>
      <c r="B20" s="158" t="s">
        <v>1112</v>
      </c>
      <c r="C20" s="158" t="s">
        <v>1112</v>
      </c>
      <c r="D20" s="158" t="s">
        <v>1113</v>
      </c>
      <c r="E20" s="164" t="b">
        <f t="shared" ref="E20:E24" si="3">EXACT(B20,C20)</f>
        <v>1</v>
      </c>
    </row>
    <row r="21">
      <c r="A21" s="161" t="s">
        <v>44</v>
      </c>
      <c r="B21" s="158" t="s">
        <v>1104</v>
      </c>
      <c r="C21" s="158" t="s">
        <v>1104</v>
      </c>
      <c r="D21" s="158" t="s">
        <v>1114</v>
      </c>
      <c r="E21" s="164" t="b">
        <f t="shared" si="3"/>
        <v>1</v>
      </c>
    </row>
    <row r="22">
      <c r="A22" s="161" t="s">
        <v>44</v>
      </c>
      <c r="B22" s="158" t="s">
        <v>1092</v>
      </c>
      <c r="C22" s="158" t="s">
        <v>1115</v>
      </c>
      <c r="D22" s="158" t="s">
        <v>1116</v>
      </c>
      <c r="E22" s="164" t="b">
        <f t="shared" si="3"/>
        <v>0</v>
      </c>
    </row>
    <row r="23">
      <c r="A23" s="161" t="s">
        <v>44</v>
      </c>
      <c r="B23" s="158" t="s">
        <v>1098</v>
      </c>
      <c r="C23" s="158" t="s">
        <v>1117</v>
      </c>
      <c r="D23" s="158" t="s">
        <v>1118</v>
      </c>
      <c r="E23" s="164" t="b">
        <f t="shared" si="3"/>
        <v>0</v>
      </c>
    </row>
    <row r="24">
      <c r="A24" s="161" t="s">
        <v>44</v>
      </c>
      <c r="B24" s="158" t="s">
        <v>1119</v>
      </c>
      <c r="C24" s="158" t="s">
        <v>1120</v>
      </c>
      <c r="D24" s="158" t="s">
        <v>1121</v>
      </c>
      <c r="E24" s="164" t="b">
        <f t="shared" si="3"/>
        <v>0</v>
      </c>
    </row>
    <row r="25">
      <c r="A25" s="161"/>
      <c r="B25" s="158"/>
      <c r="C25" s="164"/>
      <c r="D25" s="158"/>
      <c r="E25" s="164"/>
    </row>
    <row r="26">
      <c r="A26" s="161" t="s">
        <v>57</v>
      </c>
      <c r="B26" s="158" t="s">
        <v>566</v>
      </c>
      <c r="C26" s="164"/>
      <c r="D26" s="158" t="s">
        <v>1122</v>
      </c>
      <c r="E26" s="164" t="str">
        <f>LEFT(B26,"3")</f>
        <v>Nag</v>
      </c>
    </row>
    <row r="27">
      <c r="A27" s="161" t="s">
        <v>57</v>
      </c>
      <c r="B27" s="158" t="s">
        <v>1096</v>
      </c>
      <c r="C27" s="164"/>
      <c r="D27" s="158" t="s">
        <v>1123</v>
      </c>
      <c r="E27" s="164" t="str">
        <f>LEFT(B27,"5")</f>
        <v>Manag</v>
      </c>
    </row>
    <row r="28">
      <c r="A28" s="161" t="s">
        <v>57</v>
      </c>
      <c r="B28" s="158" t="s">
        <v>259</v>
      </c>
      <c r="C28" s="164"/>
      <c r="D28" s="158" t="s">
        <v>1124</v>
      </c>
      <c r="E28" s="158" t="s">
        <v>1125</v>
      </c>
    </row>
    <row r="29">
      <c r="A29" s="161" t="s">
        <v>57</v>
      </c>
      <c r="B29" s="158" t="s">
        <v>1109</v>
      </c>
      <c r="C29" s="164"/>
      <c r="D29" s="158" t="s">
        <v>1126</v>
      </c>
      <c r="E29" s="158" t="s">
        <v>1127</v>
      </c>
    </row>
    <row r="30">
      <c r="A30" s="161" t="s">
        <v>57</v>
      </c>
      <c r="B30" s="158" t="s">
        <v>1112</v>
      </c>
      <c r="C30" s="164"/>
      <c r="D30" s="158" t="s">
        <v>1128</v>
      </c>
      <c r="E30" s="158" t="s">
        <v>1129</v>
      </c>
    </row>
    <row r="31">
      <c r="A31" s="161"/>
      <c r="B31" s="158"/>
      <c r="C31" s="164"/>
      <c r="D31" s="158"/>
      <c r="E31" s="164"/>
    </row>
    <row r="32">
      <c r="A32" s="161" t="s">
        <v>68</v>
      </c>
      <c r="B32" s="158" t="s">
        <v>259</v>
      </c>
      <c r="C32" s="164"/>
      <c r="D32" s="158" t="s">
        <v>1130</v>
      </c>
      <c r="E32" s="164">
        <f t="shared" ref="E32:E36" si="4">LEN(B32)</f>
        <v>5</v>
      </c>
    </row>
    <row r="33">
      <c r="A33" s="161" t="s">
        <v>68</v>
      </c>
      <c r="B33" s="158" t="s">
        <v>1092</v>
      </c>
      <c r="C33" s="164"/>
      <c r="D33" s="158" t="s">
        <v>1131</v>
      </c>
      <c r="E33" s="164">
        <f t="shared" si="4"/>
        <v>2</v>
      </c>
    </row>
    <row r="34">
      <c r="A34" s="161" t="s">
        <v>68</v>
      </c>
      <c r="B34" s="158" t="s">
        <v>566</v>
      </c>
      <c r="C34" s="164"/>
      <c r="D34" s="158" t="s">
        <v>1132</v>
      </c>
      <c r="E34" s="164">
        <f t="shared" si="4"/>
        <v>6</v>
      </c>
    </row>
    <row r="35">
      <c r="A35" s="161" t="s">
        <v>68</v>
      </c>
      <c r="B35" s="158" t="s">
        <v>1096</v>
      </c>
      <c r="C35" s="164"/>
      <c r="D35" s="158" t="s">
        <v>1133</v>
      </c>
      <c r="E35" s="164">
        <f t="shared" si="4"/>
        <v>7</v>
      </c>
    </row>
    <row r="36">
      <c r="A36" s="161" t="s">
        <v>68</v>
      </c>
      <c r="B36" s="158" t="s">
        <v>709</v>
      </c>
      <c r="C36" s="164"/>
      <c r="D36" s="158" t="s">
        <v>1134</v>
      </c>
      <c r="E36" s="164">
        <f t="shared" si="4"/>
        <v>8</v>
      </c>
    </row>
    <row r="37">
      <c r="A37" s="161"/>
      <c r="B37" s="158"/>
      <c r="C37" s="164"/>
      <c r="D37" s="158"/>
      <c r="E37" s="164"/>
    </row>
    <row r="38">
      <c r="A38" s="161" t="s">
        <v>79</v>
      </c>
      <c r="B38" s="158" t="s">
        <v>599</v>
      </c>
      <c r="C38" s="164"/>
      <c r="D38" s="158" t="s">
        <v>1135</v>
      </c>
      <c r="E38" s="164" t="str">
        <f t="shared" ref="E38:E42" si="5">LOWER(B38)</f>
        <v>excel</v>
      </c>
    </row>
    <row r="39">
      <c r="A39" s="161" t="s">
        <v>79</v>
      </c>
      <c r="B39" s="158" t="s">
        <v>1136</v>
      </c>
      <c r="C39" s="164"/>
      <c r="D39" s="158" t="s">
        <v>1137</v>
      </c>
      <c r="E39" s="164" t="str">
        <f t="shared" si="5"/>
        <v>hr manager</v>
      </c>
    </row>
    <row r="40">
      <c r="A40" s="161" t="s">
        <v>79</v>
      </c>
      <c r="B40" s="158" t="s">
        <v>1138</v>
      </c>
      <c r="C40" s="164"/>
      <c r="D40" s="158" t="s">
        <v>1139</v>
      </c>
      <c r="E40" s="164" t="str">
        <f t="shared" si="5"/>
        <v>data</v>
      </c>
    </row>
    <row r="41">
      <c r="A41" s="161" t="s">
        <v>79</v>
      </c>
      <c r="B41" s="158" t="s">
        <v>1140</v>
      </c>
      <c r="C41" s="164"/>
      <c r="D41" s="158" t="s">
        <v>1141</v>
      </c>
      <c r="E41" s="164" t="str">
        <f t="shared" si="5"/>
        <v>office</v>
      </c>
    </row>
    <row r="42">
      <c r="A42" s="161" t="s">
        <v>79</v>
      </c>
      <c r="B42" s="158" t="s">
        <v>1142</v>
      </c>
      <c r="C42" s="164"/>
      <c r="D42" s="158" t="s">
        <v>1143</v>
      </c>
      <c r="E42" s="164" t="str">
        <f t="shared" si="5"/>
        <v>training</v>
      </c>
    </row>
    <row r="43">
      <c r="A43" s="161"/>
      <c r="B43" s="158"/>
      <c r="C43" s="164"/>
      <c r="D43" s="158"/>
      <c r="E43" s="164"/>
    </row>
    <row r="44">
      <c r="A44" s="161" t="s">
        <v>90</v>
      </c>
      <c r="B44" s="158" t="s">
        <v>566</v>
      </c>
      <c r="C44" s="164"/>
      <c r="D44" s="158" t="s">
        <v>1144</v>
      </c>
      <c r="E44" s="164" t="str">
        <f>MID(B44,2,5)</f>
        <v>agpur</v>
      </c>
    </row>
    <row r="45">
      <c r="A45" s="161" t="s">
        <v>90</v>
      </c>
      <c r="B45" s="158" t="s">
        <v>1096</v>
      </c>
      <c r="C45" s="164"/>
      <c r="D45" s="158" t="s">
        <v>1145</v>
      </c>
      <c r="E45" s="164" t="str">
        <f>MID(B45,1,3)</f>
        <v>Man</v>
      </c>
    </row>
    <row r="46">
      <c r="A46" s="161" t="s">
        <v>90</v>
      </c>
      <c r="B46" s="158" t="s">
        <v>259</v>
      </c>
      <c r="C46" s="164"/>
      <c r="D46" s="158" t="s">
        <v>1146</v>
      </c>
      <c r="E46" s="164" t="str">
        <f>MID(B46,2,5)</f>
        <v>xcel</v>
      </c>
    </row>
    <row r="47">
      <c r="A47" s="161" t="s">
        <v>90</v>
      </c>
      <c r="B47" s="158" t="s">
        <v>1109</v>
      </c>
      <c r="C47" s="164"/>
      <c r="D47" s="158" t="s">
        <v>1147</v>
      </c>
      <c r="E47" s="164" t="str">
        <f>MID(B47,3,5)</f>
        <v>fice</v>
      </c>
    </row>
    <row r="48">
      <c r="A48" s="161" t="s">
        <v>90</v>
      </c>
      <c r="B48" s="158" t="s">
        <v>1112</v>
      </c>
      <c r="C48" s="164"/>
      <c r="D48" s="158" t="s">
        <v>1148</v>
      </c>
      <c r="E48" s="164" t="str">
        <f>MID(B48,2,4)</f>
        <v>mplo</v>
      </c>
    </row>
    <row r="49">
      <c r="A49" s="161"/>
      <c r="B49" s="158"/>
      <c r="C49" s="164"/>
      <c r="D49" s="158"/>
      <c r="E49" s="164"/>
    </row>
    <row r="50">
      <c r="A50" s="161" t="s">
        <v>101</v>
      </c>
      <c r="B50" s="158" t="s">
        <v>598</v>
      </c>
      <c r="C50" s="164"/>
      <c r="D50" s="158" t="s">
        <v>1149</v>
      </c>
      <c r="E50" s="164" t="str">
        <f t="shared" ref="E50:E54" si="6">PROPER(B50)</f>
        <v>Excel</v>
      </c>
    </row>
    <row r="51">
      <c r="A51" s="161" t="s">
        <v>101</v>
      </c>
      <c r="B51" s="158" t="s">
        <v>1150</v>
      </c>
      <c r="C51" s="164"/>
      <c r="D51" s="158" t="s">
        <v>1151</v>
      </c>
      <c r="E51" s="164" t="str">
        <f t="shared" si="6"/>
        <v>Hr Manager</v>
      </c>
    </row>
    <row r="52">
      <c r="A52" s="161" t="s">
        <v>101</v>
      </c>
      <c r="B52" s="158" t="s">
        <v>1152</v>
      </c>
      <c r="C52" s="164"/>
      <c r="D52" s="158" t="s">
        <v>1153</v>
      </c>
      <c r="E52" s="164" t="str">
        <f t="shared" si="6"/>
        <v>Excel Training</v>
      </c>
    </row>
    <row r="53">
      <c r="A53" s="161" t="s">
        <v>101</v>
      </c>
      <c r="B53" s="158" t="s">
        <v>1154</v>
      </c>
      <c r="C53" s="164"/>
      <c r="D53" s="158" t="s">
        <v>1155</v>
      </c>
      <c r="E53" s="164" t="str">
        <f t="shared" si="6"/>
        <v>Data Analyst</v>
      </c>
    </row>
    <row r="54">
      <c r="A54" s="161" t="s">
        <v>101</v>
      </c>
      <c r="B54" s="158" t="s">
        <v>1156</v>
      </c>
      <c r="C54" s="164"/>
      <c r="D54" s="158" t="s">
        <v>1157</v>
      </c>
      <c r="E54" s="164" t="str">
        <f t="shared" si="6"/>
        <v>Women Day</v>
      </c>
    </row>
    <row r="55">
      <c r="A55" s="161"/>
      <c r="B55" s="158"/>
      <c r="C55" s="164"/>
      <c r="D55" s="158"/>
      <c r="E55" s="164"/>
    </row>
    <row r="56">
      <c r="A56" s="161" t="s">
        <v>123</v>
      </c>
      <c r="B56" s="158" t="s">
        <v>566</v>
      </c>
      <c r="C56" s="164"/>
      <c r="D56" s="158" t="s">
        <v>1158</v>
      </c>
      <c r="E56" s="164" t="str">
        <f t="shared" ref="E56:E57" si="7">RIGHT(B56,3)</f>
        <v>pur</v>
      </c>
    </row>
    <row r="57">
      <c r="A57" s="161" t="s">
        <v>123</v>
      </c>
      <c r="B57" s="158" t="s">
        <v>1096</v>
      </c>
      <c r="C57" s="164"/>
      <c r="D57" s="158" t="s">
        <v>1159</v>
      </c>
      <c r="E57" s="164" t="str">
        <f t="shared" si="7"/>
        <v>ger</v>
      </c>
    </row>
    <row r="58">
      <c r="A58" s="161" t="s">
        <v>123</v>
      </c>
      <c r="B58" s="158" t="s">
        <v>259</v>
      </c>
      <c r="C58" s="164"/>
      <c r="D58" s="158" t="s">
        <v>1160</v>
      </c>
      <c r="E58" s="164" t="str">
        <f>RIGHT(B58,2)</f>
        <v>el</v>
      </c>
    </row>
    <row r="59">
      <c r="A59" s="161" t="s">
        <v>123</v>
      </c>
      <c r="B59" s="158" t="s">
        <v>1109</v>
      </c>
      <c r="C59" s="164"/>
      <c r="D59" s="158" t="s">
        <v>1161</v>
      </c>
      <c r="E59" s="164" t="str">
        <f>RIGHT(B59,4)</f>
        <v>fice</v>
      </c>
    </row>
    <row r="60">
      <c r="A60" s="161" t="s">
        <v>123</v>
      </c>
      <c r="B60" s="158" t="s">
        <v>1112</v>
      </c>
      <c r="C60" s="164"/>
      <c r="D60" s="158" t="s">
        <v>1162</v>
      </c>
      <c r="E60" s="164" t="str">
        <f>RIGHT(B60,3)</f>
        <v>yee</v>
      </c>
    </row>
    <row r="61">
      <c r="A61" s="161"/>
      <c r="B61" s="158"/>
      <c r="C61" s="164"/>
      <c r="D61" s="158"/>
      <c r="E61" s="164"/>
    </row>
    <row r="62">
      <c r="A62" s="161" t="s">
        <v>112</v>
      </c>
      <c r="B62" s="158" t="s">
        <v>259</v>
      </c>
      <c r="C62" s="164"/>
      <c r="D62" s="158" t="s">
        <v>1163</v>
      </c>
      <c r="E62" s="164" t="str">
        <f>REPLACE(B62,1,4,"penci")</f>
        <v>pencil</v>
      </c>
    </row>
    <row r="63">
      <c r="A63" s="161" t="s">
        <v>112</v>
      </c>
      <c r="B63" s="158" t="s">
        <v>566</v>
      </c>
      <c r="C63" s="164"/>
      <c r="D63" s="158" t="s">
        <v>1164</v>
      </c>
      <c r="E63" s="164" t="str">
        <f>REPLACE(B63,1,3,"kan")</f>
        <v>kanpur</v>
      </c>
    </row>
    <row r="64">
      <c r="A64" s="161" t="s">
        <v>112</v>
      </c>
      <c r="B64" s="158" t="s">
        <v>1165</v>
      </c>
      <c r="C64" s="164"/>
      <c r="D64" s="158" t="s">
        <v>1166</v>
      </c>
      <c r="E64" s="164" t="str">
        <f>REPLACE(B64,1,5,"februa")</f>
        <v>february</v>
      </c>
    </row>
    <row r="65">
      <c r="A65" s="161" t="s">
        <v>112</v>
      </c>
      <c r="B65" s="158" t="s">
        <v>1167</v>
      </c>
      <c r="C65" s="164"/>
      <c r="D65" s="158" t="s">
        <v>1168</v>
      </c>
      <c r="E65" s="164" t="str">
        <f>REPLACE(B65,4,8,"box")</f>
        <v>Icebox</v>
      </c>
    </row>
    <row r="66">
      <c r="A66" s="161" t="s">
        <v>112</v>
      </c>
      <c r="B66" s="158" t="s">
        <v>1169</v>
      </c>
      <c r="C66" s="164"/>
      <c r="D66" s="158" t="s">
        <v>1170</v>
      </c>
      <c r="E66" s="164" t="str">
        <f>REPLACE(B66,1,5,"Employee")</f>
        <v>Employee Data</v>
      </c>
    </row>
    <row r="67">
      <c r="A67" s="161"/>
      <c r="B67" s="158"/>
      <c r="C67" s="164"/>
      <c r="D67" s="158"/>
      <c r="E67" s="164"/>
    </row>
    <row r="68">
      <c r="A68" s="161" t="s">
        <v>134</v>
      </c>
      <c r="B68" s="158" t="s">
        <v>598</v>
      </c>
      <c r="C68" s="164"/>
      <c r="D68" s="158" t="s">
        <v>1171</v>
      </c>
      <c r="E68" s="164" t="str">
        <f t="shared" ref="E68:E72" si="8">UPPER(B68)</f>
        <v>EXCEL</v>
      </c>
    </row>
    <row r="69">
      <c r="A69" s="161" t="s">
        <v>134</v>
      </c>
      <c r="B69" s="158" t="s">
        <v>1150</v>
      </c>
      <c r="C69" s="164"/>
      <c r="D69" s="158" t="s">
        <v>1172</v>
      </c>
      <c r="E69" s="164" t="str">
        <f t="shared" si="8"/>
        <v>HR MANAGER</v>
      </c>
    </row>
    <row r="70">
      <c r="A70" s="161" t="s">
        <v>134</v>
      </c>
      <c r="B70" s="158" t="s">
        <v>1120</v>
      </c>
      <c r="C70" s="164"/>
      <c r="D70" s="158" t="s">
        <v>1173</v>
      </c>
      <c r="E70" s="164" t="str">
        <f t="shared" si="8"/>
        <v>NAGPUR</v>
      </c>
    </row>
    <row r="71">
      <c r="A71" s="161" t="s">
        <v>134</v>
      </c>
      <c r="B71" s="158" t="s">
        <v>1174</v>
      </c>
      <c r="C71" s="164"/>
      <c r="D71" s="158" t="s">
        <v>1175</v>
      </c>
      <c r="E71" s="164" t="str">
        <f t="shared" si="8"/>
        <v>OFFICE</v>
      </c>
    </row>
    <row r="72">
      <c r="A72" s="161" t="s">
        <v>134</v>
      </c>
      <c r="B72" s="158" t="s">
        <v>707</v>
      </c>
      <c r="C72" s="164"/>
      <c r="D72" s="158" t="s">
        <v>1176</v>
      </c>
      <c r="E72" s="164" t="str">
        <f t="shared" si="8"/>
        <v>TRAINING</v>
      </c>
    </row>
    <row r="73">
      <c r="B73" s="165"/>
      <c r="C73" s="165"/>
      <c r="D73" s="165"/>
      <c r="E73" s="165"/>
    </row>
    <row r="74">
      <c r="B74" s="165"/>
      <c r="C74" s="165"/>
      <c r="D74" s="165"/>
      <c r="E74" s="165"/>
    </row>
    <row r="75">
      <c r="B75" s="165"/>
      <c r="C75" s="165"/>
      <c r="D75" s="165"/>
      <c r="E75" s="165"/>
    </row>
    <row r="76">
      <c r="B76" s="165"/>
      <c r="C76" s="165"/>
      <c r="D76" s="165"/>
      <c r="E76" s="165"/>
    </row>
    <row r="77">
      <c r="B77" s="165"/>
      <c r="C77" s="165"/>
      <c r="D77" s="165"/>
      <c r="E77" s="165"/>
    </row>
    <row r="78">
      <c r="B78" s="165"/>
      <c r="C78" s="165"/>
      <c r="D78" s="165"/>
      <c r="E78" s="165"/>
    </row>
    <row r="79">
      <c r="B79" s="165"/>
      <c r="C79" s="165"/>
      <c r="D79" s="165"/>
      <c r="E79" s="165"/>
    </row>
    <row r="80">
      <c r="B80" s="165"/>
      <c r="C80" s="165"/>
      <c r="D80" s="165"/>
      <c r="E80" s="165"/>
    </row>
    <row r="81">
      <c r="B81" s="165"/>
      <c r="C81" s="165"/>
      <c r="D81" s="165"/>
      <c r="E81" s="165"/>
    </row>
    <row r="82">
      <c r="B82" s="165"/>
      <c r="C82" s="165"/>
      <c r="D82" s="165"/>
      <c r="E82" s="165"/>
    </row>
    <row r="83">
      <c r="B83" s="165"/>
      <c r="C83" s="165"/>
      <c r="D83" s="165"/>
      <c r="E83" s="165"/>
    </row>
    <row r="84">
      <c r="B84" s="165"/>
      <c r="C84" s="165"/>
      <c r="D84" s="165"/>
      <c r="E84" s="165"/>
    </row>
    <row r="85">
      <c r="B85" s="165"/>
      <c r="C85" s="165"/>
      <c r="D85" s="165"/>
      <c r="E85" s="165"/>
    </row>
    <row r="86">
      <c r="B86" s="165"/>
      <c r="C86" s="165"/>
      <c r="D86" s="165"/>
      <c r="E86" s="165"/>
    </row>
    <row r="87">
      <c r="B87" s="165"/>
      <c r="C87" s="165"/>
      <c r="D87" s="165"/>
      <c r="E87" s="165"/>
    </row>
    <row r="88">
      <c r="B88" s="165"/>
      <c r="C88" s="165"/>
      <c r="D88" s="165"/>
      <c r="E88" s="165"/>
    </row>
    <row r="89">
      <c r="B89" s="165"/>
      <c r="C89" s="165"/>
      <c r="D89" s="165"/>
      <c r="E89" s="165"/>
    </row>
    <row r="90">
      <c r="B90" s="165"/>
      <c r="C90" s="165"/>
      <c r="D90" s="165"/>
      <c r="E90" s="165"/>
    </row>
    <row r="91">
      <c r="B91" s="165"/>
      <c r="C91" s="165"/>
      <c r="D91" s="165"/>
      <c r="E91" s="165"/>
    </row>
    <row r="92">
      <c r="B92" s="165"/>
      <c r="C92" s="165"/>
      <c r="D92" s="165"/>
      <c r="E92" s="165"/>
    </row>
    <row r="93">
      <c r="B93" s="165"/>
      <c r="C93" s="165"/>
      <c r="D93" s="165"/>
      <c r="E93" s="165"/>
    </row>
    <row r="94">
      <c r="B94" s="165"/>
      <c r="C94" s="165"/>
      <c r="D94" s="165"/>
      <c r="E94" s="165"/>
    </row>
    <row r="95">
      <c r="B95" s="165"/>
      <c r="C95" s="165"/>
      <c r="D95" s="165"/>
      <c r="E95" s="165"/>
    </row>
    <row r="96">
      <c r="B96" s="165"/>
      <c r="C96" s="165"/>
      <c r="D96" s="165"/>
      <c r="E96" s="165"/>
    </row>
    <row r="97">
      <c r="B97" s="165"/>
      <c r="C97" s="165"/>
      <c r="D97" s="165"/>
      <c r="E97" s="165"/>
    </row>
    <row r="98">
      <c r="B98" s="165"/>
      <c r="C98" s="165"/>
      <c r="D98" s="165"/>
      <c r="E98" s="165"/>
    </row>
    <row r="99">
      <c r="B99" s="165"/>
      <c r="C99" s="165"/>
      <c r="D99" s="165"/>
      <c r="E99" s="165"/>
    </row>
    <row r="100">
      <c r="B100" s="165"/>
      <c r="C100" s="165"/>
      <c r="D100" s="165"/>
      <c r="E100" s="165"/>
    </row>
    <row r="101">
      <c r="B101" s="165"/>
      <c r="C101" s="165"/>
      <c r="D101" s="165"/>
      <c r="E101" s="165"/>
    </row>
    <row r="102">
      <c r="B102" s="165"/>
      <c r="C102" s="165"/>
      <c r="D102" s="165"/>
      <c r="E102" s="165"/>
    </row>
    <row r="103">
      <c r="B103" s="165"/>
      <c r="C103" s="165"/>
      <c r="D103" s="165"/>
      <c r="E103" s="165"/>
    </row>
    <row r="104">
      <c r="B104" s="165"/>
      <c r="C104" s="165"/>
      <c r="D104" s="165"/>
      <c r="E104" s="165"/>
    </row>
    <row r="105">
      <c r="B105" s="165"/>
      <c r="C105" s="165"/>
      <c r="D105" s="165"/>
      <c r="E105" s="165"/>
    </row>
    <row r="106">
      <c r="B106" s="165"/>
      <c r="C106" s="165"/>
      <c r="D106" s="165"/>
      <c r="E106" s="165"/>
    </row>
    <row r="107">
      <c r="B107" s="165"/>
      <c r="C107" s="165"/>
      <c r="D107" s="165"/>
      <c r="E107" s="165"/>
    </row>
    <row r="108">
      <c r="B108" s="165"/>
      <c r="C108" s="165"/>
      <c r="D108" s="165"/>
      <c r="E108" s="165"/>
    </row>
    <row r="109">
      <c r="B109" s="165"/>
      <c r="C109" s="165"/>
      <c r="D109" s="165"/>
      <c r="E109" s="165"/>
    </row>
    <row r="110">
      <c r="B110" s="165"/>
      <c r="C110" s="165"/>
      <c r="D110" s="165"/>
      <c r="E110" s="165"/>
    </row>
    <row r="111">
      <c r="B111" s="165"/>
      <c r="C111" s="165"/>
      <c r="D111" s="165"/>
      <c r="E111" s="165"/>
    </row>
    <row r="112">
      <c r="B112" s="165"/>
      <c r="C112" s="165"/>
      <c r="D112" s="165"/>
      <c r="E112" s="165"/>
    </row>
    <row r="113">
      <c r="B113" s="165"/>
      <c r="C113" s="165"/>
      <c r="D113" s="165"/>
      <c r="E113" s="165"/>
    </row>
    <row r="114">
      <c r="B114" s="165"/>
      <c r="C114" s="165"/>
      <c r="D114" s="165"/>
      <c r="E114" s="165"/>
    </row>
    <row r="115">
      <c r="B115" s="165"/>
      <c r="C115" s="165"/>
      <c r="D115" s="165"/>
      <c r="E115" s="165"/>
    </row>
    <row r="116">
      <c r="B116" s="165"/>
      <c r="C116" s="165"/>
      <c r="D116" s="165"/>
      <c r="E116" s="165"/>
    </row>
    <row r="117">
      <c r="B117" s="165"/>
      <c r="C117" s="165"/>
      <c r="D117" s="165"/>
      <c r="E117" s="165"/>
    </row>
    <row r="118">
      <c r="B118" s="165"/>
      <c r="C118" s="165"/>
      <c r="D118" s="165"/>
      <c r="E118" s="165"/>
    </row>
    <row r="119">
      <c r="B119" s="165"/>
      <c r="C119" s="165"/>
      <c r="D119" s="165"/>
      <c r="E119" s="165"/>
    </row>
    <row r="120">
      <c r="B120" s="165"/>
      <c r="C120" s="165"/>
      <c r="D120" s="165"/>
      <c r="E120" s="165"/>
    </row>
    <row r="121">
      <c r="B121" s="165"/>
      <c r="C121" s="165"/>
      <c r="D121" s="165"/>
      <c r="E121" s="165"/>
    </row>
    <row r="122">
      <c r="B122" s="165"/>
      <c r="C122" s="165"/>
      <c r="D122" s="165"/>
      <c r="E122" s="165"/>
    </row>
    <row r="123">
      <c r="B123" s="165"/>
      <c r="C123" s="165"/>
      <c r="D123" s="165"/>
      <c r="E123" s="165"/>
    </row>
    <row r="124">
      <c r="B124" s="165"/>
      <c r="C124" s="165"/>
      <c r="D124" s="165"/>
      <c r="E124" s="165"/>
    </row>
    <row r="125">
      <c r="B125" s="165"/>
      <c r="C125" s="165"/>
      <c r="D125" s="165"/>
      <c r="E125" s="165"/>
    </row>
    <row r="126">
      <c r="B126" s="165"/>
      <c r="C126" s="165"/>
      <c r="D126" s="165"/>
      <c r="E126" s="165"/>
    </row>
    <row r="127">
      <c r="B127" s="165"/>
      <c r="C127" s="165"/>
      <c r="D127" s="165"/>
      <c r="E127" s="165"/>
    </row>
    <row r="128">
      <c r="B128" s="165"/>
      <c r="C128" s="165"/>
      <c r="D128" s="165"/>
      <c r="E128" s="165"/>
    </row>
    <row r="129">
      <c r="B129" s="165"/>
      <c r="C129" s="165"/>
      <c r="D129" s="165"/>
      <c r="E129" s="165"/>
    </row>
    <row r="130">
      <c r="B130" s="165"/>
      <c r="C130" s="165"/>
      <c r="D130" s="165"/>
      <c r="E130" s="165"/>
    </row>
    <row r="131">
      <c r="B131" s="165"/>
      <c r="C131" s="165"/>
      <c r="D131" s="165"/>
      <c r="E131" s="165"/>
    </row>
    <row r="132">
      <c r="B132" s="165"/>
      <c r="C132" s="165"/>
      <c r="D132" s="165"/>
      <c r="E132" s="165"/>
    </row>
    <row r="133">
      <c r="B133" s="165"/>
      <c r="C133" s="165"/>
      <c r="D133" s="165"/>
      <c r="E133" s="165"/>
    </row>
    <row r="134">
      <c r="B134" s="165"/>
      <c r="C134" s="165"/>
      <c r="D134" s="165"/>
      <c r="E134" s="165"/>
    </row>
    <row r="135">
      <c r="B135" s="165"/>
      <c r="C135" s="165"/>
      <c r="D135" s="165"/>
      <c r="E135" s="165"/>
    </row>
    <row r="136">
      <c r="B136" s="165"/>
      <c r="C136" s="165"/>
      <c r="D136" s="165"/>
      <c r="E136" s="165"/>
    </row>
    <row r="137">
      <c r="B137" s="165"/>
      <c r="C137" s="165"/>
      <c r="D137" s="165"/>
      <c r="E137" s="165"/>
    </row>
    <row r="138">
      <c r="B138" s="165"/>
      <c r="C138" s="165"/>
      <c r="D138" s="165"/>
      <c r="E138" s="165"/>
    </row>
    <row r="139">
      <c r="B139" s="165"/>
      <c r="C139" s="165"/>
      <c r="D139" s="165"/>
      <c r="E139" s="165"/>
    </row>
    <row r="140">
      <c r="B140" s="165"/>
      <c r="C140" s="165"/>
      <c r="D140" s="165"/>
      <c r="E140" s="165"/>
    </row>
    <row r="141">
      <c r="B141" s="165"/>
      <c r="C141" s="165"/>
      <c r="D141" s="165"/>
      <c r="E141" s="165"/>
    </row>
    <row r="142">
      <c r="B142" s="165"/>
      <c r="C142" s="165"/>
      <c r="D142" s="165"/>
      <c r="E142" s="165"/>
    </row>
    <row r="143">
      <c r="B143" s="165"/>
      <c r="C143" s="165"/>
      <c r="D143" s="165"/>
      <c r="E143" s="165"/>
    </row>
    <row r="144">
      <c r="B144" s="165"/>
      <c r="C144" s="165"/>
      <c r="D144" s="165"/>
      <c r="E144" s="165"/>
    </row>
    <row r="145">
      <c r="B145" s="165"/>
      <c r="C145" s="165"/>
      <c r="D145" s="165"/>
      <c r="E145" s="165"/>
    </row>
    <row r="146">
      <c r="B146" s="165"/>
      <c r="C146" s="165"/>
      <c r="D146" s="165"/>
      <c r="E146" s="165"/>
    </row>
    <row r="147">
      <c r="B147" s="165"/>
      <c r="C147" s="165"/>
      <c r="D147" s="165"/>
      <c r="E147" s="165"/>
    </row>
    <row r="148">
      <c r="B148" s="165"/>
      <c r="C148" s="165"/>
      <c r="D148" s="165"/>
      <c r="E148" s="165"/>
    </row>
    <row r="149">
      <c r="B149" s="165"/>
      <c r="C149" s="165"/>
      <c r="D149" s="165"/>
      <c r="E149" s="165"/>
    </row>
    <row r="150">
      <c r="B150" s="165"/>
      <c r="C150" s="165"/>
      <c r="D150" s="165"/>
      <c r="E150" s="165"/>
    </row>
    <row r="151">
      <c r="B151" s="165"/>
      <c r="C151" s="165"/>
      <c r="D151" s="165"/>
      <c r="E151" s="165"/>
    </row>
    <row r="152">
      <c r="B152" s="165"/>
      <c r="C152" s="165"/>
      <c r="D152" s="165"/>
      <c r="E152" s="165"/>
    </row>
    <row r="153">
      <c r="B153" s="165"/>
      <c r="C153" s="165"/>
      <c r="D153" s="165"/>
      <c r="E153" s="165"/>
    </row>
    <row r="154">
      <c r="B154" s="165"/>
      <c r="C154" s="165"/>
      <c r="D154" s="165"/>
      <c r="E154" s="165"/>
    </row>
    <row r="155">
      <c r="B155" s="165"/>
      <c r="C155" s="165"/>
      <c r="D155" s="165"/>
      <c r="E155" s="165"/>
    </row>
    <row r="156">
      <c r="B156" s="165"/>
      <c r="C156" s="165"/>
      <c r="D156" s="165"/>
      <c r="E156" s="165"/>
    </row>
    <row r="157">
      <c r="B157" s="165"/>
      <c r="C157" s="165"/>
      <c r="D157" s="165"/>
      <c r="E157" s="165"/>
    </row>
    <row r="158">
      <c r="B158" s="165"/>
      <c r="C158" s="165"/>
      <c r="D158" s="165"/>
      <c r="E158" s="165"/>
    </row>
    <row r="159">
      <c r="B159" s="165"/>
      <c r="C159" s="165"/>
      <c r="D159" s="165"/>
      <c r="E159" s="165"/>
    </row>
    <row r="160">
      <c r="B160" s="165"/>
      <c r="C160" s="165"/>
      <c r="D160" s="165"/>
      <c r="E160" s="165"/>
    </row>
    <row r="161">
      <c r="B161" s="165"/>
      <c r="C161" s="165"/>
      <c r="D161" s="165"/>
      <c r="E161" s="165"/>
    </row>
    <row r="162">
      <c r="B162" s="165"/>
      <c r="C162" s="165"/>
      <c r="D162" s="165"/>
      <c r="E162" s="165"/>
    </row>
    <row r="163">
      <c r="B163" s="165"/>
      <c r="C163" s="165"/>
      <c r="D163" s="165"/>
      <c r="E163" s="165"/>
    </row>
    <row r="164">
      <c r="B164" s="165"/>
      <c r="C164" s="165"/>
      <c r="D164" s="165"/>
      <c r="E164" s="165"/>
    </row>
    <row r="165">
      <c r="B165" s="165"/>
      <c r="C165" s="165"/>
      <c r="D165" s="165"/>
      <c r="E165" s="165"/>
    </row>
    <row r="166">
      <c r="B166" s="165"/>
      <c r="C166" s="165"/>
      <c r="D166" s="165"/>
      <c r="E166" s="165"/>
    </row>
    <row r="167">
      <c r="B167" s="165"/>
      <c r="C167" s="165"/>
      <c r="D167" s="165"/>
      <c r="E167" s="165"/>
    </row>
    <row r="168">
      <c r="B168" s="165"/>
      <c r="C168" s="165"/>
      <c r="D168" s="165"/>
      <c r="E168" s="165"/>
    </row>
    <row r="169">
      <c r="B169" s="165"/>
      <c r="C169" s="165"/>
      <c r="D169" s="165"/>
      <c r="E169" s="165"/>
    </row>
    <row r="170">
      <c r="B170" s="165"/>
      <c r="C170" s="165"/>
      <c r="D170" s="165"/>
      <c r="E170" s="165"/>
    </row>
    <row r="171">
      <c r="B171" s="165"/>
      <c r="C171" s="165"/>
      <c r="D171" s="165"/>
      <c r="E171" s="165"/>
    </row>
    <row r="172">
      <c r="B172" s="165"/>
      <c r="C172" s="165"/>
      <c r="D172" s="165"/>
      <c r="E172" s="165"/>
    </row>
    <row r="173">
      <c r="B173" s="165"/>
      <c r="C173" s="165"/>
      <c r="D173" s="165"/>
      <c r="E173" s="165"/>
    </row>
    <row r="174">
      <c r="B174" s="165"/>
      <c r="C174" s="165"/>
      <c r="D174" s="165"/>
      <c r="E174" s="165"/>
    </row>
    <row r="175">
      <c r="B175" s="165"/>
      <c r="C175" s="165"/>
      <c r="D175" s="165"/>
      <c r="E175" s="165"/>
    </row>
    <row r="176">
      <c r="B176" s="165"/>
      <c r="C176" s="165"/>
      <c r="D176" s="165"/>
      <c r="E176" s="165"/>
    </row>
    <row r="177">
      <c r="B177" s="165"/>
      <c r="C177" s="165"/>
      <c r="D177" s="165"/>
      <c r="E177" s="165"/>
    </row>
    <row r="178">
      <c r="B178" s="165"/>
      <c r="C178" s="165"/>
      <c r="D178" s="165"/>
      <c r="E178" s="165"/>
    </row>
    <row r="179">
      <c r="B179" s="165"/>
      <c r="C179" s="165"/>
      <c r="D179" s="165"/>
      <c r="E179" s="165"/>
    </row>
    <row r="180">
      <c r="B180" s="165"/>
      <c r="C180" s="165"/>
      <c r="D180" s="165"/>
      <c r="E180" s="165"/>
    </row>
    <row r="181">
      <c r="B181" s="165"/>
      <c r="C181" s="165"/>
      <c r="D181" s="165"/>
      <c r="E181" s="165"/>
    </row>
    <row r="182">
      <c r="B182" s="165"/>
      <c r="C182" s="165"/>
      <c r="D182" s="165"/>
      <c r="E182" s="165"/>
    </row>
    <row r="183">
      <c r="B183" s="165"/>
      <c r="C183" s="165"/>
      <c r="D183" s="165"/>
      <c r="E183" s="165"/>
    </row>
    <row r="184">
      <c r="B184" s="165"/>
      <c r="C184" s="165"/>
      <c r="D184" s="165"/>
      <c r="E184" s="165"/>
    </row>
    <row r="185">
      <c r="B185" s="165"/>
      <c r="C185" s="165"/>
      <c r="D185" s="165"/>
      <c r="E185" s="165"/>
    </row>
    <row r="186">
      <c r="B186" s="165"/>
      <c r="C186" s="165"/>
      <c r="D186" s="165"/>
      <c r="E186" s="165"/>
    </row>
    <row r="187">
      <c r="B187" s="165"/>
      <c r="C187" s="165"/>
      <c r="D187" s="165"/>
      <c r="E187" s="165"/>
    </row>
    <row r="188">
      <c r="B188" s="165"/>
      <c r="C188" s="165"/>
      <c r="D188" s="165"/>
      <c r="E188" s="165"/>
    </row>
    <row r="189">
      <c r="B189" s="165"/>
      <c r="C189" s="165"/>
      <c r="D189" s="165"/>
      <c r="E189" s="165"/>
    </row>
    <row r="190">
      <c r="B190" s="165"/>
      <c r="C190" s="165"/>
      <c r="D190" s="165"/>
      <c r="E190" s="165"/>
    </row>
    <row r="191">
      <c r="B191" s="165"/>
      <c r="C191" s="165"/>
      <c r="D191" s="165"/>
      <c r="E191" s="165"/>
    </row>
    <row r="192">
      <c r="B192" s="165"/>
      <c r="C192" s="165"/>
      <c r="D192" s="165"/>
      <c r="E192" s="165"/>
    </row>
    <row r="193">
      <c r="B193" s="165"/>
      <c r="C193" s="165"/>
      <c r="D193" s="165"/>
      <c r="E193" s="165"/>
    </row>
    <row r="194">
      <c r="B194" s="165"/>
      <c r="C194" s="165"/>
      <c r="D194" s="165"/>
      <c r="E194" s="165"/>
    </row>
    <row r="195">
      <c r="B195" s="165"/>
      <c r="C195" s="165"/>
      <c r="D195" s="165"/>
      <c r="E195" s="165"/>
    </row>
    <row r="196">
      <c r="B196" s="165"/>
      <c r="C196" s="165"/>
      <c r="D196" s="165"/>
      <c r="E196" s="165"/>
    </row>
    <row r="197">
      <c r="B197" s="165"/>
      <c r="C197" s="165"/>
      <c r="D197" s="165"/>
      <c r="E197" s="165"/>
    </row>
    <row r="198">
      <c r="B198" s="165"/>
      <c r="C198" s="165"/>
      <c r="D198" s="165"/>
      <c r="E198" s="165"/>
    </row>
    <row r="199">
      <c r="B199" s="165"/>
      <c r="C199" s="165"/>
      <c r="D199" s="165"/>
      <c r="E199" s="165"/>
    </row>
    <row r="200">
      <c r="B200" s="165"/>
      <c r="C200" s="165"/>
      <c r="D200" s="165"/>
      <c r="E200" s="165"/>
    </row>
    <row r="201">
      <c r="B201" s="165"/>
      <c r="C201" s="165"/>
      <c r="D201" s="165"/>
      <c r="E201" s="165"/>
    </row>
    <row r="202">
      <c r="B202" s="165"/>
      <c r="C202" s="165"/>
      <c r="D202" s="165"/>
      <c r="E202" s="165"/>
    </row>
    <row r="203">
      <c r="B203" s="165"/>
      <c r="C203" s="165"/>
      <c r="D203" s="165"/>
      <c r="E203" s="165"/>
    </row>
    <row r="204">
      <c r="B204" s="165"/>
      <c r="C204" s="165"/>
      <c r="D204" s="165"/>
      <c r="E204" s="165"/>
    </row>
    <row r="205">
      <c r="B205" s="165"/>
      <c r="C205" s="165"/>
      <c r="D205" s="165"/>
      <c r="E205" s="165"/>
    </row>
    <row r="206">
      <c r="B206" s="165"/>
      <c r="C206" s="165"/>
      <c r="D206" s="165"/>
      <c r="E206" s="165"/>
    </row>
    <row r="207">
      <c r="B207" s="165"/>
      <c r="C207" s="165"/>
      <c r="D207" s="165"/>
      <c r="E207" s="165"/>
    </row>
    <row r="208">
      <c r="B208" s="165"/>
      <c r="C208" s="165"/>
      <c r="D208" s="165"/>
      <c r="E208" s="165"/>
    </row>
    <row r="209">
      <c r="B209" s="165"/>
      <c r="C209" s="165"/>
      <c r="D209" s="165"/>
      <c r="E209" s="165"/>
    </row>
    <row r="210">
      <c r="B210" s="165"/>
      <c r="C210" s="165"/>
      <c r="D210" s="165"/>
      <c r="E210" s="165"/>
    </row>
    <row r="211">
      <c r="B211" s="165"/>
      <c r="C211" s="165"/>
      <c r="D211" s="165"/>
      <c r="E211" s="165"/>
    </row>
    <row r="212">
      <c r="B212" s="165"/>
      <c r="C212" s="165"/>
      <c r="D212" s="165"/>
      <c r="E212" s="165"/>
    </row>
    <row r="213">
      <c r="B213" s="165"/>
      <c r="C213" s="165"/>
      <c r="D213" s="165"/>
      <c r="E213" s="165"/>
    </row>
    <row r="214">
      <c r="B214" s="165"/>
      <c r="C214" s="165"/>
      <c r="D214" s="165"/>
      <c r="E214" s="165"/>
    </row>
    <row r="215">
      <c r="B215" s="165"/>
      <c r="C215" s="165"/>
      <c r="D215" s="165"/>
      <c r="E215" s="165"/>
    </row>
    <row r="216">
      <c r="B216" s="165"/>
      <c r="C216" s="165"/>
      <c r="D216" s="165"/>
      <c r="E216" s="165"/>
    </row>
    <row r="217">
      <c r="B217" s="165"/>
      <c r="C217" s="165"/>
      <c r="D217" s="165"/>
      <c r="E217" s="165"/>
    </row>
    <row r="218">
      <c r="B218" s="165"/>
      <c r="C218" s="165"/>
      <c r="D218" s="165"/>
      <c r="E218" s="165"/>
    </row>
    <row r="219">
      <c r="B219" s="165"/>
      <c r="C219" s="165"/>
      <c r="D219" s="165"/>
      <c r="E219" s="165"/>
    </row>
    <row r="220">
      <c r="B220" s="165"/>
      <c r="C220" s="165"/>
      <c r="D220" s="165"/>
      <c r="E220" s="165"/>
    </row>
    <row r="221">
      <c r="B221" s="165"/>
      <c r="C221" s="165"/>
      <c r="D221" s="165"/>
      <c r="E221" s="165"/>
    </row>
    <row r="222">
      <c r="B222" s="165"/>
      <c r="C222" s="165"/>
      <c r="D222" s="165"/>
      <c r="E222" s="165"/>
    </row>
    <row r="223">
      <c r="B223" s="165"/>
      <c r="C223" s="165"/>
      <c r="D223" s="165"/>
      <c r="E223" s="165"/>
    </row>
    <row r="224">
      <c r="B224" s="165"/>
      <c r="C224" s="165"/>
      <c r="D224" s="165"/>
      <c r="E224" s="165"/>
    </row>
    <row r="225">
      <c r="B225" s="165"/>
      <c r="C225" s="165"/>
      <c r="D225" s="165"/>
      <c r="E225" s="165"/>
    </row>
    <row r="226">
      <c r="B226" s="165"/>
      <c r="C226" s="165"/>
      <c r="D226" s="165"/>
      <c r="E226" s="165"/>
    </row>
    <row r="227">
      <c r="B227" s="165"/>
      <c r="C227" s="165"/>
      <c r="D227" s="165"/>
      <c r="E227" s="165"/>
    </row>
    <row r="228">
      <c r="B228" s="165"/>
      <c r="C228" s="165"/>
      <c r="D228" s="165"/>
      <c r="E228" s="165"/>
    </row>
    <row r="229">
      <c r="B229" s="165"/>
      <c r="C229" s="165"/>
      <c r="D229" s="165"/>
      <c r="E229" s="165"/>
    </row>
    <row r="230">
      <c r="B230" s="165"/>
      <c r="C230" s="165"/>
      <c r="D230" s="165"/>
      <c r="E230" s="165"/>
    </row>
    <row r="231">
      <c r="B231" s="165"/>
      <c r="C231" s="165"/>
      <c r="D231" s="165"/>
      <c r="E231" s="165"/>
    </row>
    <row r="232">
      <c r="B232" s="165"/>
      <c r="C232" s="165"/>
      <c r="D232" s="165"/>
      <c r="E232" s="165"/>
    </row>
    <row r="233">
      <c r="B233" s="165"/>
      <c r="C233" s="165"/>
      <c r="D233" s="165"/>
      <c r="E233" s="165"/>
    </row>
    <row r="234">
      <c r="B234" s="165"/>
      <c r="C234" s="165"/>
      <c r="D234" s="165"/>
      <c r="E234" s="165"/>
    </row>
    <row r="235">
      <c r="B235" s="165"/>
      <c r="C235" s="165"/>
      <c r="D235" s="165"/>
      <c r="E235" s="165"/>
    </row>
    <row r="236">
      <c r="B236" s="165"/>
      <c r="C236" s="165"/>
      <c r="D236" s="165"/>
      <c r="E236" s="165"/>
    </row>
    <row r="237">
      <c r="B237" s="165"/>
      <c r="C237" s="165"/>
      <c r="D237" s="165"/>
      <c r="E237" s="165"/>
    </row>
    <row r="238">
      <c r="B238" s="165"/>
      <c r="C238" s="165"/>
      <c r="D238" s="165"/>
      <c r="E238" s="165"/>
    </row>
    <row r="239">
      <c r="B239" s="165"/>
      <c r="C239" s="165"/>
      <c r="D239" s="165"/>
      <c r="E239" s="165"/>
    </row>
    <row r="240">
      <c r="B240" s="165"/>
      <c r="C240" s="165"/>
      <c r="D240" s="165"/>
      <c r="E240" s="165"/>
    </row>
    <row r="241">
      <c r="B241" s="165"/>
      <c r="C241" s="165"/>
      <c r="D241" s="165"/>
      <c r="E241" s="165"/>
    </row>
    <row r="242">
      <c r="B242" s="165"/>
      <c r="C242" s="165"/>
      <c r="D242" s="165"/>
      <c r="E242" s="165"/>
    </row>
    <row r="243">
      <c r="B243" s="165"/>
      <c r="C243" s="165"/>
      <c r="D243" s="165"/>
      <c r="E243" s="165"/>
    </row>
    <row r="244">
      <c r="B244" s="165"/>
      <c r="C244" s="165"/>
      <c r="D244" s="165"/>
      <c r="E244" s="165"/>
    </row>
    <row r="245">
      <c r="B245" s="165"/>
      <c r="C245" s="165"/>
      <c r="D245" s="165"/>
      <c r="E245" s="165"/>
    </row>
    <row r="246">
      <c r="B246" s="165"/>
      <c r="C246" s="165"/>
      <c r="D246" s="165"/>
      <c r="E246" s="165"/>
    </row>
    <row r="247">
      <c r="B247" s="165"/>
      <c r="C247" s="165"/>
      <c r="D247" s="165"/>
      <c r="E247" s="165"/>
    </row>
    <row r="248">
      <c r="B248" s="165"/>
      <c r="C248" s="165"/>
      <c r="D248" s="165"/>
      <c r="E248" s="165"/>
    </row>
    <row r="249">
      <c r="B249" s="165"/>
      <c r="C249" s="165"/>
      <c r="D249" s="165"/>
      <c r="E249" s="165"/>
    </row>
    <row r="250">
      <c r="B250" s="165"/>
      <c r="C250" s="165"/>
      <c r="D250" s="165"/>
      <c r="E250" s="165"/>
    </row>
    <row r="251">
      <c r="B251" s="165"/>
      <c r="C251" s="165"/>
      <c r="D251" s="165"/>
      <c r="E251" s="165"/>
    </row>
    <row r="252">
      <c r="B252" s="165"/>
      <c r="C252" s="165"/>
      <c r="D252" s="165"/>
      <c r="E252" s="165"/>
    </row>
    <row r="253">
      <c r="B253" s="165"/>
      <c r="C253" s="165"/>
      <c r="D253" s="165"/>
      <c r="E253" s="165"/>
    </row>
    <row r="254">
      <c r="B254" s="165"/>
      <c r="C254" s="165"/>
      <c r="D254" s="165"/>
      <c r="E254" s="165"/>
    </row>
    <row r="255">
      <c r="B255" s="165"/>
      <c r="C255" s="165"/>
      <c r="D255" s="165"/>
      <c r="E255" s="165"/>
    </row>
    <row r="256">
      <c r="B256" s="165"/>
      <c r="C256" s="165"/>
      <c r="D256" s="165"/>
      <c r="E256" s="165"/>
    </row>
    <row r="257">
      <c r="B257" s="165"/>
      <c r="C257" s="165"/>
      <c r="D257" s="165"/>
      <c r="E257" s="165"/>
    </row>
    <row r="258">
      <c r="B258" s="165"/>
      <c r="C258" s="165"/>
      <c r="D258" s="165"/>
      <c r="E258" s="165"/>
    </row>
    <row r="259">
      <c r="B259" s="165"/>
      <c r="C259" s="165"/>
      <c r="D259" s="165"/>
      <c r="E259" s="165"/>
    </row>
    <row r="260">
      <c r="B260" s="165"/>
      <c r="C260" s="165"/>
      <c r="D260" s="165"/>
      <c r="E260" s="165"/>
    </row>
    <row r="261">
      <c r="B261" s="165"/>
      <c r="C261" s="165"/>
      <c r="D261" s="165"/>
      <c r="E261" s="165"/>
    </row>
    <row r="262">
      <c r="B262" s="165"/>
      <c r="C262" s="165"/>
      <c r="D262" s="165"/>
      <c r="E262" s="165"/>
    </row>
    <row r="263">
      <c r="B263" s="165"/>
      <c r="C263" s="165"/>
      <c r="D263" s="165"/>
      <c r="E263" s="165"/>
    </row>
    <row r="264">
      <c r="B264" s="165"/>
      <c r="C264" s="165"/>
      <c r="D264" s="165"/>
      <c r="E264" s="165"/>
    </row>
    <row r="265">
      <c r="B265" s="165"/>
      <c r="C265" s="165"/>
      <c r="D265" s="165"/>
      <c r="E265" s="165"/>
    </row>
    <row r="266">
      <c r="B266" s="165"/>
      <c r="C266" s="165"/>
      <c r="D266" s="165"/>
      <c r="E266" s="165"/>
    </row>
    <row r="267">
      <c r="B267" s="165"/>
      <c r="C267" s="165"/>
      <c r="D267" s="165"/>
      <c r="E267" s="165"/>
    </row>
    <row r="268">
      <c r="B268" s="165"/>
      <c r="C268" s="165"/>
      <c r="D268" s="165"/>
      <c r="E268" s="165"/>
    </row>
    <row r="269">
      <c r="B269" s="165"/>
      <c r="C269" s="165"/>
      <c r="D269" s="165"/>
      <c r="E269" s="165"/>
    </row>
    <row r="270">
      <c r="B270" s="165"/>
      <c r="C270" s="165"/>
      <c r="D270" s="165"/>
      <c r="E270" s="165"/>
    </row>
    <row r="271">
      <c r="B271" s="165"/>
      <c r="C271" s="165"/>
      <c r="D271" s="165"/>
      <c r="E271" s="165"/>
    </row>
    <row r="272">
      <c r="B272" s="165"/>
      <c r="C272" s="165"/>
      <c r="D272" s="165"/>
      <c r="E272" s="165"/>
    </row>
    <row r="273">
      <c r="B273" s="165"/>
      <c r="C273" s="165"/>
      <c r="D273" s="165"/>
      <c r="E273" s="165"/>
    </row>
    <row r="274">
      <c r="B274" s="165"/>
      <c r="C274" s="165"/>
      <c r="D274" s="165"/>
      <c r="E274" s="165"/>
    </row>
    <row r="275">
      <c r="B275" s="165"/>
      <c r="C275" s="165"/>
      <c r="D275" s="165"/>
      <c r="E275" s="165"/>
    </row>
    <row r="276">
      <c r="B276" s="165"/>
      <c r="C276" s="165"/>
      <c r="D276" s="165"/>
      <c r="E276" s="165"/>
    </row>
    <row r="277">
      <c r="B277" s="165"/>
      <c r="C277" s="165"/>
      <c r="D277" s="165"/>
      <c r="E277" s="165"/>
    </row>
    <row r="278">
      <c r="B278" s="165"/>
      <c r="C278" s="165"/>
      <c r="D278" s="165"/>
      <c r="E278" s="165"/>
    </row>
    <row r="279">
      <c r="B279" s="165"/>
      <c r="C279" s="165"/>
      <c r="D279" s="165"/>
      <c r="E279" s="165"/>
    </row>
    <row r="280">
      <c r="B280" s="165"/>
      <c r="C280" s="165"/>
      <c r="D280" s="165"/>
      <c r="E280" s="165"/>
    </row>
    <row r="281">
      <c r="B281" s="165"/>
      <c r="C281" s="165"/>
      <c r="D281" s="165"/>
      <c r="E281" s="165"/>
    </row>
    <row r="282">
      <c r="B282" s="165"/>
      <c r="C282" s="165"/>
      <c r="D282" s="165"/>
      <c r="E282" s="165"/>
    </row>
    <row r="283">
      <c r="B283" s="165"/>
      <c r="C283" s="165"/>
      <c r="D283" s="165"/>
      <c r="E283" s="165"/>
    </row>
    <row r="284">
      <c r="B284" s="165"/>
      <c r="C284" s="165"/>
      <c r="D284" s="165"/>
      <c r="E284" s="165"/>
    </row>
    <row r="285">
      <c r="B285" s="165"/>
      <c r="C285" s="165"/>
      <c r="D285" s="165"/>
      <c r="E285" s="165"/>
    </row>
    <row r="286">
      <c r="B286" s="165"/>
      <c r="C286" s="165"/>
      <c r="D286" s="165"/>
      <c r="E286" s="165"/>
    </row>
    <row r="287">
      <c r="B287" s="165"/>
      <c r="C287" s="165"/>
      <c r="D287" s="165"/>
      <c r="E287" s="165"/>
    </row>
    <row r="288">
      <c r="B288" s="165"/>
      <c r="C288" s="165"/>
      <c r="D288" s="165"/>
      <c r="E288" s="165"/>
    </row>
    <row r="289">
      <c r="B289" s="165"/>
      <c r="C289" s="165"/>
      <c r="D289" s="165"/>
      <c r="E289" s="165"/>
    </row>
    <row r="290">
      <c r="B290" s="165"/>
      <c r="C290" s="165"/>
      <c r="D290" s="165"/>
      <c r="E290" s="165"/>
    </row>
    <row r="291">
      <c r="B291" s="165"/>
      <c r="C291" s="165"/>
      <c r="D291" s="165"/>
      <c r="E291" s="165"/>
    </row>
    <row r="292">
      <c r="B292" s="165"/>
      <c r="C292" s="165"/>
      <c r="D292" s="165"/>
      <c r="E292" s="165"/>
    </row>
    <row r="293">
      <c r="B293" s="165"/>
      <c r="C293" s="165"/>
      <c r="D293" s="165"/>
      <c r="E293" s="165"/>
    </row>
    <row r="294">
      <c r="B294" s="165"/>
      <c r="C294" s="165"/>
      <c r="D294" s="165"/>
      <c r="E294" s="165"/>
    </row>
    <row r="295">
      <c r="B295" s="165"/>
      <c r="C295" s="165"/>
      <c r="D295" s="165"/>
      <c r="E295" s="165"/>
    </row>
    <row r="296">
      <c r="B296" s="165"/>
      <c r="C296" s="165"/>
      <c r="D296" s="165"/>
      <c r="E296" s="165"/>
    </row>
    <row r="297">
      <c r="B297" s="165"/>
      <c r="C297" s="165"/>
      <c r="D297" s="165"/>
      <c r="E297" s="165"/>
    </row>
    <row r="298">
      <c r="B298" s="165"/>
      <c r="C298" s="165"/>
      <c r="D298" s="165"/>
      <c r="E298" s="165"/>
    </row>
    <row r="299">
      <c r="B299" s="165"/>
      <c r="C299" s="165"/>
      <c r="D299" s="165"/>
      <c r="E299" s="165"/>
    </row>
    <row r="300">
      <c r="B300" s="165"/>
      <c r="C300" s="165"/>
      <c r="D300" s="165"/>
      <c r="E300" s="165"/>
    </row>
    <row r="301">
      <c r="B301" s="165"/>
      <c r="C301" s="165"/>
      <c r="D301" s="165"/>
      <c r="E301" s="165"/>
    </row>
    <row r="302">
      <c r="B302" s="165"/>
      <c r="C302" s="165"/>
      <c r="D302" s="165"/>
      <c r="E302" s="165"/>
    </row>
    <row r="303">
      <c r="B303" s="165"/>
      <c r="C303" s="165"/>
      <c r="D303" s="165"/>
      <c r="E303" s="165"/>
    </row>
    <row r="304">
      <c r="B304" s="165"/>
      <c r="C304" s="165"/>
      <c r="D304" s="165"/>
      <c r="E304" s="165"/>
    </row>
    <row r="305">
      <c r="B305" s="165"/>
      <c r="C305" s="165"/>
      <c r="D305" s="165"/>
      <c r="E305" s="165"/>
    </row>
    <row r="306">
      <c r="B306" s="165"/>
      <c r="C306" s="165"/>
      <c r="D306" s="165"/>
      <c r="E306" s="165"/>
    </row>
    <row r="307">
      <c r="B307" s="165"/>
      <c r="C307" s="165"/>
      <c r="D307" s="165"/>
      <c r="E307" s="165"/>
    </row>
    <row r="308">
      <c r="B308" s="165"/>
      <c r="C308" s="165"/>
      <c r="D308" s="165"/>
      <c r="E308" s="165"/>
    </row>
    <row r="309">
      <c r="B309" s="165"/>
      <c r="C309" s="165"/>
      <c r="D309" s="165"/>
      <c r="E309" s="165"/>
    </row>
    <row r="310">
      <c r="B310" s="165"/>
      <c r="C310" s="165"/>
      <c r="D310" s="165"/>
      <c r="E310" s="165"/>
    </row>
    <row r="311">
      <c r="B311" s="165"/>
      <c r="C311" s="165"/>
      <c r="D311" s="165"/>
      <c r="E311" s="165"/>
    </row>
    <row r="312">
      <c r="B312" s="165"/>
      <c r="C312" s="165"/>
      <c r="D312" s="165"/>
      <c r="E312" s="165"/>
    </row>
    <row r="313">
      <c r="B313" s="165"/>
      <c r="C313" s="165"/>
      <c r="D313" s="165"/>
      <c r="E313" s="165"/>
    </row>
    <row r="314">
      <c r="B314" s="165"/>
      <c r="C314" s="165"/>
      <c r="D314" s="165"/>
      <c r="E314" s="165"/>
    </row>
    <row r="315">
      <c r="B315" s="165"/>
      <c r="C315" s="165"/>
      <c r="D315" s="165"/>
      <c r="E315" s="165"/>
    </row>
    <row r="316">
      <c r="B316" s="165"/>
      <c r="C316" s="165"/>
      <c r="D316" s="165"/>
      <c r="E316" s="165"/>
    </row>
    <row r="317">
      <c r="B317" s="165"/>
      <c r="C317" s="165"/>
      <c r="D317" s="165"/>
      <c r="E317" s="165"/>
    </row>
    <row r="318">
      <c r="B318" s="165"/>
      <c r="C318" s="165"/>
      <c r="D318" s="165"/>
      <c r="E318" s="165"/>
    </row>
    <row r="319">
      <c r="B319" s="165"/>
      <c r="C319" s="165"/>
      <c r="D319" s="165"/>
      <c r="E319" s="165"/>
    </row>
    <row r="320">
      <c r="B320" s="165"/>
      <c r="C320" s="165"/>
      <c r="D320" s="165"/>
      <c r="E320" s="165"/>
    </row>
    <row r="321">
      <c r="B321" s="165"/>
      <c r="C321" s="165"/>
      <c r="D321" s="165"/>
      <c r="E321" s="165"/>
    </row>
    <row r="322">
      <c r="B322" s="165"/>
      <c r="C322" s="165"/>
      <c r="D322" s="165"/>
      <c r="E322" s="165"/>
    </row>
    <row r="323">
      <c r="B323" s="165"/>
      <c r="C323" s="165"/>
      <c r="D323" s="165"/>
      <c r="E323" s="165"/>
    </row>
    <row r="324">
      <c r="B324" s="165"/>
      <c r="C324" s="165"/>
      <c r="D324" s="165"/>
      <c r="E324" s="165"/>
    </row>
    <row r="325">
      <c r="B325" s="165"/>
      <c r="C325" s="165"/>
      <c r="D325" s="165"/>
      <c r="E325" s="165"/>
    </row>
    <row r="326">
      <c r="B326" s="165"/>
      <c r="C326" s="165"/>
      <c r="D326" s="165"/>
      <c r="E326" s="165"/>
    </row>
    <row r="327">
      <c r="B327" s="165"/>
      <c r="C327" s="165"/>
      <c r="D327" s="165"/>
      <c r="E327" s="165"/>
    </row>
    <row r="328">
      <c r="B328" s="165"/>
      <c r="C328" s="165"/>
      <c r="D328" s="165"/>
      <c r="E328" s="165"/>
    </row>
    <row r="329">
      <c r="B329" s="165"/>
      <c r="C329" s="165"/>
      <c r="D329" s="165"/>
      <c r="E329" s="165"/>
    </row>
    <row r="330">
      <c r="B330" s="165"/>
      <c r="C330" s="165"/>
      <c r="D330" s="165"/>
      <c r="E330" s="165"/>
    </row>
    <row r="331">
      <c r="B331" s="165"/>
      <c r="C331" s="165"/>
      <c r="D331" s="165"/>
      <c r="E331" s="165"/>
    </row>
    <row r="332">
      <c r="B332" s="165"/>
      <c r="C332" s="165"/>
      <c r="D332" s="165"/>
      <c r="E332" s="165"/>
    </row>
    <row r="333">
      <c r="B333" s="165"/>
      <c r="C333" s="165"/>
      <c r="D333" s="165"/>
      <c r="E333" s="165"/>
    </row>
    <row r="334">
      <c r="B334" s="165"/>
      <c r="C334" s="165"/>
      <c r="D334" s="165"/>
      <c r="E334" s="165"/>
    </row>
    <row r="335">
      <c r="B335" s="165"/>
      <c r="C335" s="165"/>
      <c r="D335" s="165"/>
      <c r="E335" s="165"/>
    </row>
    <row r="336">
      <c r="B336" s="165"/>
      <c r="C336" s="165"/>
      <c r="D336" s="165"/>
      <c r="E336" s="165"/>
    </row>
    <row r="337">
      <c r="B337" s="165"/>
      <c r="C337" s="165"/>
      <c r="D337" s="165"/>
      <c r="E337" s="165"/>
    </row>
    <row r="338">
      <c r="B338" s="165"/>
      <c r="C338" s="165"/>
      <c r="D338" s="165"/>
      <c r="E338" s="165"/>
    </row>
    <row r="339">
      <c r="B339" s="165"/>
      <c r="C339" s="165"/>
      <c r="D339" s="165"/>
      <c r="E339" s="165"/>
    </row>
    <row r="340">
      <c r="B340" s="165"/>
      <c r="C340" s="165"/>
      <c r="D340" s="165"/>
      <c r="E340" s="165"/>
    </row>
    <row r="341">
      <c r="B341" s="165"/>
      <c r="C341" s="165"/>
      <c r="D341" s="165"/>
      <c r="E341" s="165"/>
    </row>
    <row r="342">
      <c r="B342" s="165"/>
      <c r="C342" s="165"/>
      <c r="D342" s="165"/>
      <c r="E342" s="165"/>
    </row>
    <row r="343">
      <c r="B343" s="165"/>
      <c r="C343" s="165"/>
      <c r="D343" s="165"/>
      <c r="E343" s="165"/>
    </row>
    <row r="344">
      <c r="B344" s="165"/>
      <c r="C344" s="165"/>
      <c r="D344" s="165"/>
      <c r="E344" s="165"/>
    </row>
    <row r="345">
      <c r="B345" s="165"/>
      <c r="C345" s="165"/>
      <c r="D345" s="165"/>
      <c r="E345" s="165"/>
    </row>
    <row r="346">
      <c r="B346" s="165"/>
      <c r="C346" s="165"/>
      <c r="D346" s="165"/>
      <c r="E346" s="165"/>
    </row>
    <row r="347">
      <c r="B347" s="165"/>
      <c r="C347" s="165"/>
      <c r="D347" s="165"/>
      <c r="E347" s="165"/>
    </row>
    <row r="348">
      <c r="B348" s="165"/>
      <c r="C348" s="165"/>
      <c r="D348" s="165"/>
      <c r="E348" s="165"/>
    </row>
    <row r="349">
      <c r="B349" s="165"/>
      <c r="C349" s="165"/>
      <c r="D349" s="165"/>
      <c r="E349" s="165"/>
    </row>
    <row r="350">
      <c r="B350" s="165"/>
      <c r="C350" s="165"/>
      <c r="D350" s="165"/>
      <c r="E350" s="165"/>
    </row>
    <row r="351">
      <c r="B351" s="165"/>
      <c r="C351" s="165"/>
      <c r="D351" s="165"/>
      <c r="E351" s="165"/>
    </row>
    <row r="352">
      <c r="B352" s="165"/>
      <c r="C352" s="165"/>
      <c r="D352" s="165"/>
      <c r="E352" s="165"/>
    </row>
    <row r="353">
      <c r="B353" s="165"/>
      <c r="C353" s="165"/>
      <c r="D353" s="165"/>
      <c r="E353" s="165"/>
    </row>
    <row r="354">
      <c r="B354" s="165"/>
      <c r="C354" s="165"/>
      <c r="D354" s="165"/>
      <c r="E354" s="165"/>
    </row>
    <row r="355">
      <c r="B355" s="165"/>
      <c r="C355" s="165"/>
      <c r="D355" s="165"/>
      <c r="E355" s="165"/>
    </row>
    <row r="356">
      <c r="B356" s="165"/>
      <c r="C356" s="165"/>
      <c r="D356" s="165"/>
      <c r="E356" s="165"/>
    </row>
    <row r="357">
      <c r="B357" s="165"/>
      <c r="C357" s="165"/>
      <c r="D357" s="165"/>
      <c r="E357" s="165"/>
    </row>
    <row r="358">
      <c r="B358" s="165"/>
      <c r="C358" s="165"/>
      <c r="D358" s="165"/>
      <c r="E358" s="165"/>
    </row>
    <row r="359">
      <c r="B359" s="165"/>
      <c r="C359" s="165"/>
      <c r="D359" s="165"/>
      <c r="E359" s="165"/>
    </row>
    <row r="360">
      <c r="B360" s="165"/>
      <c r="C360" s="165"/>
      <c r="D360" s="165"/>
      <c r="E360" s="165"/>
    </row>
    <row r="361">
      <c r="B361" s="165"/>
      <c r="C361" s="165"/>
      <c r="D361" s="165"/>
      <c r="E361" s="165"/>
    </row>
    <row r="362">
      <c r="B362" s="165"/>
      <c r="C362" s="165"/>
      <c r="D362" s="165"/>
      <c r="E362" s="165"/>
    </row>
    <row r="363">
      <c r="B363" s="165"/>
      <c r="C363" s="165"/>
      <c r="D363" s="165"/>
      <c r="E363" s="165"/>
    </row>
    <row r="364">
      <c r="B364" s="165"/>
      <c r="C364" s="165"/>
      <c r="D364" s="165"/>
      <c r="E364" s="165"/>
    </row>
    <row r="365">
      <c r="B365" s="165"/>
      <c r="C365" s="165"/>
      <c r="D365" s="165"/>
      <c r="E365" s="165"/>
    </row>
    <row r="366">
      <c r="B366" s="165"/>
      <c r="C366" s="165"/>
      <c r="D366" s="165"/>
      <c r="E366" s="165"/>
    </row>
    <row r="367">
      <c r="B367" s="165"/>
      <c r="C367" s="165"/>
      <c r="D367" s="165"/>
      <c r="E367" s="165"/>
    </row>
    <row r="368">
      <c r="B368" s="165"/>
      <c r="C368" s="165"/>
      <c r="D368" s="165"/>
      <c r="E368" s="165"/>
    </row>
    <row r="369">
      <c r="B369" s="165"/>
      <c r="C369" s="165"/>
      <c r="D369" s="165"/>
      <c r="E369" s="165"/>
    </row>
    <row r="370">
      <c r="B370" s="165"/>
      <c r="C370" s="165"/>
      <c r="D370" s="165"/>
      <c r="E370" s="165"/>
    </row>
    <row r="371">
      <c r="B371" s="165"/>
      <c r="C371" s="165"/>
      <c r="D371" s="165"/>
      <c r="E371" s="165"/>
    </row>
    <row r="372">
      <c r="B372" s="165"/>
      <c r="C372" s="165"/>
      <c r="D372" s="165"/>
      <c r="E372" s="165"/>
    </row>
    <row r="373">
      <c r="B373" s="165"/>
      <c r="C373" s="165"/>
      <c r="D373" s="165"/>
      <c r="E373" s="165"/>
    </row>
    <row r="374">
      <c r="B374" s="165"/>
      <c r="C374" s="165"/>
      <c r="D374" s="165"/>
      <c r="E374" s="165"/>
    </row>
    <row r="375">
      <c r="B375" s="165"/>
      <c r="C375" s="165"/>
      <c r="D375" s="165"/>
      <c r="E375" s="165"/>
    </row>
    <row r="376">
      <c r="B376" s="165"/>
      <c r="C376" s="165"/>
      <c r="D376" s="165"/>
      <c r="E376" s="165"/>
    </row>
    <row r="377">
      <c r="B377" s="165"/>
      <c r="C377" s="165"/>
      <c r="D377" s="165"/>
      <c r="E377" s="165"/>
    </row>
    <row r="378">
      <c r="B378" s="165"/>
      <c r="C378" s="165"/>
      <c r="D378" s="165"/>
      <c r="E378" s="165"/>
    </row>
    <row r="379">
      <c r="B379" s="165"/>
      <c r="C379" s="165"/>
      <c r="D379" s="165"/>
      <c r="E379" s="165"/>
    </row>
    <row r="380">
      <c r="B380" s="165"/>
      <c r="C380" s="165"/>
      <c r="D380" s="165"/>
      <c r="E380" s="165"/>
    </row>
    <row r="381">
      <c r="B381" s="165"/>
      <c r="C381" s="165"/>
      <c r="D381" s="165"/>
      <c r="E381" s="165"/>
    </row>
    <row r="382">
      <c r="B382" s="165"/>
      <c r="C382" s="165"/>
      <c r="D382" s="165"/>
      <c r="E382" s="165"/>
    </row>
    <row r="383">
      <c r="B383" s="165"/>
      <c r="C383" s="165"/>
      <c r="D383" s="165"/>
      <c r="E383" s="165"/>
    </row>
    <row r="384">
      <c r="B384" s="165"/>
      <c r="C384" s="165"/>
      <c r="D384" s="165"/>
      <c r="E384" s="165"/>
    </row>
    <row r="385">
      <c r="B385" s="165"/>
      <c r="C385" s="165"/>
      <c r="D385" s="165"/>
      <c r="E385" s="165"/>
    </row>
    <row r="386">
      <c r="B386" s="165"/>
      <c r="C386" s="165"/>
      <c r="D386" s="165"/>
      <c r="E386" s="165"/>
    </row>
    <row r="387">
      <c r="B387" s="165"/>
      <c r="C387" s="165"/>
      <c r="D387" s="165"/>
      <c r="E387" s="165"/>
    </row>
    <row r="388">
      <c r="B388" s="165"/>
      <c r="C388" s="165"/>
      <c r="D388" s="165"/>
      <c r="E388" s="165"/>
    </row>
    <row r="389">
      <c r="B389" s="165"/>
      <c r="C389" s="165"/>
      <c r="D389" s="165"/>
      <c r="E389" s="165"/>
    </row>
    <row r="390">
      <c r="B390" s="165"/>
      <c r="C390" s="165"/>
      <c r="D390" s="165"/>
      <c r="E390" s="165"/>
    </row>
    <row r="391">
      <c r="B391" s="165"/>
      <c r="C391" s="165"/>
      <c r="D391" s="165"/>
      <c r="E391" s="165"/>
    </row>
    <row r="392">
      <c r="B392" s="165"/>
      <c r="C392" s="165"/>
      <c r="D392" s="165"/>
      <c r="E392" s="165"/>
    </row>
    <row r="393">
      <c r="B393" s="165"/>
      <c r="C393" s="165"/>
      <c r="D393" s="165"/>
      <c r="E393" s="165"/>
    </row>
    <row r="394">
      <c r="B394" s="165"/>
      <c r="C394" s="165"/>
      <c r="D394" s="165"/>
      <c r="E394" s="165"/>
    </row>
    <row r="395">
      <c r="B395" s="165"/>
      <c r="C395" s="165"/>
      <c r="D395" s="165"/>
      <c r="E395" s="165"/>
    </row>
    <row r="396">
      <c r="B396" s="165"/>
      <c r="C396" s="165"/>
      <c r="D396" s="165"/>
      <c r="E396" s="165"/>
    </row>
    <row r="397">
      <c r="B397" s="165"/>
      <c r="C397" s="165"/>
      <c r="D397" s="165"/>
      <c r="E397" s="165"/>
    </row>
    <row r="398">
      <c r="B398" s="165"/>
      <c r="C398" s="165"/>
      <c r="D398" s="165"/>
      <c r="E398" s="165"/>
    </row>
    <row r="399">
      <c r="B399" s="165"/>
      <c r="C399" s="165"/>
      <c r="D399" s="165"/>
      <c r="E399" s="165"/>
    </row>
    <row r="400">
      <c r="B400" s="165"/>
      <c r="C400" s="165"/>
      <c r="D400" s="165"/>
      <c r="E400" s="165"/>
    </row>
    <row r="401">
      <c r="B401" s="165"/>
      <c r="C401" s="165"/>
      <c r="D401" s="165"/>
      <c r="E401" s="165"/>
    </row>
    <row r="402">
      <c r="B402" s="165"/>
      <c r="C402" s="165"/>
      <c r="D402" s="165"/>
      <c r="E402" s="165"/>
    </row>
    <row r="403">
      <c r="B403" s="165"/>
      <c r="C403" s="165"/>
      <c r="D403" s="165"/>
      <c r="E403" s="165"/>
    </row>
    <row r="404">
      <c r="B404" s="165"/>
      <c r="C404" s="165"/>
      <c r="D404" s="165"/>
      <c r="E404" s="165"/>
    </row>
    <row r="405">
      <c r="B405" s="165"/>
      <c r="C405" s="165"/>
      <c r="D405" s="165"/>
      <c r="E405" s="165"/>
    </row>
    <row r="406">
      <c r="B406" s="165"/>
      <c r="C406" s="165"/>
      <c r="D406" s="165"/>
      <c r="E406" s="165"/>
    </row>
    <row r="407">
      <c r="B407" s="165"/>
      <c r="C407" s="165"/>
      <c r="D407" s="165"/>
      <c r="E407" s="165"/>
    </row>
    <row r="408">
      <c r="B408" s="165"/>
      <c r="C408" s="165"/>
      <c r="D408" s="165"/>
      <c r="E408" s="165"/>
    </row>
    <row r="409">
      <c r="B409" s="165"/>
      <c r="C409" s="165"/>
      <c r="D409" s="165"/>
      <c r="E409" s="165"/>
    </row>
    <row r="410">
      <c r="B410" s="165"/>
      <c r="C410" s="165"/>
      <c r="D410" s="165"/>
      <c r="E410" s="165"/>
    </row>
    <row r="411">
      <c r="B411" s="165"/>
      <c r="C411" s="165"/>
      <c r="D411" s="165"/>
      <c r="E411" s="165"/>
    </row>
    <row r="412">
      <c r="B412" s="165"/>
      <c r="C412" s="165"/>
      <c r="D412" s="165"/>
      <c r="E412" s="165"/>
    </row>
    <row r="413">
      <c r="B413" s="165"/>
      <c r="C413" s="165"/>
      <c r="D413" s="165"/>
      <c r="E413" s="165"/>
    </row>
    <row r="414">
      <c r="B414" s="165"/>
      <c r="C414" s="165"/>
      <c r="D414" s="165"/>
      <c r="E414" s="165"/>
    </row>
    <row r="415">
      <c r="B415" s="165"/>
      <c r="C415" s="165"/>
      <c r="D415" s="165"/>
      <c r="E415" s="165"/>
    </row>
    <row r="416">
      <c r="B416" s="165"/>
      <c r="C416" s="165"/>
      <c r="D416" s="165"/>
      <c r="E416" s="165"/>
    </row>
    <row r="417">
      <c r="B417" s="165"/>
      <c r="C417" s="165"/>
      <c r="D417" s="165"/>
      <c r="E417" s="165"/>
    </row>
    <row r="418">
      <c r="B418" s="165"/>
      <c r="C418" s="165"/>
      <c r="D418" s="165"/>
      <c r="E418" s="165"/>
    </row>
    <row r="419">
      <c r="B419" s="165"/>
      <c r="C419" s="165"/>
      <c r="D419" s="165"/>
      <c r="E419" s="165"/>
    </row>
    <row r="420">
      <c r="B420" s="165"/>
      <c r="C420" s="165"/>
      <c r="D420" s="165"/>
      <c r="E420" s="165"/>
    </row>
    <row r="421">
      <c r="B421" s="165"/>
      <c r="C421" s="165"/>
      <c r="D421" s="165"/>
      <c r="E421" s="165"/>
    </row>
    <row r="422">
      <c r="B422" s="165"/>
      <c r="C422" s="165"/>
      <c r="D422" s="165"/>
      <c r="E422" s="165"/>
    </row>
    <row r="423">
      <c r="B423" s="165"/>
      <c r="C423" s="165"/>
      <c r="D423" s="165"/>
      <c r="E423" s="165"/>
    </row>
    <row r="424">
      <c r="B424" s="165"/>
      <c r="C424" s="165"/>
      <c r="D424" s="165"/>
      <c r="E424" s="165"/>
    </row>
    <row r="425">
      <c r="B425" s="165"/>
      <c r="C425" s="165"/>
      <c r="D425" s="165"/>
      <c r="E425" s="165"/>
    </row>
    <row r="426">
      <c r="B426" s="165"/>
      <c r="C426" s="165"/>
      <c r="D426" s="165"/>
      <c r="E426" s="165"/>
    </row>
    <row r="427">
      <c r="B427" s="165"/>
      <c r="C427" s="165"/>
      <c r="D427" s="165"/>
      <c r="E427" s="165"/>
    </row>
    <row r="428">
      <c r="B428" s="165"/>
      <c r="C428" s="165"/>
      <c r="D428" s="165"/>
      <c r="E428" s="165"/>
    </row>
    <row r="429">
      <c r="B429" s="165"/>
      <c r="C429" s="165"/>
      <c r="D429" s="165"/>
      <c r="E429" s="165"/>
    </row>
    <row r="430">
      <c r="B430" s="165"/>
      <c r="C430" s="165"/>
      <c r="D430" s="165"/>
      <c r="E430" s="165"/>
    </row>
    <row r="431">
      <c r="B431" s="165"/>
      <c r="C431" s="165"/>
      <c r="D431" s="165"/>
      <c r="E431" s="165"/>
    </row>
    <row r="432">
      <c r="B432" s="165"/>
      <c r="C432" s="165"/>
      <c r="D432" s="165"/>
      <c r="E432" s="165"/>
    </row>
    <row r="433">
      <c r="B433" s="165"/>
      <c r="C433" s="165"/>
      <c r="D433" s="165"/>
      <c r="E433" s="165"/>
    </row>
    <row r="434">
      <c r="B434" s="165"/>
      <c r="C434" s="165"/>
      <c r="D434" s="165"/>
      <c r="E434" s="165"/>
    </row>
    <row r="435">
      <c r="B435" s="165"/>
      <c r="C435" s="165"/>
      <c r="D435" s="165"/>
      <c r="E435" s="165"/>
    </row>
    <row r="436">
      <c r="B436" s="165"/>
      <c r="C436" s="165"/>
      <c r="D436" s="165"/>
      <c r="E436" s="165"/>
    </row>
    <row r="437">
      <c r="B437" s="165"/>
      <c r="C437" s="165"/>
      <c r="D437" s="165"/>
      <c r="E437" s="165"/>
    </row>
    <row r="438">
      <c r="B438" s="165"/>
      <c r="C438" s="165"/>
      <c r="D438" s="165"/>
      <c r="E438" s="165"/>
    </row>
    <row r="439">
      <c r="B439" s="165"/>
      <c r="C439" s="165"/>
      <c r="D439" s="165"/>
      <c r="E439" s="165"/>
    </row>
    <row r="440">
      <c r="B440" s="165"/>
      <c r="C440" s="165"/>
      <c r="D440" s="165"/>
      <c r="E440" s="165"/>
    </row>
    <row r="441">
      <c r="B441" s="165"/>
      <c r="C441" s="165"/>
      <c r="D441" s="165"/>
      <c r="E441" s="165"/>
    </row>
    <row r="442">
      <c r="B442" s="165"/>
      <c r="C442" s="165"/>
      <c r="D442" s="165"/>
      <c r="E442" s="165"/>
    </row>
    <row r="443">
      <c r="B443" s="165"/>
      <c r="C443" s="165"/>
      <c r="D443" s="165"/>
      <c r="E443" s="165"/>
    </row>
    <row r="444">
      <c r="B444" s="165"/>
      <c r="C444" s="165"/>
      <c r="D444" s="165"/>
      <c r="E444" s="165"/>
    </row>
    <row r="445">
      <c r="B445" s="165"/>
      <c r="C445" s="165"/>
      <c r="D445" s="165"/>
      <c r="E445" s="165"/>
    </row>
    <row r="446">
      <c r="B446" s="165"/>
      <c r="C446" s="165"/>
      <c r="D446" s="165"/>
      <c r="E446" s="165"/>
    </row>
    <row r="447">
      <c r="B447" s="165"/>
      <c r="C447" s="165"/>
      <c r="D447" s="165"/>
      <c r="E447" s="165"/>
    </row>
    <row r="448">
      <c r="B448" s="165"/>
      <c r="C448" s="165"/>
      <c r="D448" s="165"/>
      <c r="E448" s="165"/>
    </row>
    <row r="449">
      <c r="B449" s="165"/>
      <c r="C449" s="165"/>
      <c r="D449" s="165"/>
      <c r="E449" s="165"/>
    </row>
    <row r="450">
      <c r="B450" s="165"/>
      <c r="C450" s="165"/>
      <c r="D450" s="165"/>
      <c r="E450" s="165"/>
    </row>
    <row r="451">
      <c r="B451" s="165"/>
      <c r="C451" s="165"/>
      <c r="D451" s="165"/>
      <c r="E451" s="165"/>
    </row>
    <row r="452">
      <c r="B452" s="165"/>
      <c r="C452" s="165"/>
      <c r="D452" s="165"/>
      <c r="E452" s="165"/>
    </row>
    <row r="453">
      <c r="B453" s="165"/>
      <c r="C453" s="165"/>
      <c r="D453" s="165"/>
      <c r="E453" s="165"/>
    </row>
    <row r="454">
      <c r="B454" s="165"/>
      <c r="C454" s="165"/>
      <c r="D454" s="165"/>
      <c r="E454" s="165"/>
    </row>
    <row r="455">
      <c r="B455" s="165"/>
      <c r="C455" s="165"/>
      <c r="D455" s="165"/>
      <c r="E455" s="165"/>
    </row>
    <row r="456">
      <c r="B456" s="165"/>
      <c r="C456" s="165"/>
      <c r="D456" s="165"/>
      <c r="E456" s="165"/>
    </row>
    <row r="457">
      <c r="B457" s="165"/>
      <c r="C457" s="165"/>
      <c r="D457" s="165"/>
      <c r="E457" s="165"/>
    </row>
    <row r="458">
      <c r="B458" s="165"/>
      <c r="C458" s="165"/>
      <c r="D458" s="165"/>
      <c r="E458" s="165"/>
    </row>
    <row r="459">
      <c r="B459" s="165"/>
      <c r="C459" s="165"/>
      <c r="D459" s="165"/>
      <c r="E459" s="165"/>
    </row>
    <row r="460">
      <c r="B460" s="165"/>
      <c r="C460" s="165"/>
      <c r="D460" s="165"/>
      <c r="E460" s="165"/>
    </row>
    <row r="461">
      <c r="B461" s="165"/>
      <c r="C461" s="165"/>
      <c r="D461" s="165"/>
      <c r="E461" s="165"/>
    </row>
    <row r="462">
      <c r="B462" s="165"/>
      <c r="C462" s="165"/>
      <c r="D462" s="165"/>
      <c r="E462" s="165"/>
    </row>
    <row r="463">
      <c r="B463" s="165"/>
      <c r="C463" s="165"/>
      <c r="D463" s="165"/>
      <c r="E463" s="165"/>
    </row>
    <row r="464">
      <c r="B464" s="165"/>
      <c r="C464" s="165"/>
      <c r="D464" s="165"/>
      <c r="E464" s="165"/>
    </row>
    <row r="465">
      <c r="B465" s="165"/>
      <c r="C465" s="165"/>
      <c r="D465" s="165"/>
      <c r="E465" s="165"/>
    </row>
    <row r="466">
      <c r="B466" s="165"/>
      <c r="C466" s="165"/>
      <c r="D466" s="165"/>
      <c r="E466" s="165"/>
    </row>
    <row r="467">
      <c r="B467" s="165"/>
      <c r="C467" s="165"/>
      <c r="D467" s="165"/>
      <c r="E467" s="165"/>
    </row>
    <row r="468">
      <c r="B468" s="165"/>
      <c r="C468" s="165"/>
      <c r="D468" s="165"/>
      <c r="E468" s="165"/>
    </row>
    <row r="469">
      <c r="B469" s="165"/>
      <c r="C469" s="165"/>
      <c r="D469" s="165"/>
      <c r="E469" s="165"/>
    </row>
    <row r="470">
      <c r="B470" s="165"/>
      <c r="C470" s="165"/>
      <c r="D470" s="165"/>
      <c r="E470" s="165"/>
    </row>
    <row r="471">
      <c r="B471" s="165"/>
      <c r="C471" s="165"/>
      <c r="D471" s="165"/>
      <c r="E471" s="165"/>
    </row>
    <row r="472">
      <c r="B472" s="165"/>
      <c r="C472" s="165"/>
      <c r="D472" s="165"/>
      <c r="E472" s="165"/>
    </row>
    <row r="473">
      <c r="B473" s="165"/>
      <c r="C473" s="165"/>
      <c r="D473" s="165"/>
      <c r="E473" s="165"/>
    </row>
    <row r="474">
      <c r="B474" s="165"/>
      <c r="C474" s="165"/>
      <c r="D474" s="165"/>
      <c r="E474" s="165"/>
    </row>
    <row r="475">
      <c r="B475" s="165"/>
      <c r="C475" s="165"/>
      <c r="D475" s="165"/>
      <c r="E475" s="165"/>
    </row>
    <row r="476">
      <c r="B476" s="165"/>
      <c r="C476" s="165"/>
      <c r="D476" s="165"/>
      <c r="E476" s="165"/>
    </row>
    <row r="477">
      <c r="B477" s="165"/>
      <c r="C477" s="165"/>
      <c r="D477" s="165"/>
      <c r="E477" s="165"/>
    </row>
    <row r="478">
      <c r="B478" s="165"/>
      <c r="C478" s="165"/>
      <c r="D478" s="165"/>
      <c r="E478" s="165"/>
    </row>
    <row r="479">
      <c r="B479" s="165"/>
      <c r="C479" s="165"/>
      <c r="D479" s="165"/>
      <c r="E479" s="165"/>
    </row>
    <row r="480">
      <c r="B480" s="165"/>
      <c r="C480" s="165"/>
      <c r="D480" s="165"/>
      <c r="E480" s="165"/>
    </row>
    <row r="481">
      <c r="B481" s="165"/>
      <c r="C481" s="165"/>
      <c r="D481" s="165"/>
      <c r="E481" s="165"/>
    </row>
    <row r="482">
      <c r="B482" s="165"/>
      <c r="C482" s="165"/>
      <c r="D482" s="165"/>
      <c r="E482" s="165"/>
    </row>
    <row r="483">
      <c r="B483" s="165"/>
      <c r="C483" s="165"/>
      <c r="D483" s="165"/>
      <c r="E483" s="165"/>
    </row>
    <row r="484">
      <c r="B484" s="165"/>
      <c r="C484" s="165"/>
      <c r="D484" s="165"/>
      <c r="E484" s="165"/>
    </row>
    <row r="485">
      <c r="B485" s="165"/>
      <c r="C485" s="165"/>
      <c r="D485" s="165"/>
      <c r="E485" s="165"/>
    </row>
    <row r="486">
      <c r="B486" s="165"/>
      <c r="C486" s="165"/>
      <c r="D486" s="165"/>
      <c r="E486" s="165"/>
    </row>
    <row r="487">
      <c r="B487" s="165"/>
      <c r="C487" s="165"/>
      <c r="D487" s="165"/>
      <c r="E487" s="165"/>
    </row>
    <row r="488">
      <c r="B488" s="165"/>
      <c r="C488" s="165"/>
      <c r="D488" s="165"/>
      <c r="E488" s="165"/>
    </row>
    <row r="489">
      <c r="B489" s="165"/>
      <c r="C489" s="165"/>
      <c r="D489" s="165"/>
      <c r="E489" s="165"/>
    </row>
    <row r="490">
      <c r="B490" s="165"/>
      <c r="C490" s="165"/>
      <c r="D490" s="165"/>
      <c r="E490" s="165"/>
    </row>
    <row r="491">
      <c r="B491" s="165"/>
      <c r="C491" s="165"/>
      <c r="D491" s="165"/>
      <c r="E491" s="165"/>
    </row>
    <row r="492">
      <c r="B492" s="165"/>
      <c r="C492" s="165"/>
      <c r="D492" s="165"/>
      <c r="E492" s="165"/>
    </row>
    <row r="493">
      <c r="B493" s="165"/>
      <c r="C493" s="165"/>
      <c r="D493" s="165"/>
      <c r="E493" s="165"/>
    </row>
    <row r="494">
      <c r="B494" s="165"/>
      <c r="C494" s="165"/>
      <c r="D494" s="165"/>
      <c r="E494" s="165"/>
    </row>
    <row r="495">
      <c r="B495" s="165"/>
      <c r="C495" s="165"/>
      <c r="D495" s="165"/>
      <c r="E495" s="165"/>
    </row>
    <row r="496">
      <c r="B496" s="165"/>
      <c r="C496" s="165"/>
      <c r="D496" s="165"/>
      <c r="E496" s="165"/>
    </row>
    <row r="497">
      <c r="B497" s="165"/>
      <c r="C497" s="165"/>
      <c r="D497" s="165"/>
      <c r="E497" s="165"/>
    </row>
    <row r="498">
      <c r="B498" s="165"/>
      <c r="C498" s="165"/>
      <c r="D498" s="165"/>
      <c r="E498" s="165"/>
    </row>
    <row r="499">
      <c r="B499" s="165"/>
      <c r="C499" s="165"/>
      <c r="D499" s="165"/>
      <c r="E499" s="165"/>
    </row>
    <row r="500">
      <c r="B500" s="165"/>
      <c r="C500" s="165"/>
      <c r="D500" s="165"/>
      <c r="E500" s="165"/>
    </row>
    <row r="501">
      <c r="B501" s="165"/>
      <c r="C501" s="165"/>
      <c r="D501" s="165"/>
      <c r="E501" s="165"/>
    </row>
    <row r="502">
      <c r="B502" s="165"/>
      <c r="C502" s="165"/>
      <c r="D502" s="165"/>
      <c r="E502" s="165"/>
    </row>
    <row r="503">
      <c r="B503" s="165"/>
      <c r="C503" s="165"/>
      <c r="D503" s="165"/>
      <c r="E503" s="165"/>
    </row>
    <row r="504">
      <c r="B504" s="165"/>
      <c r="C504" s="165"/>
      <c r="D504" s="165"/>
      <c r="E504" s="165"/>
    </row>
    <row r="505">
      <c r="B505" s="165"/>
      <c r="C505" s="165"/>
      <c r="D505" s="165"/>
      <c r="E505" s="165"/>
    </row>
    <row r="506">
      <c r="B506" s="165"/>
      <c r="C506" s="165"/>
      <c r="D506" s="165"/>
      <c r="E506" s="165"/>
    </row>
    <row r="507">
      <c r="B507" s="165"/>
      <c r="C507" s="165"/>
      <c r="D507" s="165"/>
      <c r="E507" s="165"/>
    </row>
    <row r="508">
      <c r="B508" s="165"/>
      <c r="C508" s="165"/>
      <c r="D508" s="165"/>
      <c r="E508" s="165"/>
    </row>
    <row r="509">
      <c r="B509" s="165"/>
      <c r="C509" s="165"/>
      <c r="D509" s="165"/>
      <c r="E509" s="165"/>
    </row>
    <row r="510">
      <c r="B510" s="165"/>
      <c r="C510" s="165"/>
      <c r="D510" s="165"/>
      <c r="E510" s="165"/>
    </row>
    <row r="511">
      <c r="B511" s="165"/>
      <c r="C511" s="165"/>
      <c r="D511" s="165"/>
      <c r="E511" s="165"/>
    </row>
    <row r="512">
      <c r="B512" s="165"/>
      <c r="C512" s="165"/>
      <c r="D512" s="165"/>
      <c r="E512" s="165"/>
    </row>
    <row r="513">
      <c r="B513" s="165"/>
      <c r="C513" s="165"/>
      <c r="D513" s="165"/>
      <c r="E513" s="165"/>
    </row>
    <row r="514">
      <c r="B514" s="165"/>
      <c r="C514" s="165"/>
      <c r="D514" s="165"/>
      <c r="E514" s="165"/>
    </row>
    <row r="515">
      <c r="B515" s="165"/>
      <c r="C515" s="165"/>
      <c r="D515" s="165"/>
      <c r="E515" s="165"/>
    </row>
    <row r="516">
      <c r="B516" s="165"/>
      <c r="C516" s="165"/>
      <c r="D516" s="165"/>
      <c r="E516" s="165"/>
    </row>
    <row r="517">
      <c r="B517" s="165"/>
      <c r="C517" s="165"/>
      <c r="D517" s="165"/>
      <c r="E517" s="165"/>
    </row>
    <row r="518">
      <c r="B518" s="165"/>
      <c r="C518" s="165"/>
      <c r="D518" s="165"/>
      <c r="E518" s="165"/>
    </row>
    <row r="519">
      <c r="B519" s="165"/>
      <c r="C519" s="165"/>
      <c r="D519" s="165"/>
      <c r="E519" s="165"/>
    </row>
    <row r="520">
      <c r="B520" s="165"/>
      <c r="C520" s="165"/>
      <c r="D520" s="165"/>
      <c r="E520" s="165"/>
    </row>
    <row r="521">
      <c r="B521" s="165"/>
      <c r="C521" s="165"/>
      <c r="D521" s="165"/>
      <c r="E521" s="165"/>
    </row>
    <row r="522">
      <c r="B522" s="165"/>
      <c r="C522" s="165"/>
      <c r="D522" s="165"/>
      <c r="E522" s="165"/>
    </row>
    <row r="523">
      <c r="B523" s="165"/>
      <c r="C523" s="165"/>
      <c r="D523" s="165"/>
      <c r="E523" s="165"/>
    </row>
    <row r="524">
      <c r="B524" s="165"/>
      <c r="C524" s="165"/>
      <c r="D524" s="165"/>
      <c r="E524" s="165"/>
    </row>
    <row r="525">
      <c r="B525" s="165"/>
      <c r="C525" s="165"/>
      <c r="D525" s="165"/>
      <c r="E525" s="165"/>
    </row>
    <row r="526">
      <c r="B526" s="165"/>
      <c r="C526" s="165"/>
      <c r="D526" s="165"/>
      <c r="E526" s="165"/>
    </row>
    <row r="527">
      <c r="B527" s="165"/>
      <c r="C527" s="165"/>
      <c r="D527" s="165"/>
      <c r="E527" s="165"/>
    </row>
    <row r="528">
      <c r="B528" s="165"/>
      <c r="C528" s="165"/>
      <c r="D528" s="165"/>
      <c r="E528" s="165"/>
    </row>
    <row r="529">
      <c r="B529" s="165"/>
      <c r="C529" s="165"/>
      <c r="D529" s="165"/>
      <c r="E529" s="165"/>
    </row>
    <row r="530">
      <c r="B530" s="165"/>
      <c r="C530" s="165"/>
      <c r="D530" s="165"/>
      <c r="E530" s="165"/>
    </row>
    <row r="531">
      <c r="B531" s="165"/>
      <c r="C531" s="165"/>
      <c r="D531" s="165"/>
      <c r="E531" s="165"/>
    </row>
    <row r="532">
      <c r="B532" s="165"/>
      <c r="C532" s="165"/>
      <c r="D532" s="165"/>
      <c r="E532" s="165"/>
    </row>
    <row r="533">
      <c r="B533" s="165"/>
      <c r="C533" s="165"/>
      <c r="D533" s="165"/>
      <c r="E533" s="165"/>
    </row>
    <row r="534">
      <c r="B534" s="165"/>
      <c r="C534" s="165"/>
      <c r="D534" s="165"/>
      <c r="E534" s="165"/>
    </row>
    <row r="535">
      <c r="B535" s="165"/>
      <c r="C535" s="165"/>
      <c r="D535" s="165"/>
      <c r="E535" s="165"/>
    </row>
    <row r="536">
      <c r="B536" s="165"/>
      <c r="C536" s="165"/>
      <c r="D536" s="165"/>
      <c r="E536" s="165"/>
    </row>
    <row r="537">
      <c r="B537" s="165"/>
      <c r="C537" s="165"/>
      <c r="D537" s="165"/>
      <c r="E537" s="165"/>
    </row>
    <row r="538">
      <c r="B538" s="165"/>
      <c r="C538" s="165"/>
      <c r="D538" s="165"/>
      <c r="E538" s="165"/>
    </row>
    <row r="539">
      <c r="B539" s="165"/>
      <c r="C539" s="165"/>
      <c r="D539" s="165"/>
      <c r="E539" s="165"/>
    </row>
    <row r="540">
      <c r="B540" s="165"/>
      <c r="C540" s="165"/>
      <c r="D540" s="165"/>
      <c r="E540" s="165"/>
    </row>
    <row r="541">
      <c r="B541" s="165"/>
      <c r="C541" s="165"/>
      <c r="D541" s="165"/>
      <c r="E541" s="165"/>
    </row>
    <row r="542">
      <c r="B542" s="165"/>
      <c r="C542" s="165"/>
      <c r="D542" s="165"/>
      <c r="E542" s="165"/>
    </row>
    <row r="543">
      <c r="B543" s="165"/>
      <c r="C543" s="165"/>
      <c r="D543" s="165"/>
      <c r="E543" s="165"/>
    </row>
    <row r="544">
      <c r="B544" s="165"/>
      <c r="C544" s="165"/>
      <c r="D544" s="165"/>
      <c r="E544" s="165"/>
    </row>
    <row r="545">
      <c r="B545" s="165"/>
      <c r="C545" s="165"/>
      <c r="D545" s="165"/>
      <c r="E545" s="165"/>
    </row>
    <row r="546">
      <c r="B546" s="165"/>
      <c r="C546" s="165"/>
      <c r="D546" s="165"/>
      <c r="E546" s="165"/>
    </row>
    <row r="547">
      <c r="B547" s="165"/>
      <c r="C547" s="165"/>
      <c r="D547" s="165"/>
      <c r="E547" s="165"/>
    </row>
    <row r="548">
      <c r="B548" s="165"/>
      <c r="C548" s="165"/>
      <c r="D548" s="165"/>
      <c r="E548" s="165"/>
    </row>
    <row r="549">
      <c r="B549" s="165"/>
      <c r="C549" s="165"/>
      <c r="D549" s="165"/>
      <c r="E549" s="165"/>
    </row>
    <row r="550">
      <c r="B550" s="165"/>
      <c r="C550" s="165"/>
      <c r="D550" s="165"/>
      <c r="E550" s="165"/>
    </row>
    <row r="551">
      <c r="B551" s="165"/>
      <c r="C551" s="165"/>
      <c r="D551" s="165"/>
      <c r="E551" s="165"/>
    </row>
    <row r="552">
      <c r="B552" s="165"/>
      <c r="C552" s="165"/>
      <c r="D552" s="165"/>
      <c r="E552" s="165"/>
    </row>
    <row r="553">
      <c r="B553" s="165"/>
      <c r="C553" s="165"/>
      <c r="D553" s="165"/>
      <c r="E553" s="165"/>
    </row>
    <row r="554">
      <c r="B554" s="165"/>
      <c r="C554" s="165"/>
      <c r="D554" s="165"/>
      <c r="E554" s="165"/>
    </row>
    <row r="555">
      <c r="B555" s="165"/>
      <c r="C555" s="165"/>
      <c r="D555" s="165"/>
      <c r="E555" s="165"/>
    </row>
    <row r="556">
      <c r="B556" s="165"/>
      <c r="C556" s="165"/>
      <c r="D556" s="165"/>
      <c r="E556" s="165"/>
    </row>
    <row r="557">
      <c r="B557" s="165"/>
      <c r="C557" s="165"/>
      <c r="D557" s="165"/>
      <c r="E557" s="165"/>
    </row>
    <row r="558">
      <c r="B558" s="165"/>
      <c r="C558" s="165"/>
      <c r="D558" s="165"/>
      <c r="E558" s="165"/>
    </row>
    <row r="559">
      <c r="B559" s="165"/>
      <c r="C559" s="165"/>
      <c r="D559" s="165"/>
      <c r="E559" s="165"/>
    </row>
    <row r="560">
      <c r="B560" s="165"/>
      <c r="C560" s="165"/>
      <c r="D560" s="165"/>
      <c r="E560" s="165"/>
    </row>
    <row r="561">
      <c r="B561" s="165"/>
      <c r="C561" s="165"/>
      <c r="D561" s="165"/>
      <c r="E561" s="165"/>
    </row>
    <row r="562">
      <c r="B562" s="165"/>
      <c r="C562" s="165"/>
      <c r="D562" s="165"/>
      <c r="E562" s="165"/>
    </row>
    <row r="563">
      <c r="B563" s="165"/>
      <c r="C563" s="165"/>
      <c r="D563" s="165"/>
      <c r="E563" s="165"/>
    </row>
    <row r="564">
      <c r="B564" s="165"/>
      <c r="C564" s="165"/>
      <c r="D564" s="165"/>
      <c r="E564" s="165"/>
    </row>
    <row r="565">
      <c r="B565" s="165"/>
      <c r="C565" s="165"/>
      <c r="D565" s="165"/>
      <c r="E565" s="165"/>
    </row>
    <row r="566">
      <c r="B566" s="165"/>
      <c r="C566" s="165"/>
      <c r="D566" s="165"/>
      <c r="E566" s="165"/>
    </row>
    <row r="567">
      <c r="B567" s="165"/>
      <c r="C567" s="165"/>
      <c r="D567" s="165"/>
      <c r="E567" s="165"/>
    </row>
    <row r="568">
      <c r="B568" s="165"/>
      <c r="C568" s="165"/>
      <c r="D568" s="165"/>
      <c r="E568" s="165"/>
    </row>
    <row r="569">
      <c r="B569" s="165"/>
      <c r="C569" s="165"/>
      <c r="D569" s="165"/>
      <c r="E569" s="165"/>
    </row>
    <row r="570">
      <c r="B570" s="165"/>
      <c r="C570" s="165"/>
      <c r="D570" s="165"/>
      <c r="E570" s="165"/>
    </row>
    <row r="571">
      <c r="B571" s="165"/>
      <c r="C571" s="165"/>
      <c r="D571" s="165"/>
      <c r="E571" s="165"/>
    </row>
    <row r="572">
      <c r="B572" s="165"/>
      <c r="C572" s="165"/>
      <c r="D572" s="165"/>
      <c r="E572" s="165"/>
    </row>
    <row r="573">
      <c r="B573" s="165"/>
      <c r="C573" s="165"/>
      <c r="D573" s="165"/>
      <c r="E573" s="165"/>
    </row>
    <row r="574">
      <c r="B574" s="165"/>
      <c r="C574" s="165"/>
      <c r="D574" s="165"/>
      <c r="E574" s="165"/>
    </row>
    <row r="575">
      <c r="B575" s="165"/>
      <c r="C575" s="165"/>
      <c r="D575" s="165"/>
      <c r="E575" s="165"/>
    </row>
    <row r="576">
      <c r="B576" s="165"/>
      <c r="C576" s="165"/>
      <c r="D576" s="165"/>
      <c r="E576" s="165"/>
    </row>
    <row r="577">
      <c r="B577" s="165"/>
      <c r="C577" s="165"/>
      <c r="D577" s="165"/>
      <c r="E577" s="165"/>
    </row>
    <row r="578">
      <c r="B578" s="165"/>
      <c r="C578" s="165"/>
      <c r="D578" s="165"/>
      <c r="E578" s="165"/>
    </row>
    <row r="579">
      <c r="B579" s="165"/>
      <c r="C579" s="165"/>
      <c r="D579" s="165"/>
      <c r="E579" s="165"/>
    </row>
    <row r="580">
      <c r="B580" s="165"/>
      <c r="C580" s="165"/>
      <c r="D580" s="165"/>
      <c r="E580" s="165"/>
    </row>
    <row r="581">
      <c r="B581" s="165"/>
      <c r="C581" s="165"/>
      <c r="D581" s="165"/>
      <c r="E581" s="165"/>
    </row>
    <row r="582">
      <c r="B582" s="165"/>
      <c r="C582" s="165"/>
      <c r="D582" s="165"/>
      <c r="E582" s="165"/>
    </row>
    <row r="583">
      <c r="B583" s="165"/>
      <c r="C583" s="165"/>
      <c r="D583" s="165"/>
      <c r="E583" s="165"/>
    </row>
    <row r="584">
      <c r="B584" s="165"/>
      <c r="C584" s="165"/>
      <c r="D584" s="165"/>
      <c r="E584" s="165"/>
    </row>
    <row r="585">
      <c r="B585" s="165"/>
      <c r="C585" s="165"/>
      <c r="D585" s="165"/>
      <c r="E585" s="165"/>
    </row>
    <row r="586">
      <c r="B586" s="165"/>
      <c r="C586" s="165"/>
      <c r="D586" s="165"/>
      <c r="E586" s="165"/>
    </row>
    <row r="587">
      <c r="B587" s="165"/>
      <c r="C587" s="165"/>
      <c r="D587" s="165"/>
      <c r="E587" s="165"/>
    </row>
    <row r="588">
      <c r="B588" s="165"/>
      <c r="C588" s="165"/>
      <c r="D588" s="165"/>
      <c r="E588" s="165"/>
    </row>
    <row r="589">
      <c r="B589" s="165"/>
      <c r="C589" s="165"/>
      <c r="D589" s="165"/>
      <c r="E589" s="165"/>
    </row>
    <row r="590">
      <c r="B590" s="165"/>
      <c r="C590" s="165"/>
      <c r="D590" s="165"/>
      <c r="E590" s="165"/>
    </row>
    <row r="591">
      <c r="B591" s="165"/>
      <c r="C591" s="165"/>
      <c r="D591" s="165"/>
      <c r="E591" s="165"/>
    </row>
    <row r="592">
      <c r="B592" s="165"/>
      <c r="C592" s="165"/>
      <c r="D592" s="165"/>
      <c r="E592" s="165"/>
    </row>
    <row r="593">
      <c r="B593" s="165"/>
      <c r="C593" s="165"/>
      <c r="D593" s="165"/>
      <c r="E593" s="165"/>
    </row>
    <row r="594">
      <c r="B594" s="165"/>
      <c r="C594" s="165"/>
      <c r="D594" s="165"/>
      <c r="E594" s="165"/>
    </row>
    <row r="595">
      <c r="B595" s="165"/>
      <c r="C595" s="165"/>
      <c r="D595" s="165"/>
      <c r="E595" s="165"/>
    </row>
    <row r="596">
      <c r="B596" s="165"/>
      <c r="C596" s="165"/>
      <c r="D596" s="165"/>
      <c r="E596" s="165"/>
    </row>
    <row r="597">
      <c r="B597" s="165"/>
      <c r="C597" s="165"/>
      <c r="D597" s="165"/>
      <c r="E597" s="165"/>
    </row>
    <row r="598">
      <c r="B598" s="165"/>
      <c r="C598" s="165"/>
      <c r="D598" s="165"/>
      <c r="E598" s="165"/>
    </row>
    <row r="599">
      <c r="B599" s="165"/>
      <c r="C599" s="165"/>
      <c r="D599" s="165"/>
      <c r="E599" s="165"/>
    </row>
    <row r="600">
      <c r="B600" s="165"/>
      <c r="C600" s="165"/>
      <c r="D600" s="165"/>
      <c r="E600" s="165"/>
    </row>
    <row r="601">
      <c r="B601" s="165"/>
      <c r="C601" s="165"/>
      <c r="D601" s="165"/>
      <c r="E601" s="165"/>
    </row>
    <row r="602">
      <c r="B602" s="165"/>
      <c r="C602" s="165"/>
      <c r="D602" s="165"/>
      <c r="E602" s="165"/>
    </row>
    <row r="603">
      <c r="B603" s="165"/>
      <c r="C603" s="165"/>
      <c r="D603" s="165"/>
      <c r="E603" s="165"/>
    </row>
    <row r="604">
      <c r="B604" s="165"/>
      <c r="C604" s="165"/>
      <c r="D604" s="165"/>
      <c r="E604" s="165"/>
    </row>
    <row r="605">
      <c r="B605" s="165"/>
      <c r="C605" s="165"/>
      <c r="D605" s="165"/>
      <c r="E605" s="165"/>
    </row>
    <row r="606">
      <c r="B606" s="165"/>
      <c r="C606" s="165"/>
      <c r="D606" s="165"/>
      <c r="E606" s="165"/>
    </row>
    <row r="607">
      <c r="B607" s="165"/>
      <c r="C607" s="165"/>
      <c r="D607" s="165"/>
      <c r="E607" s="165"/>
    </row>
    <row r="608">
      <c r="B608" s="165"/>
      <c r="C608" s="165"/>
      <c r="D608" s="165"/>
      <c r="E608" s="165"/>
    </row>
    <row r="609">
      <c r="B609" s="165"/>
      <c r="C609" s="165"/>
      <c r="D609" s="165"/>
      <c r="E609" s="165"/>
    </row>
    <row r="610">
      <c r="B610" s="165"/>
      <c r="C610" s="165"/>
      <c r="D610" s="165"/>
      <c r="E610" s="165"/>
    </row>
    <row r="611">
      <c r="B611" s="165"/>
      <c r="C611" s="165"/>
      <c r="D611" s="165"/>
      <c r="E611" s="165"/>
    </row>
    <row r="612">
      <c r="B612" s="165"/>
      <c r="C612" s="165"/>
      <c r="D612" s="165"/>
      <c r="E612" s="165"/>
    </row>
    <row r="613">
      <c r="B613" s="165"/>
      <c r="C613" s="165"/>
      <c r="D613" s="165"/>
      <c r="E613" s="165"/>
    </row>
    <row r="614">
      <c r="B614" s="165"/>
      <c r="C614" s="165"/>
      <c r="D614" s="165"/>
      <c r="E614" s="165"/>
    </row>
    <row r="615">
      <c r="B615" s="165"/>
      <c r="C615" s="165"/>
      <c r="D615" s="165"/>
      <c r="E615" s="165"/>
    </row>
    <row r="616">
      <c r="B616" s="165"/>
      <c r="C616" s="165"/>
      <c r="D616" s="165"/>
      <c r="E616" s="165"/>
    </row>
    <row r="617">
      <c r="B617" s="165"/>
      <c r="C617" s="165"/>
      <c r="D617" s="165"/>
      <c r="E617" s="165"/>
    </row>
    <row r="618">
      <c r="B618" s="165"/>
      <c r="C618" s="165"/>
      <c r="D618" s="165"/>
      <c r="E618" s="165"/>
    </row>
    <row r="619">
      <c r="B619" s="165"/>
      <c r="C619" s="165"/>
      <c r="D619" s="165"/>
      <c r="E619" s="165"/>
    </row>
    <row r="620">
      <c r="B620" s="165"/>
      <c r="C620" s="165"/>
      <c r="D620" s="165"/>
      <c r="E620" s="165"/>
    </row>
    <row r="621">
      <c r="B621" s="165"/>
      <c r="C621" s="165"/>
      <c r="D621" s="165"/>
      <c r="E621" s="165"/>
    </row>
    <row r="622">
      <c r="B622" s="165"/>
      <c r="C622" s="165"/>
      <c r="D622" s="165"/>
      <c r="E622" s="165"/>
    </row>
    <row r="623">
      <c r="B623" s="165"/>
      <c r="C623" s="165"/>
      <c r="D623" s="165"/>
      <c r="E623" s="165"/>
    </row>
    <row r="624">
      <c r="B624" s="165"/>
      <c r="C624" s="165"/>
      <c r="D624" s="165"/>
      <c r="E624" s="165"/>
    </row>
    <row r="625">
      <c r="B625" s="165"/>
      <c r="C625" s="165"/>
      <c r="D625" s="165"/>
      <c r="E625" s="165"/>
    </row>
    <row r="626">
      <c r="B626" s="165"/>
      <c r="C626" s="165"/>
      <c r="D626" s="165"/>
      <c r="E626" s="165"/>
    </row>
    <row r="627">
      <c r="B627" s="165"/>
      <c r="C627" s="165"/>
      <c r="D627" s="165"/>
      <c r="E627" s="165"/>
    </row>
    <row r="628">
      <c r="B628" s="165"/>
      <c r="C628" s="165"/>
      <c r="D628" s="165"/>
      <c r="E628" s="165"/>
    </row>
    <row r="629">
      <c r="B629" s="165"/>
      <c r="C629" s="165"/>
      <c r="D629" s="165"/>
      <c r="E629" s="165"/>
    </row>
    <row r="630">
      <c r="B630" s="165"/>
      <c r="C630" s="165"/>
      <c r="D630" s="165"/>
      <c r="E630" s="165"/>
    </row>
    <row r="631">
      <c r="B631" s="165"/>
      <c r="C631" s="165"/>
      <c r="D631" s="165"/>
      <c r="E631" s="165"/>
    </row>
    <row r="632">
      <c r="B632" s="165"/>
      <c r="C632" s="165"/>
      <c r="D632" s="165"/>
      <c r="E632" s="165"/>
    </row>
    <row r="633">
      <c r="B633" s="165"/>
      <c r="C633" s="165"/>
      <c r="D633" s="165"/>
      <c r="E633" s="165"/>
    </row>
    <row r="634">
      <c r="B634" s="165"/>
      <c r="C634" s="165"/>
      <c r="D634" s="165"/>
      <c r="E634" s="165"/>
    </row>
    <row r="635">
      <c r="B635" s="165"/>
      <c r="C635" s="165"/>
      <c r="D635" s="165"/>
      <c r="E635" s="165"/>
    </row>
    <row r="636">
      <c r="B636" s="165"/>
      <c r="C636" s="165"/>
      <c r="D636" s="165"/>
      <c r="E636" s="165"/>
    </row>
    <row r="637">
      <c r="B637" s="165"/>
      <c r="C637" s="165"/>
      <c r="D637" s="165"/>
      <c r="E637" s="165"/>
    </row>
    <row r="638">
      <c r="B638" s="165"/>
      <c r="C638" s="165"/>
      <c r="D638" s="165"/>
      <c r="E638" s="165"/>
    </row>
    <row r="639">
      <c r="B639" s="165"/>
      <c r="C639" s="165"/>
      <c r="D639" s="165"/>
      <c r="E639" s="165"/>
    </row>
    <row r="640">
      <c r="B640" s="165"/>
      <c r="C640" s="165"/>
      <c r="D640" s="165"/>
      <c r="E640" s="165"/>
    </row>
    <row r="641">
      <c r="B641" s="165"/>
      <c r="C641" s="165"/>
      <c r="D641" s="165"/>
      <c r="E641" s="165"/>
    </row>
    <row r="642">
      <c r="B642" s="165"/>
      <c r="C642" s="165"/>
      <c r="D642" s="165"/>
      <c r="E642" s="165"/>
    </row>
    <row r="643">
      <c r="B643" s="165"/>
      <c r="C643" s="165"/>
      <c r="D643" s="165"/>
      <c r="E643" s="165"/>
    </row>
    <row r="644">
      <c r="B644" s="165"/>
      <c r="C644" s="165"/>
      <c r="D644" s="165"/>
      <c r="E644" s="165"/>
    </row>
    <row r="645">
      <c r="B645" s="165"/>
      <c r="C645" s="165"/>
      <c r="D645" s="165"/>
      <c r="E645" s="165"/>
    </row>
    <row r="646">
      <c r="B646" s="165"/>
      <c r="C646" s="165"/>
      <c r="D646" s="165"/>
      <c r="E646" s="165"/>
    </row>
    <row r="647">
      <c r="B647" s="165"/>
      <c r="C647" s="165"/>
      <c r="D647" s="165"/>
      <c r="E647" s="165"/>
    </row>
    <row r="648">
      <c r="B648" s="165"/>
      <c r="C648" s="165"/>
      <c r="D648" s="165"/>
      <c r="E648" s="165"/>
    </row>
    <row r="649">
      <c r="B649" s="165"/>
      <c r="C649" s="165"/>
      <c r="D649" s="165"/>
      <c r="E649" s="165"/>
    </row>
    <row r="650">
      <c r="B650" s="165"/>
      <c r="C650" s="165"/>
      <c r="D650" s="165"/>
      <c r="E650" s="165"/>
    </row>
    <row r="651">
      <c r="B651" s="165"/>
      <c r="C651" s="165"/>
      <c r="D651" s="165"/>
      <c r="E651" s="165"/>
    </row>
    <row r="652">
      <c r="B652" s="165"/>
      <c r="C652" s="165"/>
      <c r="D652" s="165"/>
      <c r="E652" s="165"/>
    </row>
    <row r="653">
      <c r="B653" s="165"/>
      <c r="C653" s="165"/>
      <c r="D653" s="165"/>
      <c r="E653" s="165"/>
    </row>
    <row r="654">
      <c r="B654" s="165"/>
      <c r="C654" s="165"/>
      <c r="D654" s="165"/>
      <c r="E654" s="165"/>
    </row>
    <row r="655">
      <c r="B655" s="165"/>
      <c r="C655" s="165"/>
      <c r="D655" s="165"/>
      <c r="E655" s="165"/>
    </row>
    <row r="656">
      <c r="B656" s="165"/>
      <c r="C656" s="165"/>
      <c r="D656" s="165"/>
      <c r="E656" s="165"/>
    </row>
    <row r="657">
      <c r="B657" s="165"/>
      <c r="C657" s="165"/>
      <c r="D657" s="165"/>
      <c r="E657" s="165"/>
    </row>
    <row r="658">
      <c r="B658" s="165"/>
      <c r="C658" s="165"/>
      <c r="D658" s="165"/>
      <c r="E658" s="165"/>
    </row>
    <row r="659">
      <c r="B659" s="165"/>
      <c r="C659" s="165"/>
      <c r="D659" s="165"/>
      <c r="E659" s="165"/>
    </row>
    <row r="660">
      <c r="B660" s="165"/>
      <c r="C660" s="165"/>
      <c r="D660" s="165"/>
      <c r="E660" s="165"/>
    </row>
    <row r="661">
      <c r="B661" s="165"/>
      <c r="C661" s="165"/>
      <c r="D661" s="165"/>
      <c r="E661" s="165"/>
    </row>
    <row r="662">
      <c r="B662" s="165"/>
      <c r="C662" s="165"/>
      <c r="D662" s="165"/>
      <c r="E662" s="165"/>
    </row>
    <row r="663">
      <c r="B663" s="165"/>
      <c r="C663" s="165"/>
      <c r="D663" s="165"/>
      <c r="E663" s="165"/>
    </row>
    <row r="664">
      <c r="B664" s="165"/>
      <c r="C664" s="165"/>
      <c r="D664" s="165"/>
      <c r="E664" s="165"/>
    </row>
    <row r="665">
      <c r="B665" s="165"/>
      <c r="C665" s="165"/>
      <c r="D665" s="165"/>
      <c r="E665" s="165"/>
    </row>
    <row r="666">
      <c r="B666" s="165"/>
      <c r="C666" s="165"/>
      <c r="D666" s="165"/>
      <c r="E666" s="165"/>
    </row>
    <row r="667">
      <c r="B667" s="165"/>
      <c r="C667" s="165"/>
      <c r="D667" s="165"/>
      <c r="E667" s="165"/>
    </row>
    <row r="668">
      <c r="B668" s="165"/>
      <c r="C668" s="165"/>
      <c r="D668" s="165"/>
      <c r="E668" s="165"/>
    </row>
    <row r="669">
      <c r="B669" s="165"/>
      <c r="C669" s="165"/>
      <c r="D669" s="165"/>
      <c r="E669" s="165"/>
    </row>
    <row r="670">
      <c r="B670" s="165"/>
      <c r="C670" s="165"/>
      <c r="D670" s="165"/>
      <c r="E670" s="165"/>
    </row>
    <row r="671">
      <c r="B671" s="165"/>
      <c r="C671" s="165"/>
      <c r="D671" s="165"/>
      <c r="E671" s="165"/>
    </row>
    <row r="672">
      <c r="B672" s="165"/>
      <c r="C672" s="165"/>
      <c r="D672" s="165"/>
      <c r="E672" s="165"/>
    </row>
    <row r="673">
      <c r="B673" s="165"/>
      <c r="C673" s="165"/>
      <c r="D673" s="165"/>
      <c r="E673" s="165"/>
    </row>
    <row r="674">
      <c r="B674" s="165"/>
      <c r="C674" s="165"/>
      <c r="D674" s="165"/>
      <c r="E674" s="165"/>
    </row>
    <row r="675">
      <c r="B675" s="165"/>
      <c r="C675" s="165"/>
      <c r="D675" s="165"/>
      <c r="E675" s="165"/>
    </row>
    <row r="676">
      <c r="B676" s="165"/>
      <c r="C676" s="165"/>
      <c r="D676" s="165"/>
      <c r="E676" s="165"/>
    </row>
    <row r="677">
      <c r="B677" s="165"/>
      <c r="C677" s="165"/>
      <c r="D677" s="165"/>
      <c r="E677" s="165"/>
    </row>
    <row r="678">
      <c r="B678" s="165"/>
      <c r="C678" s="165"/>
      <c r="D678" s="165"/>
      <c r="E678" s="165"/>
    </row>
    <row r="679">
      <c r="B679" s="165"/>
      <c r="C679" s="165"/>
      <c r="D679" s="165"/>
      <c r="E679" s="165"/>
    </row>
    <row r="680">
      <c r="B680" s="165"/>
      <c r="C680" s="165"/>
      <c r="D680" s="165"/>
      <c r="E680" s="165"/>
    </row>
    <row r="681">
      <c r="B681" s="165"/>
      <c r="C681" s="165"/>
      <c r="D681" s="165"/>
      <c r="E681" s="165"/>
    </row>
    <row r="682">
      <c r="B682" s="165"/>
      <c r="C682" s="165"/>
      <c r="D682" s="165"/>
      <c r="E682" s="165"/>
    </row>
    <row r="683">
      <c r="B683" s="165"/>
      <c r="C683" s="165"/>
      <c r="D683" s="165"/>
      <c r="E683" s="165"/>
    </row>
    <row r="684">
      <c r="B684" s="165"/>
      <c r="C684" s="165"/>
      <c r="D684" s="165"/>
      <c r="E684" s="165"/>
    </row>
    <row r="685">
      <c r="B685" s="165"/>
      <c r="C685" s="165"/>
      <c r="D685" s="165"/>
      <c r="E685" s="165"/>
    </row>
    <row r="686">
      <c r="B686" s="165"/>
      <c r="C686" s="165"/>
      <c r="D686" s="165"/>
      <c r="E686" s="165"/>
    </row>
    <row r="687">
      <c r="B687" s="165"/>
      <c r="C687" s="165"/>
      <c r="D687" s="165"/>
      <c r="E687" s="165"/>
    </row>
    <row r="688">
      <c r="B688" s="165"/>
      <c r="C688" s="165"/>
      <c r="D688" s="165"/>
      <c r="E688" s="165"/>
    </row>
    <row r="689">
      <c r="B689" s="165"/>
      <c r="C689" s="165"/>
      <c r="D689" s="165"/>
      <c r="E689" s="165"/>
    </row>
    <row r="690">
      <c r="B690" s="165"/>
      <c r="C690" s="165"/>
      <c r="D690" s="165"/>
      <c r="E690" s="165"/>
    </row>
    <row r="691">
      <c r="B691" s="165"/>
      <c r="C691" s="165"/>
      <c r="D691" s="165"/>
      <c r="E691" s="165"/>
    </row>
    <row r="692">
      <c r="B692" s="165"/>
      <c r="C692" s="165"/>
      <c r="D692" s="165"/>
      <c r="E692" s="165"/>
    </row>
    <row r="693">
      <c r="B693" s="165"/>
      <c r="C693" s="165"/>
      <c r="D693" s="165"/>
      <c r="E693" s="165"/>
    </row>
    <row r="694">
      <c r="B694" s="165"/>
      <c r="C694" s="165"/>
      <c r="D694" s="165"/>
      <c r="E694" s="165"/>
    </row>
    <row r="695">
      <c r="B695" s="165"/>
      <c r="C695" s="165"/>
      <c r="D695" s="165"/>
      <c r="E695" s="165"/>
    </row>
    <row r="696">
      <c r="B696" s="165"/>
      <c r="C696" s="165"/>
      <c r="D696" s="165"/>
      <c r="E696" s="165"/>
    </row>
    <row r="697">
      <c r="B697" s="165"/>
      <c r="C697" s="165"/>
      <c r="D697" s="165"/>
      <c r="E697" s="165"/>
    </row>
    <row r="698">
      <c r="B698" s="165"/>
      <c r="C698" s="165"/>
      <c r="D698" s="165"/>
      <c r="E698" s="165"/>
    </row>
    <row r="699">
      <c r="B699" s="165"/>
      <c r="C699" s="165"/>
      <c r="D699" s="165"/>
      <c r="E699" s="165"/>
    </row>
    <row r="700">
      <c r="B700" s="165"/>
      <c r="C700" s="165"/>
      <c r="D700" s="165"/>
      <c r="E700" s="165"/>
    </row>
    <row r="701">
      <c r="B701" s="165"/>
      <c r="C701" s="165"/>
      <c r="D701" s="165"/>
      <c r="E701" s="165"/>
    </row>
    <row r="702">
      <c r="B702" s="165"/>
      <c r="C702" s="165"/>
      <c r="D702" s="165"/>
      <c r="E702" s="165"/>
    </row>
    <row r="703">
      <c r="B703" s="165"/>
      <c r="C703" s="165"/>
      <c r="D703" s="165"/>
      <c r="E703" s="165"/>
    </row>
    <row r="704">
      <c r="B704" s="165"/>
      <c r="C704" s="165"/>
      <c r="D704" s="165"/>
      <c r="E704" s="165"/>
    </row>
    <row r="705">
      <c r="B705" s="165"/>
      <c r="C705" s="165"/>
      <c r="D705" s="165"/>
      <c r="E705" s="165"/>
    </row>
    <row r="706">
      <c r="B706" s="165"/>
      <c r="C706" s="165"/>
      <c r="D706" s="165"/>
      <c r="E706" s="165"/>
    </row>
    <row r="707">
      <c r="B707" s="165"/>
      <c r="C707" s="165"/>
      <c r="D707" s="165"/>
      <c r="E707" s="165"/>
    </row>
    <row r="708">
      <c r="B708" s="165"/>
      <c r="C708" s="165"/>
      <c r="D708" s="165"/>
      <c r="E708" s="165"/>
    </row>
    <row r="709">
      <c r="B709" s="165"/>
      <c r="C709" s="165"/>
      <c r="D709" s="165"/>
      <c r="E709" s="165"/>
    </row>
    <row r="710">
      <c r="B710" s="165"/>
      <c r="C710" s="165"/>
      <c r="D710" s="165"/>
      <c r="E710" s="165"/>
    </row>
    <row r="711">
      <c r="B711" s="165"/>
      <c r="C711" s="165"/>
      <c r="D711" s="165"/>
      <c r="E711" s="165"/>
    </row>
    <row r="712">
      <c r="B712" s="165"/>
      <c r="C712" s="165"/>
      <c r="D712" s="165"/>
      <c r="E712" s="165"/>
    </row>
    <row r="713">
      <c r="B713" s="165"/>
      <c r="C713" s="165"/>
      <c r="D713" s="165"/>
      <c r="E713" s="165"/>
    </row>
    <row r="714">
      <c r="B714" s="165"/>
      <c r="C714" s="165"/>
      <c r="D714" s="165"/>
      <c r="E714" s="165"/>
    </row>
    <row r="715">
      <c r="B715" s="165"/>
      <c r="C715" s="165"/>
      <c r="D715" s="165"/>
      <c r="E715" s="165"/>
    </row>
    <row r="716">
      <c r="B716" s="165"/>
      <c r="C716" s="165"/>
      <c r="D716" s="165"/>
      <c r="E716" s="165"/>
    </row>
    <row r="717">
      <c r="B717" s="165"/>
      <c r="C717" s="165"/>
      <c r="D717" s="165"/>
      <c r="E717" s="165"/>
    </row>
    <row r="718">
      <c r="B718" s="165"/>
      <c r="C718" s="165"/>
      <c r="D718" s="165"/>
      <c r="E718" s="165"/>
    </row>
    <row r="719">
      <c r="B719" s="165"/>
      <c r="C719" s="165"/>
      <c r="D719" s="165"/>
      <c r="E719" s="165"/>
    </row>
    <row r="720">
      <c r="B720" s="165"/>
      <c r="C720" s="165"/>
      <c r="D720" s="165"/>
      <c r="E720" s="165"/>
    </row>
    <row r="721">
      <c r="B721" s="165"/>
      <c r="C721" s="165"/>
      <c r="D721" s="165"/>
      <c r="E721" s="165"/>
    </row>
    <row r="722">
      <c r="B722" s="165"/>
      <c r="C722" s="165"/>
      <c r="D722" s="165"/>
      <c r="E722" s="165"/>
    </row>
    <row r="723">
      <c r="B723" s="165"/>
      <c r="C723" s="165"/>
      <c r="D723" s="165"/>
      <c r="E723" s="165"/>
    </row>
    <row r="724">
      <c r="B724" s="165"/>
      <c r="C724" s="165"/>
      <c r="D724" s="165"/>
      <c r="E724" s="165"/>
    </row>
    <row r="725">
      <c r="B725" s="165"/>
      <c r="C725" s="165"/>
      <c r="D725" s="165"/>
      <c r="E725" s="165"/>
    </row>
    <row r="726">
      <c r="B726" s="165"/>
      <c r="C726" s="165"/>
      <c r="D726" s="165"/>
      <c r="E726" s="165"/>
    </row>
    <row r="727">
      <c r="B727" s="165"/>
      <c r="C727" s="165"/>
      <c r="D727" s="165"/>
      <c r="E727" s="165"/>
    </row>
    <row r="728">
      <c r="B728" s="165"/>
      <c r="C728" s="165"/>
      <c r="D728" s="165"/>
      <c r="E728" s="165"/>
    </row>
    <row r="729">
      <c r="B729" s="165"/>
      <c r="C729" s="165"/>
      <c r="D729" s="165"/>
      <c r="E729" s="165"/>
    </row>
    <row r="730">
      <c r="B730" s="165"/>
      <c r="C730" s="165"/>
      <c r="D730" s="165"/>
      <c r="E730" s="165"/>
    </row>
    <row r="731">
      <c r="B731" s="165"/>
      <c r="C731" s="165"/>
      <c r="D731" s="165"/>
      <c r="E731" s="165"/>
    </row>
    <row r="732">
      <c r="B732" s="165"/>
      <c r="C732" s="165"/>
      <c r="D732" s="165"/>
      <c r="E732" s="165"/>
    </row>
    <row r="733">
      <c r="B733" s="165"/>
      <c r="C733" s="165"/>
      <c r="D733" s="165"/>
      <c r="E733" s="165"/>
    </row>
    <row r="734">
      <c r="B734" s="165"/>
      <c r="C734" s="165"/>
      <c r="D734" s="165"/>
      <c r="E734" s="165"/>
    </row>
    <row r="735">
      <c r="B735" s="165"/>
      <c r="C735" s="165"/>
      <c r="D735" s="165"/>
      <c r="E735" s="165"/>
    </row>
    <row r="736">
      <c r="B736" s="165"/>
      <c r="C736" s="165"/>
      <c r="D736" s="165"/>
      <c r="E736" s="165"/>
    </row>
    <row r="737">
      <c r="B737" s="165"/>
      <c r="C737" s="165"/>
      <c r="D737" s="165"/>
      <c r="E737" s="165"/>
    </row>
    <row r="738">
      <c r="B738" s="165"/>
      <c r="C738" s="165"/>
      <c r="D738" s="165"/>
      <c r="E738" s="165"/>
    </row>
    <row r="739">
      <c r="B739" s="165"/>
      <c r="C739" s="165"/>
      <c r="D739" s="165"/>
      <c r="E739" s="165"/>
    </row>
    <row r="740">
      <c r="B740" s="165"/>
      <c r="C740" s="165"/>
      <c r="D740" s="165"/>
      <c r="E740" s="165"/>
    </row>
    <row r="741">
      <c r="B741" s="165"/>
      <c r="C741" s="165"/>
      <c r="D741" s="165"/>
      <c r="E741" s="165"/>
    </row>
    <row r="742">
      <c r="B742" s="165"/>
      <c r="C742" s="165"/>
      <c r="D742" s="165"/>
      <c r="E742" s="165"/>
    </row>
    <row r="743">
      <c r="B743" s="165"/>
      <c r="C743" s="165"/>
      <c r="D743" s="165"/>
      <c r="E743" s="165"/>
    </row>
    <row r="744">
      <c r="B744" s="165"/>
      <c r="C744" s="165"/>
      <c r="D744" s="165"/>
      <c r="E744" s="165"/>
    </row>
    <row r="745">
      <c r="B745" s="165"/>
      <c r="C745" s="165"/>
      <c r="D745" s="165"/>
      <c r="E745" s="165"/>
    </row>
    <row r="746">
      <c r="B746" s="165"/>
      <c r="C746" s="165"/>
      <c r="D746" s="165"/>
      <c r="E746" s="165"/>
    </row>
    <row r="747">
      <c r="B747" s="165"/>
      <c r="C747" s="165"/>
      <c r="D747" s="165"/>
      <c r="E747" s="165"/>
    </row>
    <row r="748">
      <c r="B748" s="165"/>
      <c r="C748" s="165"/>
      <c r="D748" s="165"/>
      <c r="E748" s="165"/>
    </row>
    <row r="749">
      <c r="B749" s="165"/>
      <c r="C749" s="165"/>
      <c r="D749" s="165"/>
      <c r="E749" s="165"/>
    </row>
    <row r="750">
      <c r="B750" s="165"/>
      <c r="C750" s="165"/>
      <c r="D750" s="165"/>
      <c r="E750" s="165"/>
    </row>
    <row r="751">
      <c r="B751" s="165"/>
      <c r="C751" s="165"/>
      <c r="D751" s="165"/>
      <c r="E751" s="165"/>
    </row>
    <row r="752">
      <c r="B752" s="165"/>
      <c r="C752" s="165"/>
      <c r="D752" s="165"/>
      <c r="E752" s="165"/>
    </row>
    <row r="753">
      <c r="B753" s="165"/>
      <c r="C753" s="165"/>
      <c r="D753" s="165"/>
      <c r="E753" s="165"/>
    </row>
    <row r="754">
      <c r="B754" s="165"/>
      <c r="C754" s="165"/>
      <c r="D754" s="165"/>
      <c r="E754" s="165"/>
    </row>
    <row r="755">
      <c r="B755" s="165"/>
      <c r="C755" s="165"/>
      <c r="D755" s="165"/>
      <c r="E755" s="165"/>
    </row>
    <row r="756">
      <c r="B756" s="165"/>
      <c r="C756" s="165"/>
      <c r="D756" s="165"/>
      <c r="E756" s="165"/>
    </row>
    <row r="757">
      <c r="B757" s="165"/>
      <c r="C757" s="165"/>
      <c r="D757" s="165"/>
      <c r="E757" s="165"/>
    </row>
    <row r="758">
      <c r="B758" s="165"/>
      <c r="C758" s="165"/>
      <c r="D758" s="165"/>
      <c r="E758" s="165"/>
    </row>
    <row r="759">
      <c r="B759" s="165"/>
      <c r="C759" s="165"/>
      <c r="D759" s="165"/>
      <c r="E759" s="165"/>
    </row>
    <row r="760">
      <c r="B760" s="165"/>
      <c r="C760" s="165"/>
      <c r="D760" s="165"/>
      <c r="E760" s="165"/>
    </row>
    <row r="761">
      <c r="B761" s="165"/>
      <c r="C761" s="165"/>
      <c r="D761" s="165"/>
      <c r="E761" s="165"/>
    </row>
    <row r="762">
      <c r="B762" s="165"/>
      <c r="C762" s="165"/>
      <c r="D762" s="165"/>
      <c r="E762" s="165"/>
    </row>
    <row r="763">
      <c r="B763" s="165"/>
      <c r="C763" s="165"/>
      <c r="D763" s="165"/>
      <c r="E763" s="165"/>
    </row>
    <row r="764">
      <c r="B764" s="165"/>
      <c r="C764" s="165"/>
      <c r="D764" s="165"/>
      <c r="E764" s="165"/>
    </row>
    <row r="765">
      <c r="B765" s="165"/>
      <c r="C765" s="165"/>
      <c r="D765" s="165"/>
      <c r="E765" s="165"/>
    </row>
    <row r="766">
      <c r="B766" s="165"/>
      <c r="C766" s="165"/>
      <c r="D766" s="165"/>
      <c r="E766" s="165"/>
    </row>
    <row r="767">
      <c r="B767" s="165"/>
      <c r="C767" s="165"/>
      <c r="D767" s="165"/>
      <c r="E767" s="165"/>
    </row>
    <row r="768">
      <c r="B768" s="165"/>
      <c r="C768" s="165"/>
      <c r="D768" s="165"/>
      <c r="E768" s="165"/>
    </row>
    <row r="769">
      <c r="B769" s="165"/>
      <c r="C769" s="165"/>
      <c r="D769" s="165"/>
      <c r="E769" s="165"/>
    </row>
    <row r="770">
      <c r="B770" s="165"/>
      <c r="C770" s="165"/>
      <c r="D770" s="165"/>
      <c r="E770" s="165"/>
    </row>
    <row r="771">
      <c r="B771" s="165"/>
      <c r="C771" s="165"/>
      <c r="D771" s="165"/>
      <c r="E771" s="165"/>
    </row>
    <row r="772">
      <c r="B772" s="165"/>
      <c r="C772" s="165"/>
      <c r="D772" s="165"/>
      <c r="E772" s="165"/>
    </row>
    <row r="773">
      <c r="B773" s="165"/>
      <c r="C773" s="165"/>
      <c r="D773" s="165"/>
      <c r="E773" s="165"/>
    </row>
    <row r="774">
      <c r="B774" s="165"/>
      <c r="C774" s="165"/>
      <c r="D774" s="165"/>
      <c r="E774" s="165"/>
    </row>
    <row r="775">
      <c r="B775" s="165"/>
      <c r="C775" s="165"/>
      <c r="D775" s="165"/>
      <c r="E775" s="165"/>
    </row>
    <row r="776">
      <c r="B776" s="165"/>
      <c r="C776" s="165"/>
      <c r="D776" s="165"/>
      <c r="E776" s="165"/>
    </row>
    <row r="777">
      <c r="B777" s="165"/>
      <c r="C777" s="165"/>
      <c r="D777" s="165"/>
      <c r="E777" s="165"/>
    </row>
    <row r="778">
      <c r="B778" s="165"/>
      <c r="C778" s="165"/>
      <c r="D778" s="165"/>
      <c r="E778" s="165"/>
    </row>
    <row r="779">
      <c r="B779" s="165"/>
      <c r="C779" s="165"/>
      <c r="D779" s="165"/>
      <c r="E779" s="165"/>
    </row>
    <row r="780">
      <c r="B780" s="165"/>
      <c r="C780" s="165"/>
      <c r="D780" s="165"/>
      <c r="E780" s="165"/>
    </row>
    <row r="781">
      <c r="B781" s="165"/>
      <c r="C781" s="165"/>
      <c r="D781" s="165"/>
      <c r="E781" s="165"/>
    </row>
    <row r="782">
      <c r="B782" s="165"/>
      <c r="C782" s="165"/>
      <c r="D782" s="165"/>
      <c r="E782" s="165"/>
    </row>
    <row r="783">
      <c r="B783" s="165"/>
      <c r="C783" s="165"/>
      <c r="D783" s="165"/>
      <c r="E783" s="165"/>
    </row>
    <row r="784">
      <c r="B784" s="165"/>
      <c r="C784" s="165"/>
      <c r="D784" s="165"/>
      <c r="E784" s="165"/>
    </row>
    <row r="785">
      <c r="B785" s="165"/>
      <c r="C785" s="165"/>
      <c r="D785" s="165"/>
      <c r="E785" s="165"/>
    </row>
    <row r="786">
      <c r="B786" s="165"/>
      <c r="C786" s="165"/>
      <c r="D786" s="165"/>
      <c r="E786" s="165"/>
    </row>
    <row r="787">
      <c r="B787" s="165"/>
      <c r="C787" s="165"/>
      <c r="D787" s="165"/>
      <c r="E787" s="165"/>
    </row>
    <row r="788">
      <c r="B788" s="165"/>
      <c r="C788" s="165"/>
      <c r="D788" s="165"/>
      <c r="E788" s="165"/>
    </row>
    <row r="789">
      <c r="B789" s="165"/>
      <c r="C789" s="165"/>
      <c r="D789" s="165"/>
      <c r="E789" s="165"/>
    </row>
    <row r="790">
      <c r="B790" s="165"/>
      <c r="C790" s="165"/>
      <c r="D790" s="165"/>
      <c r="E790" s="165"/>
    </row>
    <row r="791">
      <c r="B791" s="165"/>
      <c r="C791" s="165"/>
      <c r="D791" s="165"/>
      <c r="E791" s="165"/>
    </row>
    <row r="792">
      <c r="B792" s="165"/>
      <c r="C792" s="165"/>
      <c r="D792" s="165"/>
      <c r="E792" s="165"/>
    </row>
    <row r="793">
      <c r="B793" s="165"/>
      <c r="C793" s="165"/>
      <c r="D793" s="165"/>
      <c r="E793" s="165"/>
    </row>
    <row r="794">
      <c r="B794" s="165"/>
      <c r="C794" s="165"/>
      <c r="D794" s="165"/>
      <c r="E794" s="165"/>
    </row>
    <row r="795">
      <c r="B795" s="165"/>
      <c r="C795" s="165"/>
      <c r="D795" s="165"/>
      <c r="E795" s="165"/>
    </row>
    <row r="796">
      <c r="B796" s="165"/>
      <c r="C796" s="165"/>
      <c r="D796" s="165"/>
      <c r="E796" s="165"/>
    </row>
    <row r="797">
      <c r="B797" s="165"/>
      <c r="C797" s="165"/>
      <c r="D797" s="165"/>
      <c r="E797" s="165"/>
    </row>
    <row r="798">
      <c r="B798" s="165"/>
      <c r="C798" s="165"/>
      <c r="D798" s="165"/>
      <c r="E798" s="165"/>
    </row>
    <row r="799">
      <c r="B799" s="165"/>
      <c r="C799" s="165"/>
      <c r="D799" s="165"/>
      <c r="E799" s="165"/>
    </row>
    <row r="800">
      <c r="B800" s="165"/>
      <c r="C800" s="165"/>
      <c r="D800" s="165"/>
      <c r="E800" s="165"/>
    </row>
    <row r="801">
      <c r="B801" s="165"/>
      <c r="C801" s="165"/>
      <c r="D801" s="165"/>
      <c r="E801" s="165"/>
    </row>
    <row r="802">
      <c r="B802" s="165"/>
      <c r="C802" s="165"/>
      <c r="D802" s="165"/>
      <c r="E802" s="165"/>
    </row>
    <row r="803">
      <c r="B803" s="165"/>
      <c r="C803" s="165"/>
      <c r="D803" s="165"/>
      <c r="E803" s="165"/>
    </row>
    <row r="804">
      <c r="B804" s="165"/>
      <c r="C804" s="165"/>
      <c r="D804" s="165"/>
      <c r="E804" s="165"/>
    </row>
    <row r="805">
      <c r="B805" s="165"/>
      <c r="C805" s="165"/>
      <c r="D805" s="165"/>
      <c r="E805" s="165"/>
    </row>
    <row r="806">
      <c r="B806" s="165"/>
      <c r="C806" s="165"/>
      <c r="D806" s="165"/>
      <c r="E806" s="165"/>
    </row>
    <row r="807">
      <c r="B807" s="165"/>
      <c r="C807" s="165"/>
      <c r="D807" s="165"/>
      <c r="E807" s="165"/>
    </row>
    <row r="808">
      <c r="B808" s="165"/>
      <c r="C808" s="165"/>
      <c r="D808" s="165"/>
      <c r="E808" s="165"/>
    </row>
    <row r="809">
      <c r="B809" s="165"/>
      <c r="C809" s="165"/>
      <c r="D809" s="165"/>
      <c r="E809" s="165"/>
    </row>
    <row r="810">
      <c r="B810" s="165"/>
      <c r="C810" s="165"/>
      <c r="D810" s="165"/>
      <c r="E810" s="165"/>
    </row>
    <row r="811">
      <c r="B811" s="165"/>
      <c r="C811" s="165"/>
      <c r="D811" s="165"/>
      <c r="E811" s="165"/>
    </row>
    <row r="812">
      <c r="B812" s="165"/>
      <c r="C812" s="165"/>
      <c r="D812" s="165"/>
      <c r="E812" s="165"/>
    </row>
    <row r="813">
      <c r="B813" s="165"/>
      <c r="C813" s="165"/>
      <c r="D813" s="165"/>
      <c r="E813" s="165"/>
    </row>
    <row r="814">
      <c r="B814" s="165"/>
      <c r="C814" s="165"/>
      <c r="D814" s="165"/>
      <c r="E814" s="165"/>
    </row>
    <row r="815">
      <c r="B815" s="165"/>
      <c r="C815" s="165"/>
      <c r="D815" s="165"/>
      <c r="E815" s="165"/>
    </row>
    <row r="816">
      <c r="B816" s="165"/>
      <c r="C816" s="165"/>
      <c r="D816" s="165"/>
      <c r="E816" s="165"/>
    </row>
    <row r="817">
      <c r="B817" s="165"/>
      <c r="C817" s="165"/>
      <c r="D817" s="165"/>
      <c r="E817" s="165"/>
    </row>
    <row r="818">
      <c r="B818" s="165"/>
      <c r="C818" s="165"/>
      <c r="D818" s="165"/>
      <c r="E818" s="165"/>
    </row>
    <row r="819">
      <c r="B819" s="165"/>
      <c r="C819" s="165"/>
      <c r="D819" s="165"/>
      <c r="E819" s="165"/>
    </row>
    <row r="820">
      <c r="B820" s="165"/>
      <c r="C820" s="165"/>
      <c r="D820" s="165"/>
      <c r="E820" s="165"/>
    </row>
    <row r="821">
      <c r="B821" s="165"/>
      <c r="C821" s="165"/>
      <c r="D821" s="165"/>
      <c r="E821" s="165"/>
    </row>
    <row r="822">
      <c r="B822" s="165"/>
      <c r="C822" s="165"/>
      <c r="D822" s="165"/>
      <c r="E822" s="165"/>
    </row>
    <row r="823">
      <c r="B823" s="165"/>
      <c r="C823" s="165"/>
      <c r="D823" s="165"/>
      <c r="E823" s="165"/>
    </row>
    <row r="824">
      <c r="B824" s="165"/>
      <c r="C824" s="165"/>
      <c r="D824" s="165"/>
      <c r="E824" s="165"/>
    </row>
    <row r="825">
      <c r="B825" s="165"/>
      <c r="C825" s="165"/>
      <c r="D825" s="165"/>
      <c r="E825" s="165"/>
    </row>
    <row r="826">
      <c r="B826" s="165"/>
      <c r="C826" s="165"/>
      <c r="D826" s="165"/>
      <c r="E826" s="165"/>
    </row>
    <row r="827">
      <c r="B827" s="165"/>
      <c r="C827" s="165"/>
      <c r="D827" s="165"/>
      <c r="E827" s="165"/>
    </row>
    <row r="828">
      <c r="B828" s="165"/>
      <c r="C828" s="165"/>
      <c r="D828" s="165"/>
      <c r="E828" s="165"/>
    </row>
    <row r="829">
      <c r="B829" s="165"/>
      <c r="C829" s="165"/>
      <c r="D829" s="165"/>
      <c r="E829" s="165"/>
    </row>
    <row r="830">
      <c r="B830" s="165"/>
      <c r="C830" s="165"/>
      <c r="D830" s="165"/>
      <c r="E830" s="165"/>
    </row>
    <row r="831">
      <c r="B831" s="165"/>
      <c r="C831" s="165"/>
      <c r="D831" s="165"/>
      <c r="E831" s="165"/>
    </row>
    <row r="832">
      <c r="B832" s="165"/>
      <c r="C832" s="165"/>
      <c r="D832" s="165"/>
      <c r="E832" s="165"/>
    </row>
    <row r="833">
      <c r="B833" s="165"/>
      <c r="C833" s="165"/>
      <c r="D833" s="165"/>
      <c r="E833" s="165"/>
    </row>
    <row r="834">
      <c r="B834" s="165"/>
      <c r="C834" s="165"/>
      <c r="D834" s="165"/>
      <c r="E834" s="165"/>
    </row>
    <row r="835">
      <c r="B835" s="165"/>
      <c r="C835" s="165"/>
      <c r="D835" s="165"/>
      <c r="E835" s="165"/>
    </row>
    <row r="836">
      <c r="B836" s="165"/>
      <c r="C836" s="165"/>
      <c r="D836" s="165"/>
      <c r="E836" s="165"/>
    </row>
    <row r="837">
      <c r="B837" s="165"/>
      <c r="C837" s="165"/>
      <c r="D837" s="165"/>
      <c r="E837" s="165"/>
    </row>
    <row r="838">
      <c r="B838" s="165"/>
      <c r="C838" s="165"/>
      <c r="D838" s="165"/>
      <c r="E838" s="165"/>
    </row>
    <row r="839">
      <c r="B839" s="165"/>
      <c r="C839" s="165"/>
      <c r="D839" s="165"/>
      <c r="E839" s="165"/>
    </row>
    <row r="840">
      <c r="B840" s="165"/>
      <c r="C840" s="165"/>
      <c r="D840" s="165"/>
      <c r="E840" s="165"/>
    </row>
    <row r="841">
      <c r="B841" s="165"/>
      <c r="C841" s="165"/>
      <c r="D841" s="165"/>
      <c r="E841" s="165"/>
    </row>
    <row r="842">
      <c r="B842" s="165"/>
      <c r="C842" s="165"/>
      <c r="D842" s="165"/>
      <c r="E842" s="165"/>
    </row>
    <row r="843">
      <c r="B843" s="165"/>
      <c r="C843" s="165"/>
      <c r="D843" s="165"/>
      <c r="E843" s="165"/>
    </row>
    <row r="844">
      <c r="B844" s="165"/>
      <c r="C844" s="165"/>
      <c r="D844" s="165"/>
      <c r="E844" s="165"/>
    </row>
    <row r="845">
      <c r="B845" s="165"/>
      <c r="C845" s="165"/>
      <c r="D845" s="165"/>
      <c r="E845" s="165"/>
    </row>
    <row r="846">
      <c r="B846" s="165"/>
      <c r="C846" s="165"/>
      <c r="D846" s="165"/>
      <c r="E846" s="165"/>
    </row>
    <row r="847">
      <c r="B847" s="165"/>
      <c r="C847" s="165"/>
      <c r="D847" s="165"/>
      <c r="E847" s="165"/>
    </row>
    <row r="848">
      <c r="B848" s="165"/>
      <c r="C848" s="165"/>
      <c r="D848" s="165"/>
      <c r="E848" s="165"/>
    </row>
    <row r="849">
      <c r="B849" s="165"/>
      <c r="C849" s="165"/>
      <c r="D849" s="165"/>
      <c r="E849" s="165"/>
    </row>
    <row r="850">
      <c r="B850" s="165"/>
      <c r="C850" s="165"/>
      <c r="D850" s="165"/>
      <c r="E850" s="165"/>
    </row>
    <row r="851">
      <c r="B851" s="165"/>
      <c r="C851" s="165"/>
      <c r="D851" s="165"/>
      <c r="E851" s="165"/>
    </row>
    <row r="852">
      <c r="B852" s="165"/>
      <c r="C852" s="165"/>
      <c r="D852" s="165"/>
      <c r="E852" s="165"/>
    </row>
    <row r="853">
      <c r="B853" s="165"/>
      <c r="C853" s="165"/>
      <c r="D853" s="165"/>
      <c r="E853" s="165"/>
    </row>
    <row r="854">
      <c r="B854" s="165"/>
      <c r="C854" s="165"/>
      <c r="D854" s="165"/>
      <c r="E854" s="165"/>
    </row>
    <row r="855">
      <c r="B855" s="165"/>
      <c r="C855" s="165"/>
      <c r="D855" s="165"/>
      <c r="E855" s="165"/>
    </row>
    <row r="856">
      <c r="B856" s="165"/>
      <c r="C856" s="165"/>
      <c r="D856" s="165"/>
      <c r="E856" s="165"/>
    </row>
    <row r="857">
      <c r="B857" s="165"/>
      <c r="C857" s="165"/>
      <c r="D857" s="165"/>
      <c r="E857" s="165"/>
    </row>
    <row r="858">
      <c r="B858" s="165"/>
      <c r="C858" s="165"/>
      <c r="D858" s="165"/>
      <c r="E858" s="165"/>
    </row>
    <row r="859">
      <c r="B859" s="165"/>
      <c r="C859" s="165"/>
      <c r="D859" s="165"/>
      <c r="E859" s="165"/>
    </row>
    <row r="860">
      <c r="B860" s="165"/>
      <c r="C860" s="165"/>
      <c r="D860" s="165"/>
      <c r="E860" s="165"/>
    </row>
    <row r="861">
      <c r="B861" s="165"/>
      <c r="C861" s="165"/>
      <c r="D861" s="165"/>
      <c r="E861" s="165"/>
    </row>
    <row r="862">
      <c r="B862" s="165"/>
      <c r="C862" s="165"/>
      <c r="D862" s="165"/>
      <c r="E862" s="165"/>
    </row>
    <row r="863">
      <c r="B863" s="165"/>
      <c r="C863" s="165"/>
      <c r="D863" s="165"/>
      <c r="E863" s="165"/>
    </row>
    <row r="864">
      <c r="B864" s="165"/>
      <c r="C864" s="165"/>
      <c r="D864" s="165"/>
      <c r="E864" s="165"/>
    </row>
    <row r="865">
      <c r="B865" s="165"/>
      <c r="C865" s="165"/>
      <c r="D865" s="165"/>
      <c r="E865" s="165"/>
    </row>
    <row r="866">
      <c r="B866" s="165"/>
      <c r="C866" s="165"/>
      <c r="D866" s="165"/>
      <c r="E866" s="165"/>
    </row>
    <row r="867">
      <c r="B867" s="165"/>
      <c r="C867" s="165"/>
      <c r="D867" s="165"/>
      <c r="E867" s="165"/>
    </row>
    <row r="868">
      <c r="B868" s="165"/>
      <c r="C868" s="165"/>
      <c r="D868" s="165"/>
      <c r="E868" s="165"/>
    </row>
    <row r="869">
      <c r="B869" s="165"/>
      <c r="C869" s="165"/>
      <c r="D869" s="165"/>
      <c r="E869" s="165"/>
    </row>
    <row r="870">
      <c r="B870" s="165"/>
      <c r="C870" s="165"/>
      <c r="D870" s="165"/>
      <c r="E870" s="165"/>
    </row>
    <row r="871">
      <c r="B871" s="165"/>
      <c r="C871" s="165"/>
      <c r="D871" s="165"/>
      <c r="E871" s="165"/>
    </row>
    <row r="872">
      <c r="B872" s="165"/>
      <c r="C872" s="165"/>
      <c r="D872" s="165"/>
      <c r="E872" s="165"/>
    </row>
    <row r="873">
      <c r="B873" s="165"/>
      <c r="C873" s="165"/>
      <c r="D873" s="165"/>
      <c r="E873" s="165"/>
    </row>
    <row r="874">
      <c r="B874" s="165"/>
      <c r="C874" s="165"/>
      <c r="D874" s="165"/>
      <c r="E874" s="165"/>
    </row>
    <row r="875">
      <c r="B875" s="165"/>
      <c r="C875" s="165"/>
      <c r="D875" s="165"/>
      <c r="E875" s="165"/>
    </row>
    <row r="876">
      <c r="B876" s="165"/>
      <c r="C876" s="165"/>
      <c r="D876" s="165"/>
      <c r="E876" s="165"/>
    </row>
    <row r="877">
      <c r="B877" s="165"/>
      <c r="C877" s="165"/>
      <c r="D877" s="165"/>
      <c r="E877" s="165"/>
    </row>
    <row r="878">
      <c r="B878" s="165"/>
      <c r="C878" s="165"/>
      <c r="D878" s="165"/>
      <c r="E878" s="165"/>
    </row>
    <row r="879">
      <c r="B879" s="165"/>
      <c r="C879" s="165"/>
      <c r="D879" s="165"/>
      <c r="E879" s="165"/>
    </row>
    <row r="880">
      <c r="B880" s="165"/>
      <c r="C880" s="165"/>
      <c r="D880" s="165"/>
      <c r="E880" s="165"/>
    </row>
    <row r="881">
      <c r="B881" s="165"/>
      <c r="C881" s="165"/>
      <c r="D881" s="165"/>
      <c r="E881" s="165"/>
    </row>
    <row r="882">
      <c r="B882" s="165"/>
      <c r="C882" s="165"/>
      <c r="D882" s="165"/>
      <c r="E882" s="165"/>
    </row>
    <row r="883">
      <c r="B883" s="165"/>
      <c r="C883" s="165"/>
      <c r="D883" s="165"/>
      <c r="E883" s="165"/>
    </row>
    <row r="884">
      <c r="B884" s="165"/>
      <c r="C884" s="165"/>
      <c r="D884" s="165"/>
      <c r="E884" s="165"/>
    </row>
    <row r="885">
      <c r="B885" s="165"/>
      <c r="C885" s="165"/>
      <c r="D885" s="165"/>
      <c r="E885" s="165"/>
    </row>
    <row r="886">
      <c r="B886" s="165"/>
      <c r="C886" s="165"/>
      <c r="D886" s="165"/>
      <c r="E886" s="165"/>
    </row>
    <row r="887">
      <c r="B887" s="165"/>
      <c r="C887" s="165"/>
      <c r="D887" s="165"/>
      <c r="E887" s="165"/>
    </row>
    <row r="888">
      <c r="B888" s="165"/>
      <c r="C888" s="165"/>
      <c r="D888" s="165"/>
      <c r="E888" s="165"/>
    </row>
    <row r="889">
      <c r="B889" s="165"/>
      <c r="C889" s="165"/>
      <c r="D889" s="165"/>
      <c r="E889" s="165"/>
    </row>
    <row r="890">
      <c r="B890" s="165"/>
      <c r="C890" s="165"/>
      <c r="D890" s="165"/>
      <c r="E890" s="165"/>
    </row>
    <row r="891">
      <c r="B891" s="165"/>
      <c r="C891" s="165"/>
      <c r="D891" s="165"/>
      <c r="E891" s="165"/>
    </row>
    <row r="892">
      <c r="B892" s="165"/>
      <c r="C892" s="165"/>
      <c r="D892" s="165"/>
      <c r="E892" s="165"/>
    </row>
    <row r="893">
      <c r="B893" s="165"/>
      <c r="C893" s="165"/>
      <c r="D893" s="165"/>
      <c r="E893" s="165"/>
    </row>
    <row r="894">
      <c r="B894" s="165"/>
      <c r="C894" s="165"/>
      <c r="D894" s="165"/>
      <c r="E894" s="165"/>
    </row>
    <row r="895">
      <c r="B895" s="165"/>
      <c r="C895" s="165"/>
      <c r="D895" s="165"/>
      <c r="E895" s="165"/>
    </row>
    <row r="896">
      <c r="B896" s="165"/>
      <c r="C896" s="165"/>
      <c r="D896" s="165"/>
      <c r="E896" s="165"/>
    </row>
    <row r="897">
      <c r="B897" s="165"/>
      <c r="C897" s="165"/>
      <c r="D897" s="165"/>
      <c r="E897" s="165"/>
    </row>
    <row r="898">
      <c r="B898" s="165"/>
      <c r="C898" s="165"/>
      <c r="D898" s="165"/>
      <c r="E898" s="165"/>
    </row>
    <row r="899">
      <c r="B899" s="165"/>
      <c r="C899" s="165"/>
      <c r="D899" s="165"/>
      <c r="E899" s="165"/>
    </row>
    <row r="900">
      <c r="B900" s="165"/>
      <c r="C900" s="165"/>
      <c r="D900" s="165"/>
      <c r="E900" s="165"/>
    </row>
    <row r="901">
      <c r="B901" s="165"/>
      <c r="C901" s="165"/>
      <c r="D901" s="165"/>
      <c r="E901" s="165"/>
    </row>
    <row r="902">
      <c r="B902" s="165"/>
      <c r="C902" s="165"/>
      <c r="D902" s="165"/>
      <c r="E902" s="165"/>
    </row>
    <row r="903">
      <c r="B903" s="165"/>
      <c r="C903" s="165"/>
      <c r="D903" s="165"/>
      <c r="E903" s="165"/>
    </row>
    <row r="904">
      <c r="B904" s="165"/>
      <c r="C904" s="165"/>
      <c r="D904" s="165"/>
      <c r="E904" s="165"/>
    </row>
    <row r="905">
      <c r="B905" s="165"/>
      <c r="C905" s="165"/>
      <c r="D905" s="165"/>
      <c r="E905" s="165"/>
    </row>
    <row r="906">
      <c r="B906" s="165"/>
      <c r="C906" s="165"/>
      <c r="D906" s="165"/>
      <c r="E906" s="165"/>
    </row>
    <row r="907">
      <c r="B907" s="165"/>
      <c r="C907" s="165"/>
      <c r="D907" s="165"/>
      <c r="E907" s="165"/>
    </row>
    <row r="908">
      <c r="B908" s="165"/>
      <c r="C908" s="165"/>
      <c r="D908" s="165"/>
      <c r="E908" s="165"/>
    </row>
    <row r="909">
      <c r="B909" s="165"/>
      <c r="C909" s="165"/>
      <c r="D909" s="165"/>
      <c r="E909" s="165"/>
    </row>
    <row r="910">
      <c r="B910" s="165"/>
      <c r="C910" s="165"/>
      <c r="D910" s="165"/>
      <c r="E910" s="165"/>
    </row>
    <row r="911">
      <c r="B911" s="165"/>
      <c r="C911" s="165"/>
      <c r="D911" s="165"/>
      <c r="E911" s="165"/>
    </row>
    <row r="912">
      <c r="B912" s="165"/>
      <c r="C912" s="165"/>
      <c r="D912" s="165"/>
      <c r="E912" s="165"/>
    </row>
    <row r="913">
      <c r="B913" s="165"/>
      <c r="C913" s="165"/>
      <c r="D913" s="165"/>
      <c r="E913" s="165"/>
    </row>
    <row r="914">
      <c r="B914" s="165"/>
      <c r="C914" s="165"/>
      <c r="D914" s="165"/>
      <c r="E914" s="165"/>
    </row>
    <row r="915">
      <c r="B915" s="165"/>
      <c r="C915" s="165"/>
      <c r="D915" s="165"/>
      <c r="E915" s="165"/>
    </row>
    <row r="916">
      <c r="B916" s="165"/>
      <c r="C916" s="165"/>
      <c r="D916" s="165"/>
      <c r="E916" s="165"/>
    </row>
    <row r="917">
      <c r="B917" s="165"/>
      <c r="C917" s="165"/>
      <c r="D917" s="165"/>
      <c r="E917" s="165"/>
    </row>
    <row r="918">
      <c r="B918" s="165"/>
      <c r="C918" s="165"/>
      <c r="D918" s="165"/>
      <c r="E918" s="165"/>
    </row>
    <row r="919">
      <c r="B919" s="165"/>
      <c r="C919" s="165"/>
      <c r="D919" s="165"/>
      <c r="E919" s="165"/>
    </row>
    <row r="920">
      <c r="B920" s="165"/>
      <c r="C920" s="165"/>
      <c r="D920" s="165"/>
      <c r="E920" s="165"/>
    </row>
    <row r="921">
      <c r="B921" s="165"/>
      <c r="C921" s="165"/>
      <c r="D921" s="165"/>
      <c r="E921" s="165"/>
    </row>
    <row r="922">
      <c r="B922" s="165"/>
      <c r="C922" s="165"/>
      <c r="D922" s="165"/>
      <c r="E922" s="165"/>
    </row>
    <row r="923">
      <c r="B923" s="165"/>
      <c r="C923" s="165"/>
      <c r="D923" s="165"/>
      <c r="E923" s="165"/>
    </row>
    <row r="924">
      <c r="B924" s="165"/>
      <c r="C924" s="165"/>
      <c r="D924" s="165"/>
      <c r="E924" s="165"/>
    </row>
    <row r="925">
      <c r="B925" s="165"/>
      <c r="C925" s="165"/>
      <c r="D925" s="165"/>
      <c r="E925" s="165"/>
    </row>
    <row r="926">
      <c r="B926" s="165"/>
      <c r="C926" s="165"/>
      <c r="D926" s="165"/>
      <c r="E926" s="165"/>
    </row>
    <row r="927">
      <c r="B927" s="165"/>
      <c r="C927" s="165"/>
      <c r="D927" s="165"/>
      <c r="E927" s="165"/>
    </row>
    <row r="928">
      <c r="B928" s="165"/>
      <c r="C928" s="165"/>
      <c r="D928" s="165"/>
      <c r="E928" s="165"/>
    </row>
    <row r="929">
      <c r="B929" s="165"/>
      <c r="C929" s="165"/>
      <c r="D929" s="165"/>
      <c r="E929" s="165"/>
    </row>
    <row r="930">
      <c r="B930" s="165"/>
      <c r="C930" s="165"/>
      <c r="D930" s="165"/>
      <c r="E930" s="165"/>
    </row>
    <row r="931">
      <c r="B931" s="165"/>
      <c r="C931" s="165"/>
      <c r="D931" s="165"/>
      <c r="E931" s="165"/>
    </row>
    <row r="932">
      <c r="B932" s="165"/>
      <c r="C932" s="165"/>
      <c r="D932" s="165"/>
      <c r="E932" s="165"/>
    </row>
    <row r="933">
      <c r="B933" s="165"/>
      <c r="C933" s="165"/>
      <c r="D933" s="165"/>
      <c r="E933" s="165"/>
    </row>
    <row r="934">
      <c r="B934" s="165"/>
      <c r="C934" s="165"/>
      <c r="D934" s="165"/>
      <c r="E934" s="165"/>
    </row>
    <row r="935">
      <c r="B935" s="165"/>
      <c r="C935" s="165"/>
      <c r="D935" s="165"/>
      <c r="E935" s="165"/>
    </row>
    <row r="936">
      <c r="B936" s="165"/>
      <c r="C936" s="165"/>
      <c r="D936" s="165"/>
      <c r="E936" s="165"/>
    </row>
    <row r="937">
      <c r="B937" s="165"/>
      <c r="C937" s="165"/>
      <c r="D937" s="165"/>
      <c r="E937" s="165"/>
    </row>
    <row r="938">
      <c r="B938" s="165"/>
      <c r="C938" s="165"/>
      <c r="D938" s="165"/>
      <c r="E938" s="165"/>
    </row>
    <row r="939">
      <c r="B939" s="165"/>
      <c r="C939" s="165"/>
      <c r="D939" s="165"/>
      <c r="E939" s="165"/>
    </row>
    <row r="940">
      <c r="B940" s="165"/>
      <c r="C940" s="165"/>
      <c r="D940" s="165"/>
      <c r="E940" s="165"/>
    </row>
    <row r="941">
      <c r="B941" s="165"/>
      <c r="C941" s="165"/>
      <c r="D941" s="165"/>
      <c r="E941" s="165"/>
    </row>
    <row r="942">
      <c r="B942" s="165"/>
      <c r="C942" s="165"/>
      <c r="D942" s="165"/>
      <c r="E942" s="165"/>
    </row>
    <row r="943">
      <c r="B943" s="165"/>
      <c r="C943" s="165"/>
      <c r="D943" s="165"/>
      <c r="E943" s="165"/>
    </row>
    <row r="944">
      <c r="B944" s="165"/>
      <c r="C944" s="165"/>
      <c r="D944" s="165"/>
      <c r="E944" s="165"/>
    </row>
    <row r="945">
      <c r="B945" s="165"/>
      <c r="C945" s="165"/>
      <c r="D945" s="165"/>
      <c r="E945" s="165"/>
    </row>
    <row r="946">
      <c r="B946" s="165"/>
      <c r="C946" s="165"/>
      <c r="D946" s="165"/>
      <c r="E946" s="165"/>
    </row>
    <row r="947">
      <c r="B947" s="165"/>
      <c r="C947" s="165"/>
      <c r="D947" s="165"/>
      <c r="E947" s="165"/>
    </row>
    <row r="948">
      <c r="B948" s="165"/>
      <c r="C948" s="165"/>
      <c r="D948" s="165"/>
      <c r="E948" s="165"/>
    </row>
    <row r="949">
      <c r="B949" s="165"/>
      <c r="C949" s="165"/>
      <c r="D949" s="165"/>
      <c r="E949" s="165"/>
    </row>
    <row r="950">
      <c r="B950" s="165"/>
      <c r="C950" s="165"/>
      <c r="D950" s="165"/>
      <c r="E950" s="165"/>
    </row>
    <row r="951">
      <c r="B951" s="165"/>
      <c r="C951" s="165"/>
      <c r="D951" s="165"/>
      <c r="E951" s="165"/>
    </row>
    <row r="952">
      <c r="B952" s="165"/>
      <c r="C952" s="165"/>
      <c r="D952" s="165"/>
      <c r="E952" s="165"/>
    </row>
    <row r="953">
      <c r="B953" s="165"/>
      <c r="C953" s="165"/>
      <c r="D953" s="165"/>
      <c r="E953" s="165"/>
    </row>
    <row r="954">
      <c r="B954" s="165"/>
      <c r="C954" s="165"/>
      <c r="D954" s="165"/>
      <c r="E954" s="165"/>
    </row>
    <row r="955">
      <c r="B955" s="165"/>
      <c r="C955" s="165"/>
      <c r="D955" s="165"/>
      <c r="E955" s="165"/>
    </row>
    <row r="956">
      <c r="B956" s="165"/>
      <c r="C956" s="165"/>
      <c r="D956" s="165"/>
      <c r="E956" s="165"/>
    </row>
    <row r="957">
      <c r="B957" s="165"/>
      <c r="C957" s="165"/>
      <c r="D957" s="165"/>
      <c r="E957" s="165"/>
    </row>
    <row r="958">
      <c r="B958" s="165"/>
      <c r="C958" s="165"/>
      <c r="D958" s="165"/>
      <c r="E958" s="165"/>
    </row>
    <row r="959">
      <c r="B959" s="165"/>
      <c r="C959" s="165"/>
      <c r="D959" s="165"/>
      <c r="E959" s="165"/>
    </row>
    <row r="960">
      <c r="B960" s="165"/>
      <c r="C960" s="165"/>
      <c r="D960" s="165"/>
      <c r="E960" s="165"/>
    </row>
    <row r="961">
      <c r="B961" s="165"/>
      <c r="C961" s="165"/>
      <c r="D961" s="165"/>
      <c r="E961" s="165"/>
    </row>
    <row r="962">
      <c r="B962" s="165"/>
      <c r="C962" s="165"/>
      <c r="D962" s="165"/>
      <c r="E962" s="165"/>
    </row>
    <row r="963">
      <c r="B963" s="165"/>
      <c r="C963" s="165"/>
      <c r="D963" s="165"/>
      <c r="E963" s="165"/>
    </row>
    <row r="964">
      <c r="B964" s="165"/>
      <c r="C964" s="165"/>
      <c r="D964" s="165"/>
      <c r="E964" s="165"/>
    </row>
    <row r="965">
      <c r="B965" s="165"/>
      <c r="C965" s="165"/>
      <c r="D965" s="165"/>
      <c r="E965" s="165"/>
    </row>
    <row r="966">
      <c r="B966" s="165"/>
      <c r="C966" s="165"/>
      <c r="D966" s="165"/>
      <c r="E966" s="165"/>
    </row>
    <row r="967">
      <c r="B967" s="165"/>
      <c r="C967" s="165"/>
      <c r="D967" s="165"/>
      <c r="E967" s="165"/>
    </row>
    <row r="968">
      <c r="B968" s="165"/>
      <c r="C968" s="165"/>
      <c r="D968" s="165"/>
      <c r="E968" s="165"/>
    </row>
    <row r="969">
      <c r="B969" s="165"/>
      <c r="C969" s="165"/>
      <c r="D969" s="165"/>
      <c r="E969" s="165"/>
    </row>
    <row r="970">
      <c r="B970" s="165"/>
      <c r="C970" s="165"/>
      <c r="D970" s="165"/>
      <c r="E970" s="165"/>
    </row>
    <row r="971">
      <c r="B971" s="165"/>
      <c r="C971" s="165"/>
      <c r="D971" s="165"/>
      <c r="E971" s="165"/>
    </row>
    <row r="972">
      <c r="B972" s="165"/>
      <c r="C972" s="165"/>
      <c r="D972" s="165"/>
      <c r="E972" s="165"/>
    </row>
    <row r="973">
      <c r="B973" s="165"/>
      <c r="C973" s="165"/>
      <c r="D973" s="165"/>
      <c r="E973" s="165"/>
    </row>
    <row r="974">
      <c r="B974" s="165"/>
      <c r="C974" s="165"/>
      <c r="D974" s="165"/>
      <c r="E974" s="165"/>
    </row>
    <row r="975">
      <c r="B975" s="165"/>
      <c r="C975" s="165"/>
      <c r="D975" s="165"/>
      <c r="E975" s="165"/>
    </row>
    <row r="976">
      <c r="B976" s="165"/>
      <c r="C976" s="165"/>
      <c r="D976" s="165"/>
      <c r="E976" s="165"/>
    </row>
    <row r="977">
      <c r="B977" s="165"/>
      <c r="C977" s="165"/>
      <c r="D977" s="165"/>
      <c r="E977" s="165"/>
    </row>
    <row r="978">
      <c r="B978" s="165"/>
      <c r="C978" s="165"/>
      <c r="D978" s="165"/>
      <c r="E978" s="165"/>
    </row>
    <row r="979">
      <c r="B979" s="165"/>
      <c r="C979" s="165"/>
      <c r="D979" s="165"/>
      <c r="E979" s="165"/>
    </row>
    <row r="980">
      <c r="B980" s="165"/>
      <c r="C980" s="165"/>
      <c r="D980" s="165"/>
      <c r="E980" s="165"/>
    </row>
    <row r="981">
      <c r="B981" s="165"/>
      <c r="C981" s="165"/>
      <c r="D981" s="165"/>
      <c r="E981" s="165"/>
    </row>
    <row r="982">
      <c r="B982" s="165"/>
      <c r="C982" s="165"/>
      <c r="D982" s="165"/>
      <c r="E982" s="165"/>
    </row>
    <row r="983">
      <c r="B983" s="165"/>
      <c r="C983" s="165"/>
      <c r="D983" s="165"/>
      <c r="E983" s="165"/>
    </row>
    <row r="984">
      <c r="B984" s="165"/>
      <c r="C984" s="165"/>
      <c r="D984" s="165"/>
      <c r="E984" s="165"/>
    </row>
    <row r="985">
      <c r="B985" s="165"/>
      <c r="C985" s="165"/>
      <c r="D985" s="165"/>
      <c r="E985" s="165"/>
    </row>
    <row r="986">
      <c r="B986" s="165"/>
      <c r="C986" s="165"/>
      <c r="D986" s="165"/>
      <c r="E986" s="165"/>
    </row>
    <row r="987">
      <c r="B987" s="165"/>
      <c r="C987" s="165"/>
      <c r="D987" s="165"/>
      <c r="E987" s="165"/>
    </row>
    <row r="988">
      <c r="B988" s="165"/>
      <c r="C988" s="165"/>
      <c r="D988" s="165"/>
      <c r="E988" s="165"/>
    </row>
    <row r="989">
      <c r="B989" s="165"/>
      <c r="C989" s="165"/>
      <c r="D989" s="165"/>
      <c r="E989" s="165"/>
    </row>
    <row r="990">
      <c r="B990" s="165"/>
      <c r="C990" s="165"/>
      <c r="D990" s="165"/>
      <c r="E990" s="165"/>
    </row>
    <row r="991">
      <c r="B991" s="165"/>
      <c r="C991" s="165"/>
      <c r="D991" s="165"/>
      <c r="E991" s="165"/>
    </row>
    <row r="992">
      <c r="B992" s="165"/>
      <c r="C992" s="165"/>
      <c r="D992" s="165"/>
      <c r="E992" s="165"/>
    </row>
    <row r="993">
      <c r="B993" s="165"/>
      <c r="C993" s="165"/>
      <c r="D993" s="165"/>
      <c r="E993" s="165"/>
    </row>
    <row r="994">
      <c r="B994" s="165"/>
      <c r="C994" s="165"/>
      <c r="D994" s="165"/>
      <c r="E994" s="165"/>
    </row>
    <row r="995">
      <c r="B995" s="165"/>
      <c r="C995" s="165"/>
      <c r="D995" s="165"/>
      <c r="E995" s="165"/>
    </row>
    <row r="996">
      <c r="B996" s="165"/>
      <c r="C996" s="165"/>
      <c r="D996" s="165"/>
      <c r="E996" s="165"/>
    </row>
    <row r="997">
      <c r="B997" s="165"/>
      <c r="C997" s="165"/>
      <c r="D997" s="165"/>
      <c r="E997" s="165"/>
    </row>
    <row r="998">
      <c r="B998" s="165"/>
      <c r="C998" s="165"/>
      <c r="D998" s="165"/>
      <c r="E998" s="165"/>
    </row>
    <row r="999">
      <c r="B999" s="165"/>
      <c r="C999" s="165"/>
      <c r="D999" s="165"/>
      <c r="E999" s="165"/>
    </row>
    <row r="1000">
      <c r="B1000" s="165"/>
      <c r="C1000" s="165"/>
      <c r="D1000" s="165"/>
      <c r="E1000" s="165"/>
    </row>
    <row r="1001">
      <c r="B1001" s="165"/>
      <c r="C1001" s="165"/>
      <c r="D1001" s="165"/>
      <c r="E1001" s="165"/>
    </row>
    <row r="1002">
      <c r="B1002" s="165"/>
      <c r="C1002" s="165"/>
      <c r="D1002" s="165"/>
      <c r="E1002" s="165"/>
    </row>
    <row r="1003">
      <c r="B1003" s="165"/>
      <c r="C1003" s="165"/>
      <c r="D1003" s="165"/>
      <c r="E1003" s="165"/>
    </row>
    <row r="1004">
      <c r="B1004" s="165"/>
      <c r="C1004" s="165"/>
      <c r="D1004" s="165"/>
      <c r="E1004" s="165"/>
    </row>
    <row r="1005">
      <c r="B1005" s="165"/>
      <c r="C1005" s="165"/>
      <c r="D1005" s="165"/>
      <c r="E1005" s="165"/>
    </row>
    <row r="1006">
      <c r="B1006" s="165"/>
      <c r="C1006" s="165"/>
      <c r="D1006" s="165"/>
      <c r="E1006" s="165"/>
    </row>
    <row r="1007">
      <c r="B1007" s="165"/>
      <c r="C1007" s="165"/>
      <c r="D1007" s="165"/>
      <c r="E1007" s="165"/>
    </row>
    <row r="1008">
      <c r="B1008" s="165"/>
      <c r="C1008" s="165"/>
      <c r="D1008" s="165"/>
      <c r="E1008" s="165"/>
    </row>
    <row r="1009">
      <c r="B1009" s="165"/>
      <c r="C1009" s="165"/>
      <c r="D1009" s="165"/>
      <c r="E1009" s="165"/>
    </row>
    <row r="1010">
      <c r="B1010" s="165"/>
      <c r="C1010" s="165"/>
      <c r="D1010" s="165"/>
      <c r="E1010" s="165"/>
    </row>
    <row r="1011">
      <c r="B1011" s="165"/>
      <c r="C1011" s="165"/>
      <c r="D1011" s="165"/>
      <c r="E1011" s="16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13.88"/>
    <col customWidth="1" min="4" max="4" width="19.63"/>
    <col customWidth="1" min="5" max="5" width="13.25"/>
    <col customWidth="1" min="6" max="6" width="17.13"/>
    <col customWidth="1" min="7" max="7" width="17.75"/>
    <col customWidth="1" min="8" max="8" width="25.13"/>
    <col customWidth="1" min="9" max="9" width="25.75"/>
  </cols>
  <sheetData>
    <row r="1">
      <c r="A1" s="1" t="s">
        <v>1177</v>
      </c>
    </row>
    <row r="5" ht="18.0" customHeight="1">
      <c r="C5" s="166" t="s">
        <v>229</v>
      </c>
      <c r="D5" s="167" t="s">
        <v>146</v>
      </c>
      <c r="E5" s="168"/>
      <c r="F5" s="169" t="s">
        <v>1178</v>
      </c>
      <c r="G5" s="170"/>
      <c r="H5" s="167" t="s">
        <v>231</v>
      </c>
      <c r="I5" s="171" t="s">
        <v>149</v>
      </c>
    </row>
    <row r="6">
      <c r="C6" s="172" t="s">
        <v>1179</v>
      </c>
      <c r="D6" s="173" t="s">
        <v>17</v>
      </c>
      <c r="E6" s="174">
        <v>1.0</v>
      </c>
      <c r="F6" s="175" t="s">
        <v>1180</v>
      </c>
      <c r="G6" s="176" t="s">
        <v>1181</v>
      </c>
      <c r="H6" s="177" t="s">
        <v>1182</v>
      </c>
      <c r="I6" s="178" t="str">
        <f t="shared" ref="I6:I10" si="1">CONCAT(F6,G6)</f>
        <v>darkchocolate</v>
      </c>
    </row>
    <row r="7">
      <c r="C7" s="179"/>
      <c r="D7" s="179"/>
      <c r="E7" s="180">
        <v>2.0</v>
      </c>
      <c r="F7" s="1" t="s">
        <v>1183</v>
      </c>
      <c r="G7" s="181" t="s">
        <v>1184</v>
      </c>
      <c r="H7" s="182" t="s">
        <v>1185</v>
      </c>
      <c r="I7" s="183" t="str">
        <f t="shared" si="1"/>
        <v>NonVegetarian</v>
      </c>
    </row>
    <row r="8">
      <c r="C8" s="179"/>
      <c r="D8" s="179"/>
      <c r="E8" s="180">
        <v>3.0</v>
      </c>
      <c r="F8" s="1" t="s">
        <v>1186</v>
      </c>
      <c r="G8" s="181" t="s">
        <v>1187</v>
      </c>
      <c r="H8" s="182" t="s">
        <v>1188</v>
      </c>
      <c r="I8" s="183" t="str">
        <f t="shared" si="1"/>
        <v>butterfly</v>
      </c>
    </row>
    <row r="9">
      <c r="C9" s="179"/>
      <c r="D9" s="179"/>
      <c r="E9" s="180">
        <v>4.0</v>
      </c>
      <c r="F9" s="1" t="s">
        <v>1189</v>
      </c>
      <c r="G9" s="181" t="s">
        <v>1190</v>
      </c>
      <c r="H9" s="182" t="s">
        <v>1191</v>
      </c>
      <c r="I9" s="183" t="str">
        <f t="shared" si="1"/>
        <v>Eyesight</v>
      </c>
    </row>
    <row r="10">
      <c r="C10" s="179"/>
      <c r="D10" s="179"/>
      <c r="E10" s="180">
        <v>5.0</v>
      </c>
      <c r="F10" s="1" t="s">
        <v>1192</v>
      </c>
      <c r="G10" s="181" t="s">
        <v>1193</v>
      </c>
      <c r="H10" s="182" t="s">
        <v>1194</v>
      </c>
      <c r="I10" s="183" t="str">
        <f t="shared" si="1"/>
        <v>HomeMade</v>
      </c>
    </row>
    <row r="11">
      <c r="C11" s="184"/>
      <c r="D11" s="185"/>
      <c r="E11" s="186"/>
      <c r="F11" s="187"/>
      <c r="G11" s="188"/>
      <c r="H11" s="185"/>
      <c r="I11" s="188"/>
    </row>
    <row r="12">
      <c r="C12" s="172" t="s">
        <v>1195</v>
      </c>
      <c r="D12" s="173" t="s">
        <v>6</v>
      </c>
      <c r="E12" s="174">
        <v>1.0</v>
      </c>
      <c r="F12" s="175" t="s">
        <v>1196</v>
      </c>
      <c r="G12" s="178"/>
      <c r="H12" s="177" t="s">
        <v>1197</v>
      </c>
      <c r="I12" s="178" t="str">
        <f t="shared" ref="I12:I16" si="2">CLEAN(F12)</f>
        <v>friendship</v>
      </c>
    </row>
    <row r="13">
      <c r="C13" s="179"/>
      <c r="D13" s="179"/>
      <c r="E13" s="180">
        <v>2.0</v>
      </c>
      <c r="F13" s="1" t="s">
        <v>1198</v>
      </c>
      <c r="G13" s="183"/>
      <c r="H13" s="182" t="s">
        <v>1199</v>
      </c>
      <c r="I13" s="183" t="str">
        <f t="shared" si="2"/>
        <v>Backbone</v>
      </c>
    </row>
    <row r="14">
      <c r="C14" s="179"/>
      <c r="D14" s="179"/>
      <c r="E14" s="180">
        <v>3.0</v>
      </c>
      <c r="F14" s="1" t="str">
        <f>"user"&amp; CHAR(13)&amp;"43"</f>
        <v>user
43</v>
      </c>
      <c r="G14" s="183"/>
      <c r="H14" s="182" t="s">
        <v>1200</v>
      </c>
      <c r="I14" s="183" t="str">
        <f t="shared" si="2"/>
        <v>user43</v>
      </c>
    </row>
    <row r="15">
      <c r="C15" s="179"/>
      <c r="D15" s="179"/>
      <c r="E15" s="180">
        <v>4.0</v>
      </c>
      <c r="F15" s="1" t="str">
        <f>"day"&amp;CHAR(10)&amp;"time"</f>
        <v>day
time</v>
      </c>
      <c r="G15" s="183"/>
      <c r="H15" s="182" t="s">
        <v>1201</v>
      </c>
      <c r="I15" s="183" t="str">
        <f t="shared" si="2"/>
        <v>daytime</v>
      </c>
    </row>
    <row r="16">
      <c r="C16" s="179"/>
      <c r="D16" s="179"/>
      <c r="E16" s="180">
        <v>5.0</v>
      </c>
      <c r="F16" s="1" t="s">
        <v>1202</v>
      </c>
      <c r="G16" s="183"/>
      <c r="H16" s="182" t="s">
        <v>1203</v>
      </c>
      <c r="I16" s="183" t="str">
        <f t="shared" si="2"/>
        <v>garden</v>
      </c>
    </row>
    <row r="17">
      <c r="C17" s="185"/>
      <c r="D17" s="185"/>
      <c r="E17" s="186"/>
      <c r="F17" s="187"/>
      <c r="G17" s="188"/>
      <c r="H17" s="185"/>
      <c r="I17" s="188"/>
    </row>
    <row r="18">
      <c r="C18" s="172" t="s">
        <v>1204</v>
      </c>
      <c r="D18" s="173" t="s">
        <v>44</v>
      </c>
      <c r="E18" s="174">
        <v>1.0</v>
      </c>
      <c r="F18" s="175" t="s">
        <v>1205</v>
      </c>
      <c r="G18" s="176" t="s">
        <v>1206</v>
      </c>
      <c r="H18" s="177" t="s">
        <v>1207</v>
      </c>
      <c r="I18" s="178" t="b">
        <f t="shared" ref="I18:I22" si="3">EXACT(F18,G18)</f>
        <v>0</v>
      </c>
    </row>
    <row r="19">
      <c r="C19" s="179"/>
      <c r="D19" s="179"/>
      <c r="E19" s="180">
        <v>2.0</v>
      </c>
      <c r="F19" s="1" t="s">
        <v>1208</v>
      </c>
      <c r="G19" s="181" t="s">
        <v>1209</v>
      </c>
      <c r="H19" s="182" t="s">
        <v>1210</v>
      </c>
      <c r="I19" s="183" t="b">
        <f t="shared" si="3"/>
        <v>0</v>
      </c>
    </row>
    <row r="20">
      <c r="C20" s="179"/>
      <c r="D20" s="179"/>
      <c r="E20" s="180">
        <v>3.0</v>
      </c>
      <c r="F20" s="1" t="s">
        <v>1211</v>
      </c>
      <c r="G20" s="181" t="s">
        <v>1211</v>
      </c>
      <c r="H20" s="182" t="s">
        <v>1212</v>
      </c>
      <c r="I20" s="183" t="b">
        <f t="shared" si="3"/>
        <v>1</v>
      </c>
    </row>
    <row r="21">
      <c r="C21" s="179"/>
      <c r="D21" s="179"/>
      <c r="E21" s="180">
        <v>4.0</v>
      </c>
      <c r="F21" s="1" t="s">
        <v>1213</v>
      </c>
      <c r="G21" s="181" t="s">
        <v>1214</v>
      </c>
      <c r="H21" s="182" t="s">
        <v>1215</v>
      </c>
      <c r="I21" s="183" t="b">
        <f t="shared" si="3"/>
        <v>0</v>
      </c>
    </row>
    <row r="22">
      <c r="C22" s="179"/>
      <c r="D22" s="179"/>
      <c r="E22" s="180">
        <v>5.0</v>
      </c>
      <c r="F22" s="1" t="s">
        <v>1216</v>
      </c>
      <c r="G22" s="181" t="s">
        <v>1216</v>
      </c>
      <c r="H22" s="182" t="s">
        <v>1217</v>
      </c>
      <c r="I22" s="183" t="b">
        <f t="shared" si="3"/>
        <v>1</v>
      </c>
    </row>
    <row r="23">
      <c r="C23" s="185"/>
      <c r="D23" s="185"/>
      <c r="E23" s="186"/>
      <c r="F23" s="187"/>
      <c r="G23" s="188"/>
      <c r="H23" s="185"/>
      <c r="I23" s="188"/>
    </row>
    <row r="24">
      <c r="C24" s="172" t="s">
        <v>1218</v>
      </c>
      <c r="D24" s="173" t="s">
        <v>33</v>
      </c>
      <c r="E24" s="174">
        <v>1.0</v>
      </c>
      <c r="F24" s="175" t="s">
        <v>1186</v>
      </c>
      <c r="G24" s="178"/>
      <c r="H24" s="177" t="s">
        <v>1219</v>
      </c>
      <c r="I24" s="178">
        <f>FIND("t",F24,"4")</f>
        <v>4</v>
      </c>
    </row>
    <row r="25">
      <c r="C25" s="179"/>
      <c r="D25" s="179"/>
      <c r="E25" s="180">
        <v>2.0</v>
      </c>
      <c r="F25" s="1" t="s">
        <v>1220</v>
      </c>
      <c r="G25" s="183"/>
      <c r="H25" s="182" t="s">
        <v>1221</v>
      </c>
      <c r="I25" s="183">
        <f>FIND("o",F25,"1")</f>
        <v>2</v>
      </c>
    </row>
    <row r="26">
      <c r="C26" s="179"/>
      <c r="D26" s="179"/>
      <c r="E26" s="180">
        <v>3.0</v>
      </c>
      <c r="F26" s="1" t="s">
        <v>1222</v>
      </c>
      <c r="G26" s="183"/>
      <c r="H26" s="182" t="s">
        <v>1223</v>
      </c>
      <c r="I26" s="183">
        <f>FIND("o",F26,"2")</f>
        <v>3</v>
      </c>
    </row>
    <row r="27">
      <c r="C27" s="179"/>
      <c r="D27" s="179"/>
      <c r="E27" s="180">
        <v>4.0</v>
      </c>
      <c r="F27" s="1" t="s">
        <v>1224</v>
      </c>
      <c r="G27" s="183"/>
      <c r="H27" s="182" t="s">
        <v>1225</v>
      </c>
      <c r="I27" s="183">
        <f>FIND("m",F27,"1")</f>
        <v>1</v>
      </c>
    </row>
    <row r="28">
      <c r="C28" s="179"/>
      <c r="D28" s="179"/>
      <c r="E28" s="180">
        <v>5.0</v>
      </c>
      <c r="F28" s="1" t="s">
        <v>1226</v>
      </c>
      <c r="G28" s="183"/>
      <c r="H28" s="182" t="s">
        <v>1227</v>
      </c>
      <c r="I28" s="183">
        <f>FIND("o",F28,"2")</f>
        <v>2</v>
      </c>
    </row>
    <row r="29">
      <c r="C29" s="185"/>
      <c r="D29" s="185"/>
      <c r="E29" s="186"/>
      <c r="F29" s="187"/>
      <c r="G29" s="188"/>
      <c r="H29" s="185"/>
      <c r="I29" s="188"/>
    </row>
    <row r="30">
      <c r="C30" s="189" t="s">
        <v>1228</v>
      </c>
      <c r="D30" s="190" t="s">
        <v>57</v>
      </c>
      <c r="E30" s="180">
        <v>1.0</v>
      </c>
      <c r="F30" s="1" t="s">
        <v>1120</v>
      </c>
      <c r="G30" s="183"/>
      <c r="H30" s="182" t="s">
        <v>1229</v>
      </c>
      <c r="I30" s="183" t="str">
        <f>LEFT(F30,3)</f>
        <v>nag</v>
      </c>
    </row>
    <row r="31">
      <c r="C31" s="179"/>
      <c r="D31" s="179"/>
      <c r="E31" s="180">
        <v>2.0</v>
      </c>
      <c r="F31" s="1" t="s">
        <v>220</v>
      </c>
      <c r="G31" s="183"/>
      <c r="H31" s="182" t="s">
        <v>1230</v>
      </c>
      <c r="I31" s="183" t="str">
        <f>LEFT(F31,2)</f>
        <v>pu</v>
      </c>
    </row>
    <row r="32">
      <c r="C32" s="179"/>
      <c r="D32" s="179"/>
      <c r="E32" s="180">
        <v>3.0</v>
      </c>
      <c r="F32" s="1" t="s">
        <v>905</v>
      </c>
      <c r="G32" s="183"/>
      <c r="H32" s="182" t="s">
        <v>1231</v>
      </c>
      <c r="I32" s="183" t="str">
        <f>LEFT(F32,5)</f>
        <v>mumba</v>
      </c>
    </row>
    <row r="33">
      <c r="C33" s="179"/>
      <c r="D33" s="179"/>
      <c r="E33" s="180">
        <v>4.0</v>
      </c>
      <c r="F33" s="1" t="s">
        <v>1232</v>
      </c>
      <c r="G33" s="183"/>
      <c r="H33" s="182" t="s">
        <v>1233</v>
      </c>
      <c r="I33" s="183" t="str">
        <f>LEFT(F33,4)</f>
        <v>nash</v>
      </c>
    </row>
    <row r="34">
      <c r="C34" s="179"/>
      <c r="D34" s="179"/>
      <c r="E34" s="180">
        <v>5.0</v>
      </c>
      <c r="F34" s="1" t="s">
        <v>1234</v>
      </c>
      <c r="G34" s="183"/>
      <c r="H34" s="182" t="s">
        <v>1235</v>
      </c>
      <c r="I34" s="183" t="str">
        <f>LEFT(F34,1)</f>
        <v>a</v>
      </c>
    </row>
    <row r="35">
      <c r="C35" s="179"/>
      <c r="D35" s="179"/>
      <c r="E35" s="191"/>
      <c r="G35" s="183"/>
      <c r="H35" s="179"/>
      <c r="I35" s="183"/>
    </row>
    <row r="36">
      <c r="C36" s="172" t="s">
        <v>1236</v>
      </c>
      <c r="D36" s="173" t="s">
        <v>123</v>
      </c>
      <c r="E36" s="174">
        <v>1.0</v>
      </c>
      <c r="F36" s="175" t="s">
        <v>1237</v>
      </c>
      <c r="G36" s="178"/>
      <c r="H36" s="177" t="s">
        <v>1238</v>
      </c>
      <c r="I36" s="178" t="str">
        <f>RIGHT(F36,5)</f>
        <v>ender</v>
      </c>
    </row>
    <row r="37">
      <c r="C37" s="179"/>
      <c r="D37" s="179"/>
      <c r="E37" s="180">
        <v>2.0</v>
      </c>
      <c r="F37" s="1" t="s">
        <v>1239</v>
      </c>
      <c r="G37" s="183"/>
      <c r="H37" s="182" t="s">
        <v>1240</v>
      </c>
      <c r="I37" s="183" t="str">
        <f>RIGHT(F37,2)</f>
        <v>it</v>
      </c>
    </row>
    <row r="38">
      <c r="C38" s="179"/>
      <c r="D38" s="179"/>
      <c r="E38" s="180">
        <v>3.0</v>
      </c>
      <c r="F38" s="1" t="s">
        <v>1241</v>
      </c>
      <c r="G38" s="183"/>
      <c r="H38" s="182" t="s">
        <v>1242</v>
      </c>
      <c r="I38" s="183" t="str">
        <f>RIGHT(F38,3)</f>
        <v>wer</v>
      </c>
    </row>
    <row r="39">
      <c r="C39" s="179"/>
      <c r="D39" s="179"/>
      <c r="E39" s="180">
        <v>4.0</v>
      </c>
      <c r="F39" s="1" t="s">
        <v>1243</v>
      </c>
      <c r="G39" s="183"/>
      <c r="H39" s="182" t="s">
        <v>1244</v>
      </c>
      <c r="I39" s="183" t="str">
        <f>RIGHT(F39,4)</f>
        <v>quet</v>
      </c>
    </row>
    <row r="40">
      <c r="C40" s="179"/>
      <c r="D40" s="179"/>
      <c r="E40" s="180">
        <v>5.0</v>
      </c>
      <c r="F40" s="1" t="s">
        <v>1245</v>
      </c>
      <c r="G40" s="183"/>
      <c r="H40" s="182" t="s">
        <v>1246</v>
      </c>
      <c r="I40" s="183" t="str">
        <f>RIGHT(F40,3)</f>
        <v>day</v>
      </c>
    </row>
    <row r="41">
      <c r="C41" s="185"/>
      <c r="D41" s="185"/>
      <c r="E41" s="186"/>
      <c r="F41" s="187"/>
      <c r="G41" s="188"/>
      <c r="H41" s="185"/>
      <c r="I41" s="188"/>
    </row>
    <row r="42">
      <c r="C42" s="189" t="s">
        <v>1247</v>
      </c>
      <c r="D42" s="190" t="s">
        <v>90</v>
      </c>
      <c r="E42" s="180">
        <v>1.0</v>
      </c>
      <c r="F42" s="1" t="s">
        <v>1248</v>
      </c>
      <c r="G42" s="183"/>
      <c r="H42" s="182" t="s">
        <v>1249</v>
      </c>
      <c r="I42" s="183" t="str">
        <f>MID(F42,2,3)</f>
        <v>lie</v>
      </c>
    </row>
    <row r="43">
      <c r="C43" s="179"/>
      <c r="D43" s="179"/>
      <c r="E43" s="180">
        <v>2.0</v>
      </c>
      <c r="F43" s="1" t="s">
        <v>1250</v>
      </c>
      <c r="G43" s="183"/>
      <c r="H43" s="182" t="s">
        <v>1251</v>
      </c>
      <c r="I43" s="183" t="str">
        <f>MID(F43,2,2)</f>
        <v>is</v>
      </c>
    </row>
    <row r="44">
      <c r="C44" s="179"/>
      <c r="D44" s="179"/>
      <c r="E44" s="180">
        <v>3.0</v>
      </c>
      <c r="F44" s="1" t="s">
        <v>1252</v>
      </c>
      <c r="G44" s="183"/>
      <c r="H44" s="182" t="s">
        <v>1253</v>
      </c>
      <c r="I44" s="183" t="str">
        <f>MID(F44,2,3)</f>
        <v>lot</v>
      </c>
    </row>
    <row r="45">
      <c r="C45" s="179"/>
      <c r="D45" s="179"/>
      <c r="E45" s="180">
        <v>4.0</v>
      </c>
      <c r="F45" s="1" t="s">
        <v>1254</v>
      </c>
      <c r="G45" s="183"/>
      <c r="H45" s="182" t="s">
        <v>1255</v>
      </c>
      <c r="I45" s="183" t="str">
        <f>MID(F45,6,3)</f>
        <v>rat</v>
      </c>
    </row>
    <row r="46">
      <c r="C46" s="179"/>
      <c r="D46" s="179"/>
      <c r="E46" s="180">
        <v>5.0</v>
      </c>
      <c r="F46" s="1" t="s">
        <v>1256</v>
      </c>
      <c r="G46" s="183"/>
      <c r="H46" s="182" t="s">
        <v>1257</v>
      </c>
      <c r="I46" s="183" t="str">
        <f>MID(F46,2,4)</f>
        <v>loud</v>
      </c>
    </row>
    <row r="47">
      <c r="C47" s="179"/>
      <c r="D47" s="179"/>
      <c r="E47" s="191"/>
      <c r="G47" s="183"/>
      <c r="H47" s="179"/>
      <c r="I47" s="183"/>
    </row>
    <row r="48">
      <c r="C48" s="172" t="s">
        <v>1258</v>
      </c>
      <c r="D48" s="173" t="s">
        <v>112</v>
      </c>
      <c r="E48" s="174">
        <v>1.0</v>
      </c>
      <c r="F48" s="175" t="s">
        <v>1259</v>
      </c>
      <c r="G48" s="178"/>
      <c r="H48" s="177" t="s">
        <v>1260</v>
      </c>
      <c r="I48" s="178" t="str">
        <f>REPLACE(F48,1,4,"high")</f>
        <v>highway</v>
      </c>
    </row>
    <row r="49">
      <c r="C49" s="179"/>
      <c r="D49" s="179"/>
      <c r="E49" s="180">
        <v>2.0</v>
      </c>
      <c r="F49" s="1" t="s">
        <v>1261</v>
      </c>
      <c r="G49" s="183"/>
      <c r="H49" s="182" t="s">
        <v>1262</v>
      </c>
      <c r="I49" s="183" t="str">
        <f>REPLACE(F49,1,3,"febr")</f>
        <v>february</v>
      </c>
    </row>
    <row r="50">
      <c r="C50" s="179"/>
      <c r="D50" s="179"/>
      <c r="E50" s="180">
        <v>3.0</v>
      </c>
      <c r="F50" s="1" t="s">
        <v>1263</v>
      </c>
      <c r="G50" s="183"/>
      <c r="H50" s="182" t="s">
        <v>1264</v>
      </c>
      <c r="I50" s="183" t="str">
        <f>REPLACE(F50,3,5,"ace")</f>
        <v>space</v>
      </c>
    </row>
    <row r="51">
      <c r="C51" s="179"/>
      <c r="D51" s="179"/>
      <c r="E51" s="180">
        <v>4.0</v>
      </c>
      <c r="F51" s="1" t="s">
        <v>1265</v>
      </c>
      <c r="G51" s="183"/>
      <c r="H51" s="182" t="s">
        <v>1266</v>
      </c>
      <c r="I51" s="183" t="str">
        <f>REPLACE(F51,1,5,"self")</f>
        <v>selfstudy</v>
      </c>
    </row>
    <row r="52">
      <c r="C52" s="179"/>
      <c r="D52" s="179"/>
      <c r="E52" s="180">
        <v>5.0</v>
      </c>
      <c r="F52" s="1" t="s">
        <v>1267</v>
      </c>
      <c r="G52" s="183"/>
      <c r="H52" s="182" t="s">
        <v>1268</v>
      </c>
      <c r="I52" s="183" t="str">
        <f>REPLACE(F52,1,1,"b")</f>
        <v>bell</v>
      </c>
    </row>
    <row r="53">
      <c r="C53" s="185"/>
      <c r="D53" s="185"/>
      <c r="E53" s="186"/>
      <c r="F53" s="187"/>
      <c r="G53" s="188"/>
      <c r="H53" s="185"/>
      <c r="I53" s="188"/>
    </row>
    <row r="54">
      <c r="C54" s="189" t="s">
        <v>1269</v>
      </c>
      <c r="D54" s="190" t="s">
        <v>79</v>
      </c>
      <c r="E54" s="180">
        <v>1.0</v>
      </c>
      <c r="F54" s="1" t="s">
        <v>1270</v>
      </c>
      <c r="G54" s="183"/>
      <c r="H54" s="182" t="s">
        <v>1271</v>
      </c>
      <c r="I54" s="183" t="str">
        <f t="shared" ref="I54:I58" si="4">LOWER(F54)</f>
        <v>computer</v>
      </c>
    </row>
    <row r="55">
      <c r="C55" s="179"/>
      <c r="D55" s="179"/>
      <c r="E55" s="180">
        <v>2.0</v>
      </c>
      <c r="F55" s="1" t="s">
        <v>1272</v>
      </c>
      <c r="G55" s="183"/>
      <c r="H55" s="182" t="s">
        <v>1273</v>
      </c>
      <c r="I55" s="183" t="str">
        <f t="shared" si="4"/>
        <v>chips</v>
      </c>
    </row>
    <row r="56">
      <c r="C56" s="179"/>
      <c r="D56" s="179"/>
      <c r="E56" s="180">
        <v>3.0</v>
      </c>
      <c r="F56" s="1" t="s">
        <v>1274</v>
      </c>
      <c r="G56" s="183"/>
      <c r="H56" s="182" t="s">
        <v>1275</v>
      </c>
      <c r="I56" s="183" t="str">
        <f t="shared" si="4"/>
        <v>phone</v>
      </c>
    </row>
    <row r="57">
      <c r="C57" s="179"/>
      <c r="D57" s="179"/>
      <c r="E57" s="180">
        <v>4.0</v>
      </c>
      <c r="F57" s="1" t="s">
        <v>1276</v>
      </c>
      <c r="G57" s="183"/>
      <c r="H57" s="182" t="s">
        <v>1277</v>
      </c>
      <c r="I57" s="183" t="str">
        <f t="shared" si="4"/>
        <v>building</v>
      </c>
    </row>
    <row r="58">
      <c r="C58" s="179"/>
      <c r="D58" s="179"/>
      <c r="E58" s="180">
        <v>5.0</v>
      </c>
      <c r="F58" s="1" t="s">
        <v>1278</v>
      </c>
      <c r="G58" s="183"/>
      <c r="H58" s="182" t="s">
        <v>1279</v>
      </c>
      <c r="I58" s="183" t="str">
        <f t="shared" si="4"/>
        <v>machine</v>
      </c>
    </row>
    <row r="59">
      <c r="C59" s="179"/>
      <c r="D59" s="179"/>
      <c r="E59" s="191"/>
      <c r="G59" s="183"/>
      <c r="H59" s="179"/>
      <c r="I59" s="183"/>
    </row>
    <row r="60">
      <c r="C60" s="172" t="s">
        <v>1280</v>
      </c>
      <c r="D60" s="173" t="s">
        <v>134</v>
      </c>
      <c r="E60" s="174">
        <v>1.0</v>
      </c>
      <c r="F60" s="175" t="s">
        <v>1281</v>
      </c>
      <c r="G60" s="178"/>
      <c r="H60" s="177" t="s">
        <v>225</v>
      </c>
      <c r="I60" s="178" t="str">
        <f t="shared" ref="I60:I64" si="5">UPPER(F60)</f>
        <v>EAGLE</v>
      </c>
    </row>
    <row r="61">
      <c r="C61" s="179"/>
      <c r="D61" s="179"/>
      <c r="E61" s="180">
        <v>2.0</v>
      </c>
      <c r="F61" s="1" t="s">
        <v>1282</v>
      </c>
      <c r="G61" s="183"/>
      <c r="H61" s="182" t="s">
        <v>227</v>
      </c>
      <c r="I61" s="183" t="str">
        <f t="shared" si="5"/>
        <v>TREE</v>
      </c>
    </row>
    <row r="62">
      <c r="C62" s="179"/>
      <c r="D62" s="179"/>
      <c r="E62" s="180">
        <v>3.0</v>
      </c>
      <c r="F62" s="1" t="s">
        <v>1283</v>
      </c>
      <c r="G62" s="183"/>
      <c r="H62" s="182" t="s">
        <v>1284</v>
      </c>
      <c r="I62" s="183" t="str">
        <f t="shared" si="5"/>
        <v>SPARROW</v>
      </c>
    </row>
    <row r="63">
      <c r="C63" s="179"/>
      <c r="D63" s="179"/>
      <c r="E63" s="180">
        <v>4.0</v>
      </c>
      <c r="F63" s="1" t="s">
        <v>1285</v>
      </c>
      <c r="G63" s="183"/>
      <c r="H63" s="182" t="s">
        <v>1286</v>
      </c>
      <c r="I63" s="183" t="str">
        <f t="shared" si="5"/>
        <v>WATER</v>
      </c>
    </row>
    <row r="64">
      <c r="C64" s="179"/>
      <c r="D64" s="179"/>
      <c r="E64" s="180">
        <v>5.0</v>
      </c>
      <c r="F64" s="1" t="s">
        <v>1287</v>
      </c>
      <c r="G64" s="183"/>
      <c r="H64" s="182" t="s">
        <v>1288</v>
      </c>
      <c r="I64" s="183" t="str">
        <f t="shared" si="5"/>
        <v>CAT</v>
      </c>
    </row>
    <row r="65">
      <c r="C65" s="185"/>
      <c r="D65" s="185"/>
      <c r="E65" s="186"/>
      <c r="F65" s="187"/>
      <c r="G65" s="188"/>
      <c r="H65" s="185"/>
      <c r="I65" s="188"/>
    </row>
    <row r="66">
      <c r="C66" s="189" t="s">
        <v>1289</v>
      </c>
      <c r="D66" s="190" t="s">
        <v>68</v>
      </c>
      <c r="E66" s="180">
        <v>1.0</v>
      </c>
      <c r="F66" s="1" t="s">
        <v>1290</v>
      </c>
      <c r="G66" s="183"/>
      <c r="H66" s="182" t="s">
        <v>1291</v>
      </c>
      <c r="I66" s="183">
        <f t="shared" ref="I66:I70" si="6">LEN(F66)</f>
        <v>6</v>
      </c>
    </row>
    <row r="67">
      <c r="C67" s="179"/>
      <c r="D67" s="179"/>
      <c r="E67" s="180">
        <v>2.0</v>
      </c>
      <c r="F67" s="1" t="s">
        <v>1292</v>
      </c>
      <c r="G67" s="183"/>
      <c r="H67" s="182" t="s">
        <v>1293</v>
      </c>
      <c r="I67" s="183">
        <f t="shared" si="6"/>
        <v>5</v>
      </c>
    </row>
    <row r="68">
      <c r="C68" s="179"/>
      <c r="D68" s="179"/>
      <c r="E68" s="180">
        <v>3.0</v>
      </c>
      <c r="F68" s="1" t="s">
        <v>1294</v>
      </c>
      <c r="G68" s="183"/>
      <c r="H68" s="182" t="s">
        <v>1295</v>
      </c>
      <c r="I68" s="183">
        <f t="shared" si="6"/>
        <v>3</v>
      </c>
    </row>
    <row r="69">
      <c r="C69" s="179"/>
      <c r="D69" s="179"/>
      <c r="E69" s="180">
        <v>4.0</v>
      </c>
      <c r="F69" s="1" t="s">
        <v>1296</v>
      </c>
      <c r="G69" s="183"/>
      <c r="H69" s="182" t="s">
        <v>1297</v>
      </c>
      <c r="I69" s="183">
        <f t="shared" si="6"/>
        <v>9</v>
      </c>
    </row>
    <row r="70">
      <c r="C70" s="179"/>
      <c r="D70" s="179"/>
      <c r="E70" s="180">
        <v>5.0</v>
      </c>
      <c r="F70" s="1" t="s">
        <v>1298</v>
      </c>
      <c r="G70" s="183"/>
      <c r="H70" s="182" t="s">
        <v>1299</v>
      </c>
      <c r="I70" s="183">
        <f t="shared" si="6"/>
        <v>8</v>
      </c>
    </row>
    <row r="71">
      <c r="C71" s="179"/>
      <c r="D71" s="179"/>
      <c r="E71" s="191"/>
      <c r="G71" s="183"/>
      <c r="H71" s="179"/>
      <c r="I71" s="183"/>
    </row>
    <row r="72">
      <c r="C72" s="172" t="s">
        <v>1300</v>
      </c>
      <c r="D72" s="173" t="s">
        <v>101</v>
      </c>
      <c r="E72" s="174">
        <v>1.0</v>
      </c>
      <c r="F72" s="175" t="s">
        <v>1301</v>
      </c>
      <c r="G72" s="178"/>
      <c r="H72" s="177" t="s">
        <v>1302</v>
      </c>
      <c r="I72" s="178" t="str">
        <f t="shared" ref="I72:I76" si="7">PROPER(F72)</f>
        <v>Singing</v>
      </c>
    </row>
    <row r="73">
      <c r="C73" s="179"/>
      <c r="D73" s="179"/>
      <c r="E73" s="180">
        <v>2.0</v>
      </c>
      <c r="F73" s="1" t="s">
        <v>1303</v>
      </c>
      <c r="G73" s="183"/>
      <c r="H73" s="182" t="s">
        <v>1304</v>
      </c>
      <c r="I73" s="183" t="str">
        <f t="shared" si="7"/>
        <v>Time Table</v>
      </c>
    </row>
    <row r="74">
      <c r="C74" s="179"/>
      <c r="D74" s="179"/>
      <c r="E74" s="180">
        <v>3.0</v>
      </c>
      <c r="F74" s="1" t="s">
        <v>1305</v>
      </c>
      <c r="G74" s="183"/>
      <c r="H74" s="182" t="s">
        <v>1306</v>
      </c>
      <c r="I74" s="183" t="str">
        <f t="shared" si="7"/>
        <v>Danceing</v>
      </c>
    </row>
    <row r="75">
      <c r="C75" s="179"/>
      <c r="D75" s="179"/>
      <c r="E75" s="180">
        <v>4.0</v>
      </c>
      <c r="F75" s="1" t="s">
        <v>1307</v>
      </c>
      <c r="G75" s="183"/>
      <c r="H75" s="182" t="s">
        <v>1308</v>
      </c>
      <c r="I75" s="183" t="str">
        <f t="shared" si="7"/>
        <v>Eyes</v>
      </c>
    </row>
    <row r="76">
      <c r="C76" s="185"/>
      <c r="D76" s="185"/>
      <c r="E76" s="192">
        <v>5.0</v>
      </c>
      <c r="F76" s="193" t="s">
        <v>1309</v>
      </c>
      <c r="G76" s="188"/>
      <c r="H76" s="194" t="s">
        <v>1310</v>
      </c>
      <c r="I76" s="188" t="str">
        <f t="shared" si="7"/>
        <v>Dream</v>
      </c>
    </row>
  </sheetData>
  <hyperlinks>
    <hyperlink r:id="rId1" ref="C5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1.38"/>
    <col customWidth="1" min="10" max="10" width="17.5"/>
  </cols>
  <sheetData>
    <row r="1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  <c r="GC1" s="65"/>
      <c r="GD1" s="65"/>
      <c r="GE1" s="65"/>
      <c r="GF1" s="65"/>
      <c r="GG1" s="65"/>
      <c r="GH1" s="65"/>
      <c r="GI1" s="65"/>
      <c r="GJ1" s="65"/>
      <c r="GK1" s="65"/>
      <c r="GL1" s="65"/>
      <c r="GM1" s="65"/>
      <c r="GN1" s="65"/>
      <c r="GO1" s="65"/>
      <c r="GP1" s="65"/>
      <c r="GQ1" s="65"/>
      <c r="GR1" s="65"/>
      <c r="GS1" s="65"/>
      <c r="GT1" s="65"/>
      <c r="GU1" s="65"/>
      <c r="GV1" s="65"/>
      <c r="GW1" s="65"/>
      <c r="GX1" s="65"/>
      <c r="GY1" s="65"/>
      <c r="GZ1" s="65"/>
      <c r="HA1" s="65"/>
      <c r="HB1" s="65"/>
      <c r="HC1" s="65"/>
      <c r="HD1" s="65"/>
      <c r="HE1" s="65"/>
      <c r="HF1" s="65"/>
      <c r="HG1" s="65"/>
      <c r="HH1" s="65"/>
      <c r="HI1" s="65"/>
      <c r="HJ1" s="65"/>
      <c r="HK1" s="65"/>
      <c r="HL1" s="65"/>
      <c r="HM1" s="65"/>
      <c r="HN1" s="65"/>
      <c r="HO1" s="65"/>
      <c r="HP1" s="65"/>
      <c r="HQ1" s="65"/>
      <c r="HR1" s="65"/>
      <c r="HS1" s="65"/>
      <c r="HT1" s="65"/>
      <c r="HU1" s="65"/>
      <c r="HV1" s="65"/>
      <c r="HW1" s="65"/>
      <c r="HX1" s="65"/>
      <c r="HY1" s="65"/>
      <c r="HZ1" s="65"/>
      <c r="IA1" s="65"/>
      <c r="IB1" s="65"/>
      <c r="IC1" s="65"/>
      <c r="ID1" s="65"/>
      <c r="IE1" s="65"/>
      <c r="IF1" s="65"/>
      <c r="IG1" s="65"/>
      <c r="IH1" s="65"/>
      <c r="II1" s="65"/>
      <c r="IJ1" s="65"/>
      <c r="IK1" s="65"/>
      <c r="IL1" s="65"/>
      <c r="IM1" s="65"/>
      <c r="IN1" s="65"/>
      <c r="IO1" s="65"/>
      <c r="IP1" s="65"/>
      <c r="IQ1" s="65"/>
      <c r="IR1" s="65"/>
      <c r="IS1" s="65"/>
      <c r="IT1" s="65"/>
      <c r="IU1" s="65"/>
      <c r="IV1" s="65"/>
      <c r="IW1" s="65"/>
      <c r="IX1" s="65"/>
      <c r="IY1" s="65"/>
      <c r="IZ1" s="65"/>
      <c r="JA1" s="65"/>
      <c r="JB1" s="65"/>
      <c r="JC1" s="65"/>
      <c r="JD1" s="65"/>
      <c r="JE1" s="65"/>
      <c r="JF1" s="65"/>
      <c r="JG1" s="65"/>
      <c r="JH1" s="65"/>
      <c r="JI1" s="65"/>
      <c r="JJ1" s="65"/>
      <c r="JK1" s="65"/>
      <c r="JL1" s="65"/>
      <c r="JM1" s="65"/>
      <c r="JN1" s="65"/>
      <c r="JO1" s="65"/>
      <c r="JP1" s="65"/>
      <c r="JQ1" s="65"/>
      <c r="JR1" s="65"/>
      <c r="JS1" s="65"/>
      <c r="JT1" s="65"/>
      <c r="JU1" s="65"/>
      <c r="JV1" s="65"/>
      <c r="JW1" s="65"/>
      <c r="JX1" s="65"/>
      <c r="JY1" s="65"/>
      <c r="JZ1" s="65"/>
      <c r="KA1" s="65"/>
      <c r="KB1" s="65"/>
      <c r="KC1" s="65"/>
      <c r="KD1" s="65"/>
      <c r="KE1" s="65"/>
      <c r="KF1" s="65"/>
      <c r="KG1" s="65"/>
      <c r="KH1" s="65"/>
      <c r="KI1" s="65"/>
      <c r="KJ1" s="65"/>
      <c r="KK1" s="65"/>
      <c r="KL1" s="65"/>
      <c r="KM1" s="65"/>
      <c r="KN1" s="65"/>
      <c r="KO1" s="65"/>
      <c r="KP1" s="65"/>
      <c r="KQ1" s="65"/>
      <c r="KR1" s="65"/>
      <c r="KS1" s="65"/>
      <c r="KT1" s="65"/>
      <c r="KU1" s="65"/>
      <c r="KV1" s="65"/>
      <c r="KW1" s="65"/>
      <c r="KX1" s="65"/>
      <c r="KY1" s="65"/>
      <c r="KZ1" s="65"/>
      <c r="LA1" s="65"/>
      <c r="LB1" s="65"/>
      <c r="LC1" s="65"/>
      <c r="LD1" s="65"/>
      <c r="LE1" s="65"/>
      <c r="LF1" s="65"/>
      <c r="LG1" s="65"/>
      <c r="LH1" s="65"/>
      <c r="LI1" s="65"/>
      <c r="LJ1" s="65"/>
      <c r="LK1" s="65"/>
      <c r="LL1" s="65"/>
      <c r="LM1" s="65"/>
      <c r="LN1" s="65"/>
      <c r="LO1" s="65"/>
      <c r="LP1" s="65"/>
      <c r="LQ1" s="65"/>
      <c r="LR1" s="65"/>
      <c r="LS1" s="65"/>
      <c r="LT1" s="65"/>
      <c r="LU1" s="65"/>
      <c r="LV1" s="65"/>
      <c r="LW1" s="65"/>
      <c r="LX1" s="65"/>
      <c r="LY1" s="65"/>
      <c r="LZ1" s="65"/>
      <c r="MA1" s="65"/>
      <c r="MB1" s="65"/>
      <c r="MC1" s="65"/>
      <c r="MD1" s="65"/>
      <c r="ME1" s="65"/>
      <c r="MF1" s="65"/>
      <c r="MG1" s="65"/>
      <c r="MH1" s="65"/>
      <c r="MI1" s="65"/>
      <c r="MJ1" s="65"/>
      <c r="MK1" s="65"/>
      <c r="ML1" s="65"/>
      <c r="MM1" s="65"/>
      <c r="MN1" s="65"/>
      <c r="MO1" s="65"/>
      <c r="MP1" s="65"/>
      <c r="MQ1" s="65"/>
      <c r="MR1" s="65"/>
      <c r="MS1" s="65"/>
      <c r="MT1" s="65"/>
      <c r="MU1" s="65"/>
      <c r="MV1" s="65"/>
      <c r="MW1" s="65"/>
      <c r="MX1" s="65"/>
      <c r="MY1" s="65"/>
      <c r="MZ1" s="65"/>
      <c r="NA1" s="65"/>
      <c r="NB1" s="65"/>
      <c r="NC1" s="65"/>
      <c r="ND1" s="65"/>
      <c r="NE1" s="65"/>
      <c r="NF1" s="65"/>
      <c r="NG1" s="65"/>
    </row>
    <row r="2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  <c r="GH2" s="65"/>
      <c r="GI2" s="65"/>
      <c r="GJ2" s="65"/>
      <c r="GK2" s="65"/>
      <c r="GL2" s="65"/>
      <c r="GM2" s="65"/>
      <c r="GN2" s="65"/>
      <c r="GO2" s="65"/>
      <c r="GP2" s="65"/>
      <c r="GQ2" s="65"/>
      <c r="GR2" s="65"/>
      <c r="GS2" s="65"/>
      <c r="GT2" s="65"/>
      <c r="GU2" s="65"/>
      <c r="GV2" s="65"/>
      <c r="GW2" s="65"/>
      <c r="GX2" s="65"/>
      <c r="GY2" s="65"/>
      <c r="GZ2" s="65"/>
      <c r="HA2" s="65"/>
      <c r="HB2" s="65"/>
      <c r="HC2" s="65"/>
      <c r="HD2" s="65"/>
      <c r="HE2" s="65"/>
      <c r="HF2" s="65"/>
      <c r="HG2" s="65"/>
      <c r="HH2" s="65"/>
      <c r="HI2" s="65"/>
      <c r="HJ2" s="65"/>
      <c r="HK2" s="65"/>
      <c r="HL2" s="65"/>
      <c r="HM2" s="65"/>
      <c r="HN2" s="65"/>
      <c r="HO2" s="65"/>
      <c r="HP2" s="65"/>
      <c r="HQ2" s="65"/>
      <c r="HR2" s="65"/>
      <c r="HS2" s="65"/>
      <c r="HT2" s="65"/>
      <c r="HU2" s="65"/>
      <c r="HV2" s="65"/>
      <c r="HW2" s="65"/>
      <c r="HX2" s="65"/>
      <c r="HY2" s="65"/>
      <c r="HZ2" s="65"/>
      <c r="IA2" s="65"/>
      <c r="IB2" s="65"/>
      <c r="IC2" s="65"/>
      <c r="ID2" s="65"/>
      <c r="IE2" s="65"/>
      <c r="IF2" s="65"/>
      <c r="IG2" s="65"/>
      <c r="IH2" s="65"/>
      <c r="II2" s="65"/>
      <c r="IJ2" s="65"/>
      <c r="IK2" s="65"/>
      <c r="IL2" s="65"/>
      <c r="IM2" s="65"/>
      <c r="IN2" s="65"/>
      <c r="IO2" s="65"/>
      <c r="IP2" s="65"/>
      <c r="IQ2" s="65"/>
      <c r="IR2" s="65"/>
      <c r="IS2" s="65"/>
      <c r="IT2" s="65"/>
      <c r="IU2" s="65"/>
      <c r="IV2" s="65"/>
      <c r="IW2" s="65"/>
      <c r="IX2" s="65"/>
      <c r="IY2" s="65"/>
      <c r="IZ2" s="65"/>
      <c r="JA2" s="65"/>
      <c r="JB2" s="65"/>
      <c r="JC2" s="65"/>
      <c r="JD2" s="65"/>
      <c r="JE2" s="65"/>
      <c r="JF2" s="65"/>
      <c r="JG2" s="65"/>
      <c r="JH2" s="65"/>
      <c r="JI2" s="65"/>
      <c r="JJ2" s="65"/>
      <c r="JK2" s="65"/>
      <c r="JL2" s="65"/>
      <c r="JM2" s="65"/>
      <c r="JN2" s="65"/>
      <c r="JO2" s="65"/>
      <c r="JP2" s="65"/>
      <c r="JQ2" s="65"/>
      <c r="JR2" s="65"/>
      <c r="JS2" s="65"/>
      <c r="JT2" s="65"/>
      <c r="JU2" s="65"/>
      <c r="JV2" s="65"/>
      <c r="JW2" s="65"/>
      <c r="JX2" s="65"/>
      <c r="JY2" s="65"/>
      <c r="JZ2" s="65"/>
      <c r="KA2" s="65"/>
      <c r="KB2" s="65"/>
      <c r="KC2" s="65"/>
      <c r="KD2" s="65"/>
      <c r="KE2" s="65"/>
      <c r="KF2" s="65"/>
      <c r="KG2" s="65"/>
      <c r="KH2" s="65"/>
      <c r="KI2" s="65"/>
      <c r="KJ2" s="65"/>
      <c r="KK2" s="65"/>
      <c r="KL2" s="65"/>
      <c r="KM2" s="65"/>
      <c r="KN2" s="65"/>
      <c r="KO2" s="65"/>
      <c r="KP2" s="65"/>
      <c r="KQ2" s="65"/>
      <c r="KR2" s="65"/>
      <c r="KS2" s="65"/>
      <c r="KT2" s="65"/>
      <c r="KU2" s="65"/>
      <c r="KV2" s="65"/>
      <c r="KW2" s="65"/>
      <c r="KX2" s="65"/>
      <c r="KY2" s="65"/>
      <c r="KZ2" s="65"/>
      <c r="LA2" s="65"/>
      <c r="LB2" s="65"/>
      <c r="LC2" s="65"/>
      <c r="LD2" s="65"/>
      <c r="LE2" s="65"/>
      <c r="LF2" s="65"/>
      <c r="LG2" s="65"/>
      <c r="LH2" s="65"/>
      <c r="LI2" s="65"/>
      <c r="LJ2" s="65"/>
      <c r="LK2" s="65"/>
      <c r="LL2" s="65"/>
      <c r="LM2" s="65"/>
      <c r="LN2" s="65"/>
      <c r="LO2" s="65"/>
      <c r="LP2" s="65"/>
      <c r="LQ2" s="65"/>
      <c r="LR2" s="65"/>
      <c r="LS2" s="65"/>
      <c r="LT2" s="65"/>
      <c r="LU2" s="65"/>
      <c r="LV2" s="65"/>
      <c r="LW2" s="65"/>
      <c r="LX2" s="65"/>
      <c r="LY2" s="65"/>
      <c r="LZ2" s="65"/>
      <c r="MA2" s="65"/>
      <c r="MB2" s="65"/>
      <c r="MC2" s="65"/>
      <c r="MD2" s="65"/>
      <c r="ME2" s="65"/>
      <c r="MF2" s="65"/>
      <c r="MG2" s="65"/>
      <c r="MH2" s="65"/>
      <c r="MI2" s="65"/>
      <c r="MJ2" s="65"/>
      <c r="MK2" s="65"/>
      <c r="ML2" s="65"/>
      <c r="MM2" s="65"/>
      <c r="MN2" s="65"/>
      <c r="MO2" s="65"/>
      <c r="MP2" s="65"/>
      <c r="MQ2" s="65"/>
      <c r="MR2" s="65"/>
      <c r="MS2" s="65"/>
      <c r="MT2" s="65"/>
      <c r="MU2" s="65"/>
      <c r="MV2" s="65"/>
      <c r="MW2" s="65"/>
      <c r="MX2" s="65"/>
      <c r="MY2" s="65"/>
      <c r="MZ2" s="65"/>
      <c r="NA2" s="65"/>
      <c r="NB2" s="65"/>
      <c r="NC2" s="65"/>
      <c r="ND2" s="65"/>
      <c r="NE2" s="65"/>
      <c r="NF2" s="65"/>
      <c r="NG2" s="65"/>
    </row>
    <row r="3">
      <c r="A3" s="65"/>
      <c r="B3" s="65"/>
      <c r="C3" s="195" t="s">
        <v>1</v>
      </c>
      <c r="D3" s="196" t="s">
        <v>2</v>
      </c>
      <c r="E3" s="197" t="s">
        <v>3</v>
      </c>
      <c r="F3" s="198"/>
      <c r="G3" s="198"/>
      <c r="H3" s="199"/>
      <c r="I3" s="196" t="s">
        <v>4</v>
      </c>
      <c r="J3" s="196" t="s">
        <v>5</v>
      </c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  <c r="GH3" s="65"/>
      <c r="GI3" s="65"/>
      <c r="GJ3" s="65"/>
      <c r="GK3" s="65"/>
      <c r="GL3" s="65"/>
      <c r="GM3" s="65"/>
      <c r="GN3" s="65"/>
      <c r="GO3" s="65"/>
      <c r="GP3" s="65"/>
      <c r="GQ3" s="65"/>
      <c r="GR3" s="65"/>
      <c r="GS3" s="65"/>
      <c r="GT3" s="65"/>
      <c r="GU3" s="65"/>
      <c r="GV3" s="65"/>
      <c r="GW3" s="65"/>
      <c r="GX3" s="65"/>
      <c r="GY3" s="65"/>
      <c r="GZ3" s="65"/>
      <c r="HA3" s="65"/>
      <c r="HB3" s="65"/>
      <c r="HC3" s="65"/>
      <c r="HD3" s="65"/>
      <c r="HE3" s="65"/>
      <c r="HF3" s="65"/>
      <c r="HG3" s="65"/>
      <c r="HH3" s="65"/>
      <c r="HI3" s="65"/>
      <c r="HJ3" s="65"/>
      <c r="HK3" s="65"/>
      <c r="HL3" s="65"/>
      <c r="HM3" s="65"/>
      <c r="HN3" s="65"/>
      <c r="HO3" s="65"/>
      <c r="HP3" s="65"/>
      <c r="HQ3" s="65"/>
      <c r="HR3" s="65"/>
      <c r="HS3" s="65"/>
      <c r="HT3" s="65"/>
      <c r="HU3" s="65"/>
      <c r="HV3" s="65"/>
      <c r="HW3" s="65"/>
      <c r="HX3" s="65"/>
      <c r="HY3" s="65"/>
      <c r="HZ3" s="65"/>
      <c r="IA3" s="65"/>
      <c r="IB3" s="65"/>
      <c r="IC3" s="65"/>
      <c r="ID3" s="65"/>
      <c r="IE3" s="65"/>
      <c r="IF3" s="65"/>
      <c r="IG3" s="65"/>
      <c r="IH3" s="65"/>
      <c r="II3" s="65"/>
      <c r="IJ3" s="65"/>
      <c r="IK3" s="65"/>
      <c r="IL3" s="65"/>
      <c r="IM3" s="65"/>
      <c r="IN3" s="65"/>
      <c r="IO3" s="65"/>
      <c r="IP3" s="65"/>
      <c r="IQ3" s="65"/>
      <c r="IR3" s="65"/>
      <c r="IS3" s="65"/>
      <c r="IT3" s="65"/>
      <c r="IU3" s="65"/>
      <c r="IV3" s="65"/>
      <c r="IW3" s="65"/>
      <c r="IX3" s="65"/>
      <c r="IY3" s="65"/>
      <c r="IZ3" s="65"/>
      <c r="JA3" s="65"/>
      <c r="JB3" s="65"/>
      <c r="JC3" s="65"/>
      <c r="JD3" s="65"/>
      <c r="JE3" s="65"/>
      <c r="JF3" s="65"/>
      <c r="JG3" s="65"/>
      <c r="JH3" s="65"/>
      <c r="JI3" s="65"/>
      <c r="JJ3" s="65"/>
      <c r="JK3" s="65"/>
      <c r="JL3" s="65"/>
      <c r="JM3" s="65"/>
      <c r="JN3" s="65"/>
      <c r="JO3" s="65"/>
      <c r="JP3" s="65"/>
      <c r="JQ3" s="65"/>
      <c r="JR3" s="65"/>
      <c r="JS3" s="65"/>
      <c r="JT3" s="65"/>
      <c r="JU3" s="65"/>
      <c r="JV3" s="65"/>
      <c r="JW3" s="65"/>
      <c r="JX3" s="65"/>
      <c r="JY3" s="65"/>
      <c r="JZ3" s="65"/>
      <c r="KA3" s="65"/>
      <c r="KB3" s="65"/>
      <c r="KC3" s="65"/>
      <c r="KD3" s="65"/>
      <c r="KE3" s="65"/>
      <c r="KF3" s="65"/>
      <c r="KG3" s="65"/>
      <c r="KH3" s="65"/>
      <c r="KI3" s="65"/>
      <c r="KJ3" s="65"/>
      <c r="KK3" s="65"/>
      <c r="KL3" s="65"/>
      <c r="KM3" s="65"/>
      <c r="KN3" s="65"/>
      <c r="KO3" s="65"/>
      <c r="KP3" s="65"/>
      <c r="KQ3" s="65"/>
      <c r="KR3" s="65"/>
      <c r="KS3" s="65"/>
      <c r="KT3" s="65"/>
      <c r="KU3" s="65"/>
      <c r="KV3" s="65"/>
      <c r="KW3" s="65"/>
      <c r="KX3" s="65"/>
      <c r="KY3" s="65"/>
      <c r="KZ3" s="65"/>
      <c r="LA3" s="65"/>
      <c r="LB3" s="65"/>
      <c r="LC3" s="65"/>
      <c r="LD3" s="65"/>
      <c r="LE3" s="65"/>
      <c r="LF3" s="65"/>
      <c r="LG3" s="65"/>
      <c r="LH3" s="65"/>
      <c r="LI3" s="65"/>
      <c r="LJ3" s="65"/>
      <c r="LK3" s="65"/>
      <c r="LL3" s="65"/>
      <c r="LM3" s="65"/>
      <c r="LN3" s="65"/>
      <c r="LO3" s="65"/>
      <c r="LP3" s="65"/>
      <c r="LQ3" s="65"/>
      <c r="LR3" s="65"/>
      <c r="LS3" s="65"/>
      <c r="LT3" s="65"/>
      <c r="LU3" s="65"/>
      <c r="LV3" s="65"/>
      <c r="LW3" s="65"/>
      <c r="LX3" s="65"/>
      <c r="LY3" s="65"/>
      <c r="LZ3" s="65"/>
      <c r="MA3" s="65"/>
      <c r="MB3" s="65"/>
      <c r="MC3" s="65"/>
      <c r="MD3" s="65"/>
      <c r="ME3" s="65"/>
      <c r="MF3" s="65"/>
      <c r="MG3" s="65"/>
      <c r="MH3" s="65"/>
      <c r="MI3" s="65"/>
      <c r="MJ3" s="65"/>
      <c r="MK3" s="65"/>
      <c r="ML3" s="65"/>
      <c r="MM3" s="65"/>
      <c r="MN3" s="65"/>
      <c r="MO3" s="65"/>
      <c r="MP3" s="65"/>
      <c r="MQ3" s="65"/>
      <c r="MR3" s="65"/>
      <c r="MS3" s="65"/>
      <c r="MT3" s="65"/>
      <c r="MU3" s="65"/>
      <c r="MV3" s="65"/>
      <c r="MW3" s="65"/>
      <c r="MX3" s="65"/>
      <c r="MY3" s="65"/>
      <c r="MZ3" s="65"/>
      <c r="NA3" s="65"/>
      <c r="NB3" s="65"/>
      <c r="NC3" s="65"/>
      <c r="ND3" s="65"/>
      <c r="NE3" s="65"/>
      <c r="NF3" s="65"/>
      <c r="NG3" s="200">
        <v>1.0</v>
      </c>
    </row>
    <row r="4">
      <c r="A4" s="65"/>
      <c r="B4" s="65"/>
      <c r="C4" s="201"/>
      <c r="D4" s="201"/>
      <c r="E4" s="202"/>
      <c r="F4" s="203"/>
      <c r="G4" s="203"/>
      <c r="H4" s="204"/>
      <c r="I4" s="201"/>
      <c r="J4" s="201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5"/>
      <c r="BF4" s="65"/>
      <c r="BG4" s="65"/>
      <c r="BH4" s="65"/>
      <c r="BI4" s="65"/>
      <c r="BJ4" s="65"/>
      <c r="BK4" s="65"/>
      <c r="BL4" s="65"/>
      <c r="BM4" s="65"/>
      <c r="BN4" s="65"/>
      <c r="BO4" s="65"/>
      <c r="BP4" s="65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  <c r="CE4" s="65"/>
      <c r="CF4" s="65"/>
      <c r="CG4" s="65"/>
      <c r="CH4" s="65"/>
      <c r="CI4" s="65"/>
      <c r="CJ4" s="65"/>
      <c r="CK4" s="65"/>
      <c r="CL4" s="65"/>
      <c r="CM4" s="65"/>
      <c r="CN4" s="65"/>
      <c r="CO4" s="65"/>
      <c r="CP4" s="65"/>
      <c r="CQ4" s="65"/>
      <c r="CR4" s="65"/>
      <c r="CS4" s="65"/>
      <c r="CT4" s="65"/>
      <c r="CU4" s="65"/>
      <c r="CV4" s="65"/>
      <c r="CW4" s="65"/>
      <c r="CX4" s="65"/>
      <c r="CY4" s="65"/>
      <c r="CZ4" s="65"/>
      <c r="DA4" s="65"/>
      <c r="DB4" s="65"/>
      <c r="DC4" s="65"/>
      <c r="DD4" s="65"/>
      <c r="DE4" s="65"/>
      <c r="DF4" s="65"/>
      <c r="DG4" s="65"/>
      <c r="DH4" s="65"/>
      <c r="DI4" s="65"/>
      <c r="DJ4" s="65"/>
      <c r="DK4" s="65"/>
      <c r="DL4" s="65"/>
      <c r="DM4" s="65"/>
      <c r="DN4" s="65"/>
      <c r="DO4" s="65"/>
      <c r="DP4" s="65"/>
      <c r="DQ4" s="65"/>
      <c r="DR4" s="65"/>
      <c r="DS4" s="65"/>
      <c r="DT4" s="65"/>
      <c r="DU4" s="65"/>
      <c r="DV4" s="65"/>
      <c r="DW4" s="65"/>
      <c r="DX4" s="65"/>
      <c r="DY4" s="65"/>
      <c r="DZ4" s="65"/>
      <c r="EA4" s="65"/>
      <c r="EB4" s="65"/>
      <c r="EC4" s="65"/>
      <c r="ED4" s="65"/>
      <c r="EE4" s="65"/>
      <c r="EF4" s="65"/>
      <c r="EG4" s="65"/>
      <c r="EH4" s="65"/>
      <c r="EI4" s="65"/>
      <c r="EJ4" s="65"/>
      <c r="EK4" s="65"/>
      <c r="EL4" s="65"/>
      <c r="EM4" s="65"/>
      <c r="EN4" s="65"/>
      <c r="EO4" s="65"/>
      <c r="EP4" s="65"/>
      <c r="EQ4" s="65"/>
      <c r="ER4" s="65"/>
      <c r="ES4" s="65"/>
      <c r="ET4" s="65"/>
      <c r="EU4" s="65"/>
      <c r="EV4" s="65"/>
      <c r="EW4" s="65"/>
      <c r="EX4" s="65"/>
      <c r="EY4" s="65"/>
      <c r="EZ4" s="65"/>
      <c r="FA4" s="65"/>
      <c r="FB4" s="65"/>
      <c r="FC4" s="65"/>
      <c r="FD4" s="65"/>
      <c r="FE4" s="65"/>
      <c r="FF4" s="65"/>
      <c r="FG4" s="65"/>
      <c r="FH4" s="65"/>
      <c r="FI4" s="65"/>
      <c r="FJ4" s="65"/>
      <c r="FK4" s="65"/>
      <c r="FL4" s="65"/>
      <c r="FM4" s="65"/>
      <c r="FN4" s="65"/>
      <c r="FO4" s="65"/>
      <c r="FP4" s="65"/>
      <c r="FQ4" s="65"/>
      <c r="FR4" s="65"/>
      <c r="FS4" s="65"/>
      <c r="FT4" s="65"/>
      <c r="FU4" s="65"/>
      <c r="FV4" s="65"/>
      <c r="FW4" s="65"/>
      <c r="FX4" s="65"/>
      <c r="FY4" s="65"/>
      <c r="FZ4" s="65"/>
      <c r="GA4" s="65"/>
      <c r="GB4" s="65"/>
      <c r="GC4" s="65"/>
      <c r="GD4" s="65"/>
      <c r="GE4" s="65"/>
      <c r="GF4" s="65"/>
      <c r="GG4" s="65"/>
      <c r="GH4" s="65"/>
      <c r="GI4" s="65"/>
      <c r="GJ4" s="65"/>
      <c r="GK4" s="65"/>
      <c r="GL4" s="65"/>
      <c r="GM4" s="65"/>
      <c r="GN4" s="65"/>
      <c r="GO4" s="65"/>
      <c r="GP4" s="65"/>
      <c r="GQ4" s="65"/>
      <c r="GR4" s="65"/>
      <c r="GS4" s="65"/>
      <c r="GT4" s="65"/>
      <c r="GU4" s="65"/>
      <c r="GV4" s="65"/>
      <c r="GW4" s="65"/>
      <c r="GX4" s="65"/>
      <c r="GY4" s="65"/>
      <c r="GZ4" s="65"/>
      <c r="HA4" s="65"/>
      <c r="HB4" s="65"/>
      <c r="HC4" s="65"/>
      <c r="HD4" s="65"/>
      <c r="HE4" s="65"/>
      <c r="HF4" s="65"/>
      <c r="HG4" s="65"/>
      <c r="HH4" s="65"/>
      <c r="HI4" s="65"/>
      <c r="HJ4" s="65"/>
      <c r="HK4" s="65"/>
      <c r="HL4" s="65"/>
      <c r="HM4" s="65"/>
      <c r="HN4" s="65"/>
      <c r="HO4" s="65"/>
      <c r="HP4" s="65"/>
      <c r="HQ4" s="65"/>
      <c r="HR4" s="65"/>
      <c r="HS4" s="65"/>
      <c r="HT4" s="65"/>
      <c r="HU4" s="65"/>
      <c r="HV4" s="65"/>
      <c r="HW4" s="65"/>
      <c r="HX4" s="65"/>
      <c r="HY4" s="65"/>
      <c r="HZ4" s="65"/>
      <c r="IA4" s="65"/>
      <c r="IB4" s="65"/>
      <c r="IC4" s="65"/>
      <c r="ID4" s="65"/>
      <c r="IE4" s="65"/>
      <c r="IF4" s="65"/>
      <c r="IG4" s="65"/>
      <c r="IH4" s="65"/>
      <c r="II4" s="65"/>
      <c r="IJ4" s="65"/>
      <c r="IK4" s="65"/>
      <c r="IL4" s="65"/>
      <c r="IM4" s="65"/>
      <c r="IN4" s="65"/>
      <c r="IO4" s="65"/>
      <c r="IP4" s="65"/>
      <c r="IQ4" s="65"/>
      <c r="IR4" s="65"/>
      <c r="IS4" s="65"/>
      <c r="IT4" s="65"/>
      <c r="IU4" s="65"/>
      <c r="IV4" s="65"/>
      <c r="IW4" s="65"/>
      <c r="IX4" s="65"/>
      <c r="IY4" s="65"/>
      <c r="IZ4" s="65"/>
      <c r="JA4" s="65"/>
      <c r="JB4" s="65"/>
      <c r="JC4" s="65"/>
      <c r="JD4" s="65"/>
      <c r="JE4" s="65"/>
      <c r="JF4" s="65"/>
      <c r="JG4" s="65"/>
      <c r="JH4" s="65"/>
      <c r="JI4" s="65"/>
      <c r="JJ4" s="65"/>
      <c r="JK4" s="65"/>
      <c r="JL4" s="65"/>
      <c r="JM4" s="65"/>
      <c r="JN4" s="65"/>
      <c r="JO4" s="65"/>
      <c r="JP4" s="65"/>
      <c r="JQ4" s="65"/>
      <c r="JR4" s="65"/>
      <c r="JS4" s="65"/>
      <c r="JT4" s="65"/>
      <c r="JU4" s="65"/>
      <c r="JV4" s="65"/>
      <c r="JW4" s="65"/>
      <c r="JX4" s="65"/>
      <c r="JY4" s="65"/>
      <c r="JZ4" s="65"/>
      <c r="KA4" s="65"/>
      <c r="KB4" s="65"/>
      <c r="KC4" s="65"/>
      <c r="KD4" s="65"/>
      <c r="KE4" s="65"/>
      <c r="KF4" s="65"/>
      <c r="KG4" s="65"/>
      <c r="KH4" s="65"/>
      <c r="KI4" s="65"/>
      <c r="KJ4" s="65"/>
      <c r="KK4" s="65"/>
      <c r="KL4" s="65"/>
      <c r="KM4" s="65"/>
      <c r="KN4" s="65"/>
      <c r="KO4" s="65"/>
      <c r="KP4" s="65"/>
      <c r="KQ4" s="65"/>
      <c r="KR4" s="65"/>
      <c r="KS4" s="65"/>
      <c r="KT4" s="65"/>
      <c r="KU4" s="65"/>
      <c r="KV4" s="65"/>
      <c r="KW4" s="65"/>
      <c r="KX4" s="65"/>
      <c r="KY4" s="65"/>
      <c r="KZ4" s="65"/>
      <c r="LA4" s="65"/>
      <c r="LB4" s="65"/>
      <c r="LC4" s="65"/>
      <c r="LD4" s="65"/>
      <c r="LE4" s="65"/>
      <c r="LF4" s="65"/>
      <c r="LG4" s="65"/>
      <c r="LH4" s="65"/>
      <c r="LI4" s="65"/>
      <c r="LJ4" s="65"/>
      <c r="LK4" s="65"/>
      <c r="LL4" s="65"/>
      <c r="LM4" s="65"/>
      <c r="LN4" s="65"/>
      <c r="LO4" s="65"/>
      <c r="LP4" s="65"/>
      <c r="LQ4" s="65"/>
      <c r="LR4" s="65"/>
      <c r="LS4" s="65"/>
      <c r="LT4" s="65"/>
      <c r="LU4" s="65"/>
      <c r="LV4" s="65"/>
      <c r="LW4" s="65"/>
      <c r="LX4" s="65"/>
      <c r="LY4" s="65"/>
      <c r="LZ4" s="65"/>
      <c r="MA4" s="65"/>
      <c r="MB4" s="65"/>
      <c r="MC4" s="65"/>
      <c r="MD4" s="65"/>
      <c r="ME4" s="65"/>
      <c r="MF4" s="65"/>
      <c r="MG4" s="65"/>
      <c r="MH4" s="65"/>
      <c r="MI4" s="65"/>
      <c r="MJ4" s="65"/>
      <c r="MK4" s="65"/>
      <c r="ML4" s="65"/>
      <c r="MM4" s="65"/>
      <c r="MN4" s="65"/>
      <c r="MO4" s="65"/>
      <c r="MP4" s="65"/>
      <c r="MQ4" s="65"/>
      <c r="MR4" s="65"/>
      <c r="MS4" s="65"/>
      <c r="MT4" s="65"/>
      <c r="MU4" s="65"/>
      <c r="MV4" s="65"/>
      <c r="MW4" s="65"/>
      <c r="MX4" s="65"/>
      <c r="MY4" s="65"/>
      <c r="MZ4" s="65"/>
      <c r="NA4" s="65"/>
      <c r="NB4" s="65"/>
      <c r="NC4" s="65"/>
      <c r="ND4" s="65"/>
      <c r="NE4" s="65"/>
      <c r="NF4" s="65"/>
      <c r="NG4" s="65"/>
    </row>
    <row r="5">
      <c r="A5" s="65"/>
      <c r="B5" s="65"/>
      <c r="C5" s="205">
        <v>1.0</v>
      </c>
      <c r="D5" s="205" t="s">
        <v>1311</v>
      </c>
      <c r="E5" s="109"/>
      <c r="F5" s="107" t="s">
        <v>1312</v>
      </c>
      <c r="G5" s="107" t="s">
        <v>1313</v>
      </c>
      <c r="H5" s="109"/>
      <c r="I5" s="107" t="s">
        <v>1314</v>
      </c>
      <c r="J5" s="206" t="str">
        <f t="shared" ref="J5:J9" si="1">F11&amp;CHAR(10)&amp;G11</f>
        <v>Cup
Cake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  <c r="BV5" s="65"/>
      <c r="BW5" s="65"/>
      <c r="BX5" s="65"/>
      <c r="BY5" s="65"/>
      <c r="BZ5" s="65"/>
      <c r="CA5" s="65"/>
      <c r="CB5" s="65"/>
      <c r="CC5" s="65"/>
      <c r="CD5" s="65"/>
      <c r="CE5" s="65"/>
      <c r="CF5" s="65"/>
      <c r="CG5" s="65"/>
      <c r="CH5" s="65"/>
      <c r="CI5" s="65"/>
      <c r="CJ5" s="65"/>
      <c r="CK5" s="65"/>
      <c r="CL5" s="65"/>
      <c r="CM5" s="65"/>
      <c r="CN5" s="65"/>
      <c r="CO5" s="65"/>
      <c r="CP5" s="65"/>
      <c r="CQ5" s="65"/>
      <c r="CR5" s="65"/>
      <c r="CS5" s="65"/>
      <c r="CT5" s="65"/>
      <c r="CU5" s="65"/>
      <c r="CV5" s="65"/>
      <c r="CW5" s="65"/>
      <c r="CX5" s="65"/>
      <c r="CY5" s="65"/>
      <c r="CZ5" s="65"/>
      <c r="DA5" s="65"/>
      <c r="DB5" s="65"/>
      <c r="DC5" s="65"/>
      <c r="DD5" s="65"/>
      <c r="DE5" s="65"/>
      <c r="DF5" s="65"/>
      <c r="DG5" s="65"/>
      <c r="DH5" s="65"/>
      <c r="DI5" s="65"/>
      <c r="DJ5" s="65"/>
      <c r="DK5" s="65"/>
      <c r="DL5" s="65"/>
      <c r="DM5" s="65"/>
      <c r="DN5" s="65"/>
      <c r="DO5" s="65"/>
      <c r="DP5" s="65"/>
      <c r="DQ5" s="65"/>
      <c r="DR5" s="65"/>
      <c r="DS5" s="65"/>
      <c r="DT5" s="65"/>
      <c r="DU5" s="65"/>
      <c r="DV5" s="65"/>
      <c r="DW5" s="65"/>
      <c r="DX5" s="65"/>
      <c r="DY5" s="65"/>
      <c r="DZ5" s="65"/>
      <c r="EA5" s="65"/>
      <c r="EB5" s="65"/>
      <c r="EC5" s="65"/>
      <c r="ED5" s="65"/>
      <c r="EE5" s="65"/>
      <c r="EF5" s="65"/>
      <c r="EG5" s="65"/>
      <c r="EH5" s="65"/>
      <c r="EI5" s="65"/>
      <c r="EJ5" s="65"/>
      <c r="EK5" s="65"/>
      <c r="EL5" s="65"/>
      <c r="EM5" s="65"/>
      <c r="EN5" s="65"/>
      <c r="EO5" s="65"/>
      <c r="EP5" s="65"/>
      <c r="EQ5" s="65"/>
      <c r="ER5" s="65"/>
      <c r="ES5" s="65"/>
      <c r="ET5" s="65"/>
      <c r="EU5" s="65"/>
      <c r="EV5" s="65"/>
      <c r="EW5" s="65"/>
      <c r="EX5" s="65"/>
      <c r="EY5" s="65"/>
      <c r="EZ5" s="65"/>
      <c r="FA5" s="65"/>
      <c r="FB5" s="65"/>
      <c r="FC5" s="65"/>
      <c r="FD5" s="65"/>
      <c r="FE5" s="65"/>
      <c r="FF5" s="65"/>
      <c r="FG5" s="65"/>
      <c r="FH5" s="65"/>
      <c r="FI5" s="65"/>
      <c r="FJ5" s="65"/>
      <c r="FK5" s="65"/>
      <c r="FL5" s="65"/>
      <c r="FM5" s="65"/>
      <c r="FN5" s="65"/>
      <c r="FO5" s="65"/>
      <c r="FP5" s="65"/>
      <c r="FQ5" s="65"/>
      <c r="FR5" s="65"/>
      <c r="FS5" s="65"/>
      <c r="FT5" s="65"/>
      <c r="FU5" s="65"/>
      <c r="FV5" s="65"/>
      <c r="FW5" s="65"/>
      <c r="FX5" s="65"/>
      <c r="FY5" s="65"/>
      <c r="FZ5" s="65"/>
      <c r="GA5" s="65"/>
      <c r="GB5" s="65"/>
      <c r="GC5" s="65"/>
      <c r="GD5" s="65"/>
      <c r="GE5" s="65"/>
      <c r="GF5" s="65"/>
      <c r="GG5" s="65"/>
      <c r="GH5" s="65"/>
      <c r="GI5" s="65"/>
      <c r="GJ5" s="65"/>
      <c r="GK5" s="65"/>
      <c r="GL5" s="65"/>
      <c r="GM5" s="65"/>
      <c r="GN5" s="65"/>
      <c r="GO5" s="65"/>
      <c r="GP5" s="65"/>
      <c r="GQ5" s="65"/>
      <c r="GR5" s="65"/>
      <c r="GS5" s="65"/>
      <c r="GT5" s="65"/>
      <c r="GU5" s="65"/>
      <c r="GV5" s="65"/>
      <c r="GW5" s="65"/>
      <c r="GX5" s="65"/>
      <c r="GY5" s="65"/>
      <c r="GZ5" s="65"/>
      <c r="HA5" s="65"/>
      <c r="HB5" s="65"/>
      <c r="HC5" s="65"/>
      <c r="HD5" s="65"/>
      <c r="HE5" s="65"/>
      <c r="HF5" s="65"/>
      <c r="HG5" s="65"/>
      <c r="HH5" s="65"/>
      <c r="HI5" s="65"/>
      <c r="HJ5" s="65"/>
      <c r="HK5" s="65"/>
      <c r="HL5" s="65"/>
      <c r="HM5" s="65"/>
      <c r="HN5" s="65"/>
      <c r="HO5" s="65"/>
      <c r="HP5" s="65"/>
      <c r="HQ5" s="65"/>
      <c r="HR5" s="65"/>
      <c r="HS5" s="65"/>
      <c r="HT5" s="65"/>
      <c r="HU5" s="65"/>
      <c r="HV5" s="65"/>
      <c r="HW5" s="65"/>
      <c r="HX5" s="65"/>
      <c r="HY5" s="65"/>
      <c r="HZ5" s="65"/>
      <c r="IA5" s="65"/>
      <c r="IB5" s="65"/>
      <c r="IC5" s="65"/>
      <c r="ID5" s="65"/>
      <c r="IE5" s="65"/>
      <c r="IF5" s="65"/>
      <c r="IG5" s="65"/>
      <c r="IH5" s="65"/>
      <c r="II5" s="65"/>
      <c r="IJ5" s="65"/>
      <c r="IK5" s="65"/>
      <c r="IL5" s="65"/>
      <c r="IM5" s="65"/>
      <c r="IN5" s="65"/>
      <c r="IO5" s="65"/>
      <c r="IP5" s="65"/>
      <c r="IQ5" s="65"/>
      <c r="IR5" s="65"/>
      <c r="IS5" s="65"/>
      <c r="IT5" s="65"/>
      <c r="IU5" s="65"/>
      <c r="IV5" s="65"/>
      <c r="IW5" s="65"/>
      <c r="IX5" s="65"/>
      <c r="IY5" s="65"/>
      <c r="IZ5" s="65"/>
      <c r="JA5" s="65"/>
      <c r="JB5" s="65"/>
      <c r="JC5" s="65"/>
      <c r="JD5" s="65"/>
      <c r="JE5" s="65"/>
      <c r="JF5" s="65"/>
      <c r="JG5" s="65"/>
      <c r="JH5" s="65"/>
      <c r="JI5" s="65"/>
      <c r="JJ5" s="65"/>
      <c r="JK5" s="65"/>
      <c r="JL5" s="65"/>
      <c r="JM5" s="65"/>
      <c r="JN5" s="65"/>
      <c r="JO5" s="65"/>
      <c r="JP5" s="65"/>
      <c r="JQ5" s="65"/>
      <c r="JR5" s="65"/>
      <c r="JS5" s="65"/>
      <c r="JT5" s="65"/>
      <c r="JU5" s="65"/>
      <c r="JV5" s="65"/>
      <c r="JW5" s="65"/>
      <c r="JX5" s="65"/>
      <c r="JY5" s="65"/>
      <c r="JZ5" s="65"/>
      <c r="KA5" s="65"/>
      <c r="KB5" s="65"/>
      <c r="KC5" s="65"/>
      <c r="KD5" s="65"/>
      <c r="KE5" s="65"/>
      <c r="KF5" s="65"/>
      <c r="KG5" s="65"/>
      <c r="KH5" s="65"/>
      <c r="KI5" s="65"/>
      <c r="KJ5" s="65"/>
      <c r="KK5" s="65"/>
      <c r="KL5" s="65"/>
      <c r="KM5" s="65"/>
      <c r="KN5" s="65"/>
      <c r="KO5" s="65"/>
      <c r="KP5" s="65"/>
      <c r="KQ5" s="65"/>
      <c r="KR5" s="65"/>
      <c r="KS5" s="65"/>
      <c r="KT5" s="65"/>
      <c r="KU5" s="65"/>
      <c r="KV5" s="65"/>
      <c r="KW5" s="65"/>
      <c r="KX5" s="65"/>
      <c r="KY5" s="65"/>
      <c r="KZ5" s="65"/>
      <c r="LA5" s="65"/>
      <c r="LB5" s="65"/>
      <c r="LC5" s="65"/>
      <c r="LD5" s="65"/>
      <c r="LE5" s="65"/>
      <c r="LF5" s="65"/>
      <c r="LG5" s="65"/>
      <c r="LH5" s="65"/>
      <c r="LI5" s="65"/>
      <c r="LJ5" s="65"/>
      <c r="LK5" s="65"/>
      <c r="LL5" s="65"/>
      <c r="LM5" s="65"/>
      <c r="LN5" s="65"/>
      <c r="LO5" s="65"/>
      <c r="LP5" s="65"/>
      <c r="LQ5" s="65"/>
      <c r="LR5" s="65"/>
      <c r="LS5" s="65"/>
      <c r="LT5" s="65"/>
      <c r="LU5" s="65"/>
      <c r="LV5" s="65"/>
      <c r="LW5" s="65"/>
      <c r="LX5" s="65"/>
      <c r="LY5" s="65"/>
      <c r="LZ5" s="65"/>
      <c r="MA5" s="65"/>
      <c r="MB5" s="65"/>
      <c r="MC5" s="65"/>
      <c r="MD5" s="65"/>
      <c r="ME5" s="65"/>
      <c r="MF5" s="65"/>
      <c r="MG5" s="65"/>
      <c r="MH5" s="65"/>
      <c r="MI5" s="65"/>
      <c r="MJ5" s="65"/>
      <c r="MK5" s="65"/>
      <c r="ML5" s="65"/>
      <c r="MM5" s="65"/>
      <c r="MN5" s="65"/>
      <c r="MO5" s="65"/>
      <c r="MP5" s="65"/>
      <c r="MQ5" s="65"/>
      <c r="MR5" s="65"/>
      <c r="MS5" s="65"/>
      <c r="MT5" s="65"/>
      <c r="MU5" s="65"/>
      <c r="MV5" s="65"/>
      <c r="MW5" s="65"/>
      <c r="MX5" s="65"/>
      <c r="MY5" s="65"/>
      <c r="MZ5" s="65"/>
      <c r="NA5" s="65"/>
      <c r="NB5" s="65"/>
      <c r="NC5" s="65"/>
      <c r="ND5" s="65"/>
      <c r="NE5" s="65"/>
      <c r="NF5" s="65"/>
      <c r="NG5" s="65"/>
    </row>
    <row r="6">
      <c r="A6" s="65"/>
      <c r="B6" s="65"/>
      <c r="C6" s="207"/>
      <c r="D6" s="207"/>
      <c r="E6" s="109"/>
      <c r="F6" s="107" t="s">
        <v>1315</v>
      </c>
      <c r="G6" s="107" t="s">
        <v>1316</v>
      </c>
      <c r="H6" s="109"/>
      <c r="I6" s="107" t="s">
        <v>1317</v>
      </c>
      <c r="J6" s="208" t="str">
        <f t="shared" si="1"/>
        <v>Khushi
Saami</v>
      </c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5"/>
      <c r="CA6" s="65"/>
      <c r="CB6" s="65"/>
      <c r="CC6" s="65"/>
      <c r="CD6" s="65"/>
      <c r="CE6" s="65"/>
      <c r="CF6" s="65"/>
      <c r="CG6" s="65"/>
      <c r="CH6" s="65"/>
      <c r="CI6" s="65"/>
      <c r="CJ6" s="65"/>
      <c r="CK6" s="65"/>
      <c r="CL6" s="65"/>
      <c r="CM6" s="65"/>
      <c r="CN6" s="65"/>
      <c r="CO6" s="65"/>
      <c r="CP6" s="65"/>
      <c r="CQ6" s="65"/>
      <c r="CR6" s="65"/>
      <c r="CS6" s="65"/>
      <c r="CT6" s="65"/>
      <c r="CU6" s="65"/>
      <c r="CV6" s="65"/>
      <c r="CW6" s="65"/>
      <c r="CX6" s="65"/>
      <c r="CY6" s="65"/>
      <c r="CZ6" s="65"/>
      <c r="DA6" s="65"/>
      <c r="DB6" s="65"/>
      <c r="DC6" s="65"/>
      <c r="DD6" s="65"/>
      <c r="DE6" s="65"/>
      <c r="DF6" s="65"/>
      <c r="DG6" s="65"/>
      <c r="DH6" s="65"/>
      <c r="DI6" s="65"/>
      <c r="DJ6" s="65"/>
      <c r="DK6" s="65"/>
      <c r="DL6" s="65"/>
      <c r="DM6" s="65"/>
      <c r="DN6" s="65"/>
      <c r="DO6" s="65"/>
      <c r="DP6" s="65"/>
      <c r="DQ6" s="65"/>
      <c r="DR6" s="65"/>
      <c r="DS6" s="65"/>
      <c r="DT6" s="65"/>
      <c r="DU6" s="65"/>
      <c r="DV6" s="65"/>
      <c r="DW6" s="65"/>
      <c r="DX6" s="65"/>
      <c r="DY6" s="65"/>
      <c r="DZ6" s="65"/>
      <c r="EA6" s="65"/>
      <c r="EB6" s="65"/>
      <c r="EC6" s="65"/>
      <c r="ED6" s="65"/>
      <c r="EE6" s="65"/>
      <c r="EF6" s="65"/>
      <c r="EG6" s="65"/>
      <c r="EH6" s="65"/>
      <c r="EI6" s="65"/>
      <c r="EJ6" s="65"/>
      <c r="EK6" s="65"/>
      <c r="EL6" s="65"/>
      <c r="EM6" s="65"/>
      <c r="EN6" s="65"/>
      <c r="EO6" s="65"/>
      <c r="EP6" s="65"/>
      <c r="EQ6" s="65"/>
      <c r="ER6" s="65"/>
      <c r="ES6" s="65"/>
      <c r="ET6" s="65"/>
      <c r="EU6" s="65"/>
      <c r="EV6" s="65"/>
      <c r="EW6" s="65"/>
      <c r="EX6" s="65"/>
      <c r="EY6" s="65"/>
      <c r="EZ6" s="65"/>
      <c r="FA6" s="65"/>
      <c r="FB6" s="65"/>
      <c r="FC6" s="65"/>
      <c r="FD6" s="65"/>
      <c r="FE6" s="65"/>
      <c r="FF6" s="65"/>
      <c r="FG6" s="65"/>
      <c r="FH6" s="65"/>
      <c r="FI6" s="65"/>
      <c r="FJ6" s="65"/>
      <c r="FK6" s="65"/>
      <c r="FL6" s="65"/>
      <c r="FM6" s="65"/>
      <c r="FN6" s="65"/>
      <c r="FO6" s="65"/>
      <c r="FP6" s="65"/>
      <c r="FQ6" s="65"/>
      <c r="FR6" s="65"/>
      <c r="FS6" s="65"/>
      <c r="FT6" s="65"/>
      <c r="FU6" s="65"/>
      <c r="FV6" s="65"/>
      <c r="FW6" s="65"/>
      <c r="FX6" s="65"/>
      <c r="FY6" s="65"/>
      <c r="FZ6" s="65"/>
      <c r="GA6" s="65"/>
      <c r="GB6" s="65"/>
      <c r="GC6" s="65"/>
      <c r="GD6" s="65"/>
      <c r="GE6" s="65"/>
      <c r="GF6" s="65"/>
      <c r="GG6" s="65"/>
      <c r="GH6" s="65"/>
      <c r="GI6" s="65"/>
      <c r="GJ6" s="65"/>
      <c r="GK6" s="65"/>
      <c r="GL6" s="65"/>
      <c r="GM6" s="65"/>
      <c r="GN6" s="65"/>
      <c r="GO6" s="65"/>
      <c r="GP6" s="65"/>
      <c r="GQ6" s="65"/>
      <c r="GR6" s="65"/>
      <c r="GS6" s="65"/>
      <c r="GT6" s="65"/>
      <c r="GU6" s="65"/>
      <c r="GV6" s="65"/>
      <c r="GW6" s="65"/>
      <c r="GX6" s="65"/>
      <c r="GY6" s="65"/>
      <c r="GZ6" s="65"/>
      <c r="HA6" s="65"/>
      <c r="HB6" s="65"/>
      <c r="HC6" s="65"/>
      <c r="HD6" s="65"/>
      <c r="HE6" s="65"/>
      <c r="HF6" s="65"/>
      <c r="HG6" s="65"/>
      <c r="HH6" s="65"/>
      <c r="HI6" s="65"/>
      <c r="HJ6" s="65"/>
      <c r="HK6" s="65"/>
      <c r="HL6" s="65"/>
      <c r="HM6" s="65"/>
      <c r="HN6" s="65"/>
      <c r="HO6" s="65"/>
      <c r="HP6" s="65"/>
      <c r="HQ6" s="65"/>
      <c r="HR6" s="65"/>
      <c r="HS6" s="65"/>
      <c r="HT6" s="65"/>
      <c r="HU6" s="65"/>
      <c r="HV6" s="65"/>
      <c r="HW6" s="65"/>
      <c r="HX6" s="65"/>
      <c r="HY6" s="65"/>
      <c r="HZ6" s="65"/>
      <c r="IA6" s="65"/>
      <c r="IB6" s="65"/>
      <c r="IC6" s="65"/>
      <c r="ID6" s="65"/>
      <c r="IE6" s="65"/>
      <c r="IF6" s="65"/>
      <c r="IG6" s="65"/>
      <c r="IH6" s="65"/>
      <c r="II6" s="65"/>
      <c r="IJ6" s="65"/>
      <c r="IK6" s="65"/>
      <c r="IL6" s="65"/>
      <c r="IM6" s="65"/>
      <c r="IN6" s="65"/>
      <c r="IO6" s="65"/>
      <c r="IP6" s="65"/>
      <c r="IQ6" s="65"/>
      <c r="IR6" s="65"/>
      <c r="IS6" s="65"/>
      <c r="IT6" s="65"/>
      <c r="IU6" s="65"/>
      <c r="IV6" s="65"/>
      <c r="IW6" s="65"/>
      <c r="IX6" s="65"/>
      <c r="IY6" s="65"/>
      <c r="IZ6" s="65"/>
      <c r="JA6" s="65"/>
      <c r="JB6" s="65"/>
      <c r="JC6" s="65"/>
      <c r="JD6" s="65"/>
      <c r="JE6" s="65"/>
      <c r="JF6" s="65"/>
      <c r="JG6" s="65"/>
      <c r="JH6" s="65"/>
      <c r="JI6" s="65"/>
      <c r="JJ6" s="65"/>
      <c r="JK6" s="65"/>
      <c r="JL6" s="65"/>
      <c r="JM6" s="65"/>
      <c r="JN6" s="65"/>
      <c r="JO6" s="65"/>
      <c r="JP6" s="65"/>
      <c r="JQ6" s="65"/>
      <c r="JR6" s="65"/>
      <c r="JS6" s="65"/>
      <c r="JT6" s="65"/>
      <c r="JU6" s="65"/>
      <c r="JV6" s="65"/>
      <c r="JW6" s="65"/>
      <c r="JX6" s="65"/>
      <c r="JY6" s="65"/>
      <c r="JZ6" s="65"/>
      <c r="KA6" s="65"/>
      <c r="KB6" s="65"/>
      <c r="KC6" s="65"/>
      <c r="KD6" s="65"/>
      <c r="KE6" s="65"/>
      <c r="KF6" s="65"/>
      <c r="KG6" s="65"/>
      <c r="KH6" s="65"/>
      <c r="KI6" s="65"/>
      <c r="KJ6" s="65"/>
      <c r="KK6" s="65"/>
      <c r="KL6" s="65"/>
      <c r="KM6" s="65"/>
      <c r="KN6" s="65"/>
      <c r="KO6" s="65"/>
      <c r="KP6" s="65"/>
      <c r="KQ6" s="65"/>
      <c r="KR6" s="65"/>
      <c r="KS6" s="65"/>
      <c r="KT6" s="65"/>
      <c r="KU6" s="65"/>
      <c r="KV6" s="65"/>
      <c r="KW6" s="65"/>
      <c r="KX6" s="65"/>
      <c r="KY6" s="65"/>
      <c r="KZ6" s="65"/>
      <c r="LA6" s="65"/>
      <c r="LB6" s="65"/>
      <c r="LC6" s="65"/>
      <c r="LD6" s="65"/>
      <c r="LE6" s="65"/>
      <c r="LF6" s="65"/>
      <c r="LG6" s="65"/>
      <c r="LH6" s="65"/>
      <c r="LI6" s="65"/>
      <c r="LJ6" s="65"/>
      <c r="LK6" s="65"/>
      <c r="LL6" s="65"/>
      <c r="LM6" s="65"/>
      <c r="LN6" s="65"/>
      <c r="LO6" s="65"/>
      <c r="LP6" s="65"/>
      <c r="LQ6" s="65"/>
      <c r="LR6" s="65"/>
      <c r="LS6" s="65"/>
      <c r="LT6" s="65"/>
      <c r="LU6" s="65"/>
      <c r="LV6" s="65"/>
      <c r="LW6" s="65"/>
      <c r="LX6" s="65"/>
      <c r="LY6" s="65"/>
      <c r="LZ6" s="65"/>
      <c r="MA6" s="65"/>
      <c r="MB6" s="65"/>
      <c r="MC6" s="65"/>
      <c r="MD6" s="65"/>
      <c r="ME6" s="65"/>
      <c r="MF6" s="65"/>
      <c r="MG6" s="65"/>
      <c r="MH6" s="65"/>
      <c r="MI6" s="65"/>
      <c r="MJ6" s="65"/>
      <c r="MK6" s="65"/>
      <c r="ML6" s="65"/>
      <c r="MM6" s="65"/>
      <c r="MN6" s="65"/>
      <c r="MO6" s="65"/>
      <c r="MP6" s="65"/>
      <c r="MQ6" s="65"/>
      <c r="MR6" s="65"/>
      <c r="MS6" s="65"/>
      <c r="MT6" s="65"/>
      <c r="MU6" s="65"/>
      <c r="MV6" s="65"/>
      <c r="MW6" s="65"/>
      <c r="MX6" s="65"/>
      <c r="MY6" s="65"/>
      <c r="MZ6" s="65"/>
      <c r="NA6" s="65"/>
      <c r="NB6" s="65"/>
      <c r="NC6" s="65"/>
      <c r="ND6" s="65"/>
      <c r="NE6" s="65"/>
      <c r="NF6" s="65"/>
      <c r="NG6" s="65"/>
    </row>
    <row r="7">
      <c r="A7" s="65"/>
      <c r="B7" s="65"/>
      <c r="C7" s="207"/>
      <c r="D7" s="207"/>
      <c r="E7" s="109"/>
      <c r="F7" s="107" t="s">
        <v>1318</v>
      </c>
      <c r="G7" s="107" t="s">
        <v>1319</v>
      </c>
      <c r="H7" s="109"/>
      <c r="I7" s="107" t="s">
        <v>1320</v>
      </c>
      <c r="J7" s="208" t="str">
        <f t="shared" si="1"/>
        <v>Samosa
Chaat</v>
      </c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  <c r="IW7" s="65"/>
      <c r="IX7" s="65"/>
      <c r="IY7" s="65"/>
      <c r="IZ7" s="65"/>
      <c r="JA7" s="65"/>
      <c r="JB7" s="65"/>
      <c r="JC7" s="65"/>
      <c r="JD7" s="65"/>
      <c r="JE7" s="65"/>
      <c r="JF7" s="65"/>
      <c r="JG7" s="65"/>
      <c r="JH7" s="65"/>
      <c r="JI7" s="65"/>
      <c r="JJ7" s="65"/>
      <c r="JK7" s="65"/>
      <c r="JL7" s="65"/>
      <c r="JM7" s="65"/>
      <c r="JN7" s="65"/>
      <c r="JO7" s="65"/>
      <c r="JP7" s="65"/>
      <c r="JQ7" s="65"/>
      <c r="JR7" s="65"/>
      <c r="JS7" s="65"/>
      <c r="JT7" s="65"/>
      <c r="JU7" s="65"/>
      <c r="JV7" s="65"/>
      <c r="JW7" s="65"/>
      <c r="JX7" s="65"/>
      <c r="JY7" s="65"/>
      <c r="JZ7" s="65"/>
      <c r="KA7" s="65"/>
      <c r="KB7" s="65"/>
      <c r="KC7" s="65"/>
      <c r="KD7" s="65"/>
      <c r="KE7" s="65"/>
      <c r="KF7" s="65"/>
      <c r="KG7" s="65"/>
      <c r="KH7" s="65"/>
      <c r="KI7" s="65"/>
      <c r="KJ7" s="65"/>
      <c r="KK7" s="65"/>
      <c r="KL7" s="65"/>
      <c r="KM7" s="65"/>
      <c r="KN7" s="65"/>
      <c r="KO7" s="65"/>
      <c r="KP7" s="65"/>
      <c r="KQ7" s="65"/>
      <c r="KR7" s="65"/>
      <c r="KS7" s="65"/>
      <c r="KT7" s="65"/>
      <c r="KU7" s="65"/>
      <c r="KV7" s="65"/>
      <c r="KW7" s="65"/>
      <c r="KX7" s="65"/>
      <c r="KY7" s="65"/>
      <c r="KZ7" s="65"/>
      <c r="LA7" s="65"/>
      <c r="LB7" s="65"/>
      <c r="LC7" s="65"/>
      <c r="LD7" s="65"/>
      <c r="LE7" s="65"/>
      <c r="LF7" s="65"/>
      <c r="LG7" s="65"/>
      <c r="LH7" s="65"/>
      <c r="LI7" s="65"/>
      <c r="LJ7" s="65"/>
      <c r="LK7" s="65"/>
      <c r="LL7" s="65"/>
      <c r="LM7" s="65"/>
      <c r="LN7" s="65"/>
      <c r="LO7" s="65"/>
      <c r="LP7" s="65"/>
      <c r="LQ7" s="65"/>
      <c r="LR7" s="65"/>
      <c r="LS7" s="65"/>
      <c r="LT7" s="65"/>
      <c r="LU7" s="65"/>
      <c r="LV7" s="65"/>
      <c r="LW7" s="65"/>
      <c r="LX7" s="65"/>
      <c r="LY7" s="65"/>
      <c r="LZ7" s="65"/>
      <c r="MA7" s="65"/>
      <c r="MB7" s="65"/>
      <c r="MC7" s="65"/>
      <c r="MD7" s="65"/>
      <c r="ME7" s="65"/>
      <c r="MF7" s="65"/>
      <c r="MG7" s="65"/>
      <c r="MH7" s="65"/>
      <c r="MI7" s="65"/>
      <c r="MJ7" s="65"/>
      <c r="MK7" s="65"/>
      <c r="ML7" s="65"/>
      <c r="MM7" s="65"/>
      <c r="MN7" s="65"/>
      <c r="MO7" s="65"/>
      <c r="MP7" s="65"/>
      <c r="MQ7" s="65"/>
      <c r="MR7" s="65"/>
      <c r="MS7" s="65"/>
      <c r="MT7" s="65"/>
      <c r="MU7" s="65"/>
      <c r="MV7" s="65"/>
      <c r="MW7" s="65"/>
      <c r="MX7" s="65"/>
      <c r="MY7" s="65"/>
      <c r="MZ7" s="65"/>
      <c r="NA7" s="65"/>
      <c r="NB7" s="65"/>
      <c r="NC7" s="65"/>
      <c r="ND7" s="65"/>
      <c r="NE7" s="65"/>
      <c r="NF7" s="65"/>
      <c r="NG7" s="65"/>
    </row>
    <row r="8">
      <c r="A8" s="65"/>
      <c r="B8" s="65"/>
      <c r="C8" s="207"/>
      <c r="D8" s="207"/>
      <c r="E8" s="109"/>
      <c r="F8" s="107" t="s">
        <v>1321</v>
      </c>
      <c r="G8" s="107" t="s">
        <v>384</v>
      </c>
      <c r="H8" s="109"/>
      <c r="I8" s="107" t="s">
        <v>1322</v>
      </c>
      <c r="J8" s="208" t="str">
        <f t="shared" si="1"/>
        <v>Lion
King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65"/>
      <c r="CI8" s="65"/>
      <c r="CJ8" s="65"/>
      <c r="CK8" s="65"/>
      <c r="CL8" s="65"/>
      <c r="CM8" s="65"/>
      <c r="CN8" s="65"/>
      <c r="CO8" s="65"/>
      <c r="CP8" s="65"/>
      <c r="CQ8" s="65"/>
      <c r="CR8" s="65"/>
      <c r="CS8" s="65"/>
      <c r="CT8" s="65"/>
      <c r="CU8" s="65"/>
      <c r="CV8" s="65"/>
      <c r="CW8" s="65"/>
      <c r="CX8" s="65"/>
      <c r="CY8" s="65"/>
      <c r="CZ8" s="65"/>
      <c r="DA8" s="65"/>
      <c r="DB8" s="65"/>
      <c r="DC8" s="65"/>
      <c r="DD8" s="65"/>
      <c r="DE8" s="65"/>
      <c r="DF8" s="65"/>
      <c r="DG8" s="65"/>
      <c r="DH8" s="65"/>
      <c r="DI8" s="65"/>
      <c r="DJ8" s="65"/>
      <c r="DK8" s="65"/>
      <c r="DL8" s="65"/>
      <c r="DM8" s="65"/>
      <c r="DN8" s="65"/>
      <c r="DO8" s="65"/>
      <c r="DP8" s="65"/>
      <c r="DQ8" s="65"/>
      <c r="DR8" s="65"/>
      <c r="DS8" s="65"/>
      <c r="DT8" s="65"/>
      <c r="DU8" s="65"/>
      <c r="DV8" s="65"/>
      <c r="DW8" s="65"/>
      <c r="DX8" s="65"/>
      <c r="DY8" s="65"/>
      <c r="DZ8" s="65"/>
      <c r="EA8" s="65"/>
      <c r="EB8" s="65"/>
      <c r="EC8" s="65"/>
      <c r="ED8" s="65"/>
      <c r="EE8" s="65"/>
      <c r="EF8" s="65"/>
      <c r="EG8" s="65"/>
      <c r="EH8" s="65"/>
      <c r="EI8" s="65"/>
      <c r="EJ8" s="65"/>
      <c r="EK8" s="65"/>
      <c r="EL8" s="65"/>
      <c r="EM8" s="65"/>
      <c r="EN8" s="65"/>
      <c r="EO8" s="65"/>
      <c r="EP8" s="65"/>
      <c r="EQ8" s="65"/>
      <c r="ER8" s="65"/>
      <c r="ES8" s="65"/>
      <c r="ET8" s="65"/>
      <c r="EU8" s="65"/>
      <c r="EV8" s="65"/>
      <c r="EW8" s="65"/>
      <c r="EX8" s="65"/>
      <c r="EY8" s="65"/>
      <c r="EZ8" s="65"/>
      <c r="FA8" s="65"/>
      <c r="FB8" s="65"/>
      <c r="FC8" s="65"/>
      <c r="FD8" s="65"/>
      <c r="FE8" s="65"/>
      <c r="FF8" s="65"/>
      <c r="FG8" s="65"/>
      <c r="FH8" s="65"/>
      <c r="FI8" s="65"/>
      <c r="FJ8" s="65"/>
      <c r="FK8" s="65"/>
      <c r="FL8" s="65"/>
      <c r="FM8" s="65"/>
      <c r="FN8" s="65"/>
      <c r="FO8" s="65"/>
      <c r="FP8" s="65"/>
      <c r="FQ8" s="65"/>
      <c r="FR8" s="65"/>
      <c r="FS8" s="65"/>
      <c r="FT8" s="65"/>
      <c r="FU8" s="65"/>
      <c r="FV8" s="65"/>
      <c r="FW8" s="65"/>
      <c r="FX8" s="65"/>
      <c r="FY8" s="65"/>
      <c r="FZ8" s="65"/>
      <c r="GA8" s="65"/>
      <c r="GB8" s="65"/>
      <c r="GC8" s="65"/>
      <c r="GD8" s="65"/>
      <c r="GE8" s="65"/>
      <c r="GF8" s="65"/>
      <c r="GG8" s="65"/>
      <c r="GH8" s="65"/>
      <c r="GI8" s="65"/>
      <c r="GJ8" s="65"/>
      <c r="GK8" s="65"/>
      <c r="GL8" s="65"/>
      <c r="GM8" s="65"/>
      <c r="GN8" s="65"/>
      <c r="GO8" s="65"/>
      <c r="GP8" s="65"/>
      <c r="GQ8" s="65"/>
      <c r="GR8" s="65"/>
      <c r="GS8" s="65"/>
      <c r="GT8" s="65"/>
      <c r="GU8" s="65"/>
      <c r="GV8" s="65"/>
      <c r="GW8" s="65"/>
      <c r="GX8" s="65"/>
      <c r="GY8" s="65"/>
      <c r="GZ8" s="65"/>
      <c r="HA8" s="65"/>
      <c r="HB8" s="65"/>
      <c r="HC8" s="65"/>
      <c r="HD8" s="65"/>
      <c r="HE8" s="65"/>
      <c r="HF8" s="65"/>
      <c r="HG8" s="65"/>
      <c r="HH8" s="65"/>
      <c r="HI8" s="65"/>
      <c r="HJ8" s="65"/>
      <c r="HK8" s="65"/>
      <c r="HL8" s="65"/>
      <c r="HM8" s="65"/>
      <c r="HN8" s="65"/>
      <c r="HO8" s="65"/>
      <c r="HP8" s="65"/>
      <c r="HQ8" s="65"/>
      <c r="HR8" s="65"/>
      <c r="HS8" s="65"/>
      <c r="HT8" s="65"/>
      <c r="HU8" s="65"/>
      <c r="HV8" s="65"/>
      <c r="HW8" s="65"/>
      <c r="HX8" s="65"/>
      <c r="HY8" s="65"/>
      <c r="HZ8" s="65"/>
      <c r="IA8" s="65"/>
      <c r="IB8" s="65"/>
      <c r="IC8" s="65"/>
      <c r="ID8" s="65"/>
      <c r="IE8" s="65"/>
      <c r="IF8" s="65"/>
      <c r="IG8" s="65"/>
      <c r="IH8" s="65"/>
      <c r="II8" s="65"/>
      <c r="IJ8" s="65"/>
      <c r="IK8" s="65"/>
      <c r="IL8" s="65"/>
      <c r="IM8" s="65"/>
      <c r="IN8" s="65"/>
      <c r="IO8" s="65"/>
      <c r="IP8" s="65"/>
      <c r="IQ8" s="65"/>
      <c r="IR8" s="65"/>
      <c r="IS8" s="65"/>
      <c r="IT8" s="65"/>
      <c r="IU8" s="65"/>
      <c r="IV8" s="65"/>
      <c r="IW8" s="65"/>
      <c r="IX8" s="65"/>
      <c r="IY8" s="65"/>
      <c r="IZ8" s="65"/>
      <c r="JA8" s="65"/>
      <c r="JB8" s="65"/>
      <c r="JC8" s="65"/>
      <c r="JD8" s="65"/>
      <c r="JE8" s="65"/>
      <c r="JF8" s="65"/>
      <c r="JG8" s="65"/>
      <c r="JH8" s="65"/>
      <c r="JI8" s="65"/>
      <c r="JJ8" s="65"/>
      <c r="JK8" s="65"/>
      <c r="JL8" s="65"/>
      <c r="JM8" s="65"/>
      <c r="JN8" s="65"/>
      <c r="JO8" s="65"/>
      <c r="JP8" s="65"/>
      <c r="JQ8" s="65"/>
      <c r="JR8" s="65"/>
      <c r="JS8" s="65"/>
      <c r="JT8" s="65"/>
      <c r="JU8" s="65"/>
      <c r="JV8" s="65"/>
      <c r="JW8" s="65"/>
      <c r="JX8" s="65"/>
      <c r="JY8" s="65"/>
      <c r="JZ8" s="65"/>
      <c r="KA8" s="65"/>
      <c r="KB8" s="65"/>
      <c r="KC8" s="65"/>
      <c r="KD8" s="65"/>
      <c r="KE8" s="65"/>
      <c r="KF8" s="65"/>
      <c r="KG8" s="65"/>
      <c r="KH8" s="65"/>
      <c r="KI8" s="65"/>
      <c r="KJ8" s="65"/>
      <c r="KK8" s="65"/>
      <c r="KL8" s="65"/>
      <c r="KM8" s="65"/>
      <c r="KN8" s="65"/>
      <c r="KO8" s="65"/>
      <c r="KP8" s="65"/>
      <c r="KQ8" s="65"/>
      <c r="KR8" s="65"/>
      <c r="KS8" s="65"/>
      <c r="KT8" s="65"/>
      <c r="KU8" s="65"/>
      <c r="KV8" s="65"/>
      <c r="KW8" s="65"/>
      <c r="KX8" s="65"/>
      <c r="KY8" s="65"/>
      <c r="KZ8" s="65"/>
      <c r="LA8" s="65"/>
      <c r="LB8" s="65"/>
      <c r="LC8" s="65"/>
      <c r="LD8" s="65"/>
      <c r="LE8" s="65"/>
      <c r="LF8" s="65"/>
      <c r="LG8" s="65"/>
      <c r="LH8" s="65"/>
      <c r="LI8" s="65"/>
      <c r="LJ8" s="65"/>
      <c r="LK8" s="65"/>
      <c r="LL8" s="65"/>
      <c r="LM8" s="65"/>
      <c r="LN8" s="65"/>
      <c r="LO8" s="65"/>
      <c r="LP8" s="65"/>
      <c r="LQ8" s="65"/>
      <c r="LR8" s="65"/>
      <c r="LS8" s="65"/>
      <c r="LT8" s="65"/>
      <c r="LU8" s="65"/>
      <c r="LV8" s="65"/>
      <c r="LW8" s="65"/>
      <c r="LX8" s="65"/>
      <c r="LY8" s="65"/>
      <c r="LZ8" s="65"/>
      <c r="MA8" s="65"/>
      <c r="MB8" s="65"/>
      <c r="MC8" s="65"/>
      <c r="MD8" s="65"/>
      <c r="ME8" s="65"/>
      <c r="MF8" s="65"/>
      <c r="MG8" s="65"/>
      <c r="MH8" s="65"/>
      <c r="MI8" s="65"/>
      <c r="MJ8" s="65"/>
      <c r="MK8" s="65"/>
      <c r="ML8" s="65"/>
      <c r="MM8" s="65"/>
      <c r="MN8" s="65"/>
      <c r="MO8" s="65"/>
      <c r="MP8" s="65"/>
      <c r="MQ8" s="65"/>
      <c r="MR8" s="65"/>
      <c r="MS8" s="65"/>
      <c r="MT8" s="65"/>
      <c r="MU8" s="65"/>
      <c r="MV8" s="65"/>
      <c r="MW8" s="65"/>
      <c r="MX8" s="65"/>
      <c r="MY8" s="65"/>
      <c r="MZ8" s="65"/>
      <c r="NA8" s="65"/>
      <c r="NB8" s="65"/>
      <c r="NC8" s="65"/>
      <c r="ND8" s="65"/>
      <c r="NE8" s="65"/>
      <c r="NF8" s="65"/>
      <c r="NG8" s="65"/>
    </row>
    <row r="9">
      <c r="A9" s="65"/>
      <c r="B9" s="65"/>
      <c r="C9" s="201"/>
      <c r="D9" s="201"/>
      <c r="E9" s="109"/>
      <c r="F9" s="107" t="s">
        <v>1323</v>
      </c>
      <c r="G9" s="107" t="s">
        <v>238</v>
      </c>
      <c r="H9" s="109"/>
      <c r="I9" s="107" t="s">
        <v>1324</v>
      </c>
      <c r="J9" s="208" t="str">
        <f t="shared" si="1"/>
        <v>Meher
ARC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  <c r="BQ9" s="65"/>
      <c r="BR9" s="65"/>
      <c r="BS9" s="65"/>
      <c r="BT9" s="65"/>
      <c r="BU9" s="65"/>
      <c r="BV9" s="65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65"/>
      <c r="CI9" s="65"/>
      <c r="CJ9" s="65"/>
      <c r="CK9" s="65"/>
      <c r="CL9" s="65"/>
      <c r="CM9" s="65"/>
      <c r="CN9" s="65"/>
      <c r="CO9" s="65"/>
      <c r="CP9" s="65"/>
      <c r="CQ9" s="65"/>
      <c r="CR9" s="65"/>
      <c r="CS9" s="65"/>
      <c r="CT9" s="65"/>
      <c r="CU9" s="65"/>
      <c r="CV9" s="65"/>
      <c r="CW9" s="65"/>
      <c r="CX9" s="65"/>
      <c r="CY9" s="65"/>
      <c r="CZ9" s="65"/>
      <c r="DA9" s="65"/>
      <c r="DB9" s="65"/>
      <c r="DC9" s="65"/>
      <c r="DD9" s="65"/>
      <c r="DE9" s="65"/>
      <c r="DF9" s="65"/>
      <c r="DG9" s="65"/>
      <c r="DH9" s="65"/>
      <c r="DI9" s="65"/>
      <c r="DJ9" s="65"/>
      <c r="DK9" s="65"/>
      <c r="DL9" s="65"/>
      <c r="DM9" s="65"/>
      <c r="DN9" s="65"/>
      <c r="DO9" s="65"/>
      <c r="DP9" s="65"/>
      <c r="DQ9" s="65"/>
      <c r="DR9" s="65"/>
      <c r="DS9" s="65"/>
      <c r="DT9" s="65"/>
      <c r="DU9" s="65"/>
      <c r="DV9" s="65"/>
      <c r="DW9" s="65"/>
      <c r="DX9" s="65"/>
      <c r="DY9" s="65"/>
      <c r="DZ9" s="65"/>
      <c r="EA9" s="65"/>
      <c r="EB9" s="65"/>
      <c r="EC9" s="65"/>
      <c r="ED9" s="65"/>
      <c r="EE9" s="65"/>
      <c r="EF9" s="65"/>
      <c r="EG9" s="65"/>
      <c r="EH9" s="65"/>
      <c r="EI9" s="65"/>
      <c r="EJ9" s="65"/>
      <c r="EK9" s="65"/>
      <c r="EL9" s="65"/>
      <c r="EM9" s="65"/>
      <c r="EN9" s="65"/>
      <c r="EO9" s="65"/>
      <c r="EP9" s="65"/>
      <c r="EQ9" s="65"/>
      <c r="ER9" s="65"/>
      <c r="ES9" s="65"/>
      <c r="ET9" s="65"/>
      <c r="EU9" s="65"/>
      <c r="EV9" s="65"/>
      <c r="EW9" s="65"/>
      <c r="EX9" s="65"/>
      <c r="EY9" s="65"/>
      <c r="EZ9" s="65"/>
      <c r="FA9" s="65"/>
      <c r="FB9" s="65"/>
      <c r="FC9" s="65"/>
      <c r="FD9" s="65"/>
      <c r="FE9" s="65"/>
      <c r="FF9" s="65"/>
      <c r="FG9" s="65"/>
      <c r="FH9" s="65"/>
      <c r="FI9" s="65"/>
      <c r="FJ9" s="65"/>
      <c r="FK9" s="65"/>
      <c r="FL9" s="65"/>
      <c r="FM9" s="65"/>
      <c r="FN9" s="65"/>
      <c r="FO9" s="65"/>
      <c r="FP9" s="65"/>
      <c r="FQ9" s="65"/>
      <c r="FR9" s="65"/>
      <c r="FS9" s="65"/>
      <c r="FT9" s="65"/>
      <c r="FU9" s="65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65"/>
      <c r="GI9" s="65"/>
      <c r="GJ9" s="65"/>
      <c r="GK9" s="65"/>
      <c r="GL9" s="65"/>
      <c r="GM9" s="65"/>
      <c r="GN9" s="65"/>
      <c r="GO9" s="65"/>
      <c r="GP9" s="65"/>
      <c r="GQ9" s="65"/>
      <c r="GR9" s="65"/>
      <c r="GS9" s="65"/>
      <c r="GT9" s="65"/>
      <c r="GU9" s="65"/>
      <c r="GV9" s="65"/>
      <c r="GW9" s="65"/>
      <c r="GX9" s="65"/>
      <c r="GY9" s="65"/>
      <c r="GZ9" s="65"/>
      <c r="HA9" s="65"/>
      <c r="HB9" s="65"/>
      <c r="HC9" s="65"/>
      <c r="HD9" s="65"/>
      <c r="HE9" s="65"/>
      <c r="HF9" s="65"/>
      <c r="HG9" s="65"/>
      <c r="HH9" s="65"/>
      <c r="HI9" s="65"/>
      <c r="HJ9" s="65"/>
      <c r="HK9" s="65"/>
      <c r="HL9" s="65"/>
      <c r="HM9" s="65"/>
      <c r="HN9" s="65"/>
      <c r="HO9" s="65"/>
      <c r="HP9" s="65"/>
      <c r="HQ9" s="65"/>
      <c r="HR9" s="65"/>
      <c r="HS9" s="65"/>
      <c r="HT9" s="65"/>
      <c r="HU9" s="65"/>
      <c r="HV9" s="65"/>
      <c r="HW9" s="65"/>
      <c r="HX9" s="65"/>
      <c r="HY9" s="65"/>
      <c r="HZ9" s="65"/>
      <c r="IA9" s="65"/>
      <c r="IB9" s="65"/>
      <c r="IC9" s="65"/>
      <c r="ID9" s="65"/>
      <c r="IE9" s="65"/>
      <c r="IF9" s="65"/>
      <c r="IG9" s="65"/>
      <c r="IH9" s="65"/>
      <c r="II9" s="65"/>
      <c r="IJ9" s="65"/>
      <c r="IK9" s="65"/>
      <c r="IL9" s="65"/>
      <c r="IM9" s="65"/>
      <c r="IN9" s="65"/>
      <c r="IO9" s="65"/>
      <c r="IP9" s="65"/>
      <c r="IQ9" s="65"/>
      <c r="IR9" s="65"/>
      <c r="IS9" s="65"/>
      <c r="IT9" s="65"/>
      <c r="IU9" s="65"/>
      <c r="IV9" s="65"/>
      <c r="IW9" s="65"/>
      <c r="IX9" s="65"/>
      <c r="IY9" s="65"/>
      <c r="IZ9" s="65"/>
      <c r="JA9" s="65"/>
      <c r="JB9" s="65"/>
      <c r="JC9" s="65"/>
      <c r="JD9" s="65"/>
      <c r="JE9" s="65"/>
      <c r="JF9" s="65"/>
      <c r="JG9" s="65"/>
      <c r="JH9" s="65"/>
      <c r="JI9" s="65"/>
      <c r="JJ9" s="65"/>
      <c r="JK9" s="65"/>
      <c r="JL9" s="65"/>
      <c r="JM9" s="65"/>
      <c r="JN9" s="65"/>
      <c r="JO9" s="65"/>
      <c r="JP9" s="65"/>
      <c r="JQ9" s="65"/>
      <c r="JR9" s="65"/>
      <c r="JS9" s="65"/>
      <c r="JT9" s="65"/>
      <c r="JU9" s="65"/>
      <c r="JV9" s="65"/>
      <c r="JW9" s="65"/>
      <c r="JX9" s="65"/>
      <c r="JY9" s="65"/>
      <c r="JZ9" s="65"/>
      <c r="KA9" s="65"/>
      <c r="KB9" s="65"/>
      <c r="KC9" s="65"/>
      <c r="KD9" s="65"/>
      <c r="KE9" s="65"/>
      <c r="KF9" s="65"/>
      <c r="KG9" s="65"/>
      <c r="KH9" s="65"/>
      <c r="KI9" s="65"/>
      <c r="KJ9" s="65"/>
      <c r="KK9" s="65"/>
      <c r="KL9" s="65"/>
      <c r="KM9" s="65"/>
      <c r="KN9" s="65"/>
      <c r="KO9" s="65"/>
      <c r="KP9" s="65"/>
      <c r="KQ9" s="65"/>
      <c r="KR9" s="65"/>
      <c r="KS9" s="65"/>
      <c r="KT9" s="65"/>
      <c r="KU9" s="65"/>
      <c r="KV9" s="65"/>
      <c r="KW9" s="65"/>
      <c r="KX9" s="65"/>
      <c r="KY9" s="65"/>
      <c r="KZ9" s="65"/>
      <c r="LA9" s="65"/>
      <c r="LB9" s="65"/>
      <c r="LC9" s="65"/>
      <c r="LD9" s="65"/>
      <c r="LE9" s="65"/>
      <c r="LF9" s="65"/>
      <c r="LG9" s="65"/>
      <c r="LH9" s="65"/>
      <c r="LI9" s="65"/>
      <c r="LJ9" s="65"/>
      <c r="LK9" s="65"/>
      <c r="LL9" s="65"/>
      <c r="LM9" s="65"/>
      <c r="LN9" s="65"/>
      <c r="LO9" s="65"/>
      <c r="LP9" s="65"/>
      <c r="LQ9" s="65"/>
      <c r="LR9" s="65"/>
      <c r="LS9" s="65"/>
      <c r="LT9" s="65"/>
      <c r="LU9" s="65"/>
      <c r="LV9" s="65"/>
      <c r="LW9" s="65"/>
      <c r="LX9" s="65"/>
      <c r="LY9" s="65"/>
      <c r="LZ9" s="65"/>
      <c r="MA9" s="65"/>
      <c r="MB9" s="65"/>
      <c r="MC9" s="65"/>
      <c r="MD9" s="65"/>
      <c r="ME9" s="65"/>
      <c r="MF9" s="65"/>
      <c r="MG9" s="65"/>
      <c r="MH9" s="65"/>
      <c r="MI9" s="65"/>
      <c r="MJ9" s="65"/>
      <c r="MK9" s="65"/>
      <c r="ML9" s="65"/>
      <c r="MM9" s="65"/>
      <c r="MN9" s="65"/>
      <c r="MO9" s="65"/>
      <c r="MP9" s="65"/>
      <c r="MQ9" s="65"/>
      <c r="MR9" s="65"/>
      <c r="MS9" s="65"/>
      <c r="MT9" s="65"/>
      <c r="MU9" s="65"/>
      <c r="MV9" s="65"/>
      <c r="MW9" s="65"/>
      <c r="MX9" s="65"/>
      <c r="MY9" s="65"/>
      <c r="MZ9" s="65"/>
      <c r="NA9" s="65"/>
      <c r="NB9" s="65"/>
      <c r="NC9" s="65"/>
      <c r="ND9" s="65"/>
      <c r="NE9" s="65"/>
      <c r="NF9" s="65"/>
      <c r="NG9" s="65"/>
    </row>
    <row r="10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5"/>
      <c r="BQ10" s="65"/>
      <c r="BR10" s="65"/>
      <c r="BS10" s="65"/>
      <c r="BT10" s="65"/>
      <c r="BU10" s="65"/>
      <c r="BV10" s="65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65"/>
      <c r="CI10" s="65"/>
      <c r="CJ10" s="65"/>
      <c r="CK10" s="65"/>
      <c r="CL10" s="65"/>
      <c r="CM10" s="65"/>
      <c r="CN10" s="65"/>
      <c r="CO10" s="65"/>
      <c r="CP10" s="65"/>
      <c r="CQ10" s="65"/>
      <c r="CR10" s="65"/>
      <c r="CS10" s="65"/>
      <c r="CT10" s="65"/>
      <c r="CU10" s="65"/>
      <c r="CV10" s="65"/>
      <c r="CW10" s="65"/>
      <c r="CX10" s="65"/>
      <c r="CY10" s="65"/>
      <c r="CZ10" s="65"/>
      <c r="DA10" s="65"/>
      <c r="DB10" s="65"/>
      <c r="DC10" s="65"/>
      <c r="DD10" s="65"/>
      <c r="DE10" s="65"/>
      <c r="DF10" s="65"/>
      <c r="DG10" s="65"/>
      <c r="DH10" s="65"/>
      <c r="DI10" s="65"/>
      <c r="DJ10" s="65"/>
      <c r="DK10" s="65"/>
      <c r="DL10" s="65"/>
      <c r="DM10" s="65"/>
      <c r="DN10" s="65"/>
      <c r="DO10" s="65"/>
      <c r="DP10" s="65"/>
      <c r="DQ10" s="65"/>
      <c r="DR10" s="65"/>
      <c r="DS10" s="65"/>
      <c r="DT10" s="65"/>
      <c r="DU10" s="65"/>
      <c r="DV10" s="65"/>
      <c r="DW10" s="65"/>
      <c r="DX10" s="65"/>
      <c r="DY10" s="65"/>
      <c r="DZ10" s="65"/>
      <c r="EA10" s="65"/>
      <c r="EB10" s="65"/>
      <c r="EC10" s="65"/>
      <c r="ED10" s="65"/>
      <c r="EE10" s="65"/>
      <c r="EF10" s="65"/>
      <c r="EG10" s="65"/>
      <c r="EH10" s="65"/>
      <c r="EI10" s="65"/>
      <c r="EJ10" s="65"/>
      <c r="EK10" s="65"/>
      <c r="EL10" s="65"/>
      <c r="EM10" s="65"/>
      <c r="EN10" s="65"/>
      <c r="EO10" s="65"/>
      <c r="EP10" s="65"/>
      <c r="EQ10" s="65"/>
      <c r="ER10" s="65"/>
      <c r="ES10" s="65"/>
      <c r="ET10" s="65"/>
      <c r="EU10" s="65"/>
      <c r="EV10" s="65"/>
      <c r="EW10" s="65"/>
      <c r="EX10" s="65"/>
      <c r="EY10" s="65"/>
      <c r="EZ10" s="65"/>
      <c r="FA10" s="65"/>
      <c r="FB10" s="65"/>
      <c r="FC10" s="65"/>
      <c r="FD10" s="65"/>
      <c r="FE10" s="65"/>
      <c r="FF10" s="65"/>
      <c r="FG10" s="65"/>
      <c r="FH10" s="65"/>
      <c r="FI10" s="65"/>
      <c r="FJ10" s="65"/>
      <c r="FK10" s="65"/>
      <c r="FL10" s="65"/>
      <c r="FM10" s="65"/>
      <c r="FN10" s="65"/>
      <c r="FO10" s="65"/>
      <c r="FP10" s="65"/>
      <c r="FQ10" s="65"/>
      <c r="FR10" s="65"/>
      <c r="FS10" s="65"/>
      <c r="FT10" s="65"/>
      <c r="FU10" s="65"/>
      <c r="FV10" s="65"/>
      <c r="FW10" s="65"/>
      <c r="FX10" s="65"/>
      <c r="FY10" s="65"/>
      <c r="FZ10" s="65"/>
      <c r="GA10" s="65"/>
      <c r="GB10" s="65"/>
      <c r="GC10" s="65"/>
      <c r="GD10" s="65"/>
      <c r="GE10" s="65"/>
      <c r="GF10" s="65"/>
      <c r="GG10" s="65"/>
      <c r="GH10" s="65"/>
      <c r="GI10" s="65"/>
      <c r="GJ10" s="65"/>
      <c r="GK10" s="65"/>
      <c r="GL10" s="65"/>
      <c r="GM10" s="65"/>
      <c r="GN10" s="65"/>
      <c r="GO10" s="65"/>
      <c r="GP10" s="65"/>
      <c r="GQ10" s="65"/>
      <c r="GR10" s="65"/>
      <c r="GS10" s="65"/>
      <c r="GT10" s="65"/>
      <c r="GU10" s="65"/>
      <c r="GV10" s="65"/>
      <c r="GW10" s="65"/>
      <c r="GX10" s="65"/>
      <c r="GY10" s="65"/>
      <c r="GZ10" s="65"/>
      <c r="HA10" s="65"/>
      <c r="HB10" s="65"/>
      <c r="HC10" s="65"/>
      <c r="HD10" s="65"/>
      <c r="HE10" s="65"/>
      <c r="HF10" s="65"/>
      <c r="HG10" s="65"/>
      <c r="HH10" s="65"/>
      <c r="HI10" s="65"/>
      <c r="HJ10" s="65"/>
      <c r="HK10" s="65"/>
      <c r="HL10" s="65"/>
      <c r="HM10" s="65"/>
      <c r="HN10" s="65"/>
      <c r="HO10" s="65"/>
      <c r="HP10" s="65"/>
      <c r="HQ10" s="65"/>
      <c r="HR10" s="65"/>
      <c r="HS10" s="65"/>
      <c r="HT10" s="65"/>
      <c r="HU10" s="65"/>
      <c r="HV10" s="65"/>
      <c r="HW10" s="65"/>
      <c r="HX10" s="65"/>
      <c r="HY10" s="65"/>
      <c r="HZ10" s="65"/>
      <c r="IA10" s="65"/>
      <c r="IB10" s="65"/>
      <c r="IC10" s="65"/>
      <c r="ID10" s="65"/>
      <c r="IE10" s="65"/>
      <c r="IF10" s="65"/>
      <c r="IG10" s="65"/>
      <c r="IH10" s="65"/>
      <c r="II10" s="65"/>
      <c r="IJ10" s="65"/>
      <c r="IK10" s="65"/>
      <c r="IL10" s="65"/>
      <c r="IM10" s="65"/>
      <c r="IN10" s="65"/>
      <c r="IO10" s="65"/>
      <c r="IP10" s="65"/>
      <c r="IQ10" s="65"/>
      <c r="IR10" s="65"/>
      <c r="IS10" s="65"/>
      <c r="IT10" s="65"/>
      <c r="IU10" s="65"/>
      <c r="IV10" s="65"/>
      <c r="IW10" s="65"/>
      <c r="IX10" s="65"/>
      <c r="IY10" s="65"/>
      <c r="IZ10" s="65"/>
      <c r="JA10" s="65"/>
      <c r="JB10" s="65"/>
      <c r="JC10" s="65"/>
      <c r="JD10" s="65"/>
      <c r="JE10" s="65"/>
      <c r="JF10" s="65"/>
      <c r="JG10" s="65"/>
      <c r="JH10" s="65"/>
      <c r="JI10" s="65"/>
      <c r="JJ10" s="65"/>
      <c r="JK10" s="65"/>
      <c r="JL10" s="65"/>
      <c r="JM10" s="65"/>
      <c r="JN10" s="65"/>
      <c r="JO10" s="65"/>
      <c r="JP10" s="65"/>
      <c r="JQ10" s="65"/>
      <c r="JR10" s="65"/>
      <c r="JS10" s="65"/>
      <c r="JT10" s="65"/>
      <c r="JU10" s="65"/>
      <c r="JV10" s="65"/>
      <c r="JW10" s="65"/>
      <c r="JX10" s="65"/>
      <c r="JY10" s="65"/>
      <c r="JZ10" s="65"/>
      <c r="KA10" s="65"/>
      <c r="KB10" s="65"/>
      <c r="KC10" s="65"/>
      <c r="KD10" s="65"/>
      <c r="KE10" s="65"/>
      <c r="KF10" s="65"/>
      <c r="KG10" s="65"/>
      <c r="KH10" s="65"/>
      <c r="KI10" s="65"/>
      <c r="KJ10" s="65"/>
      <c r="KK10" s="65"/>
      <c r="KL10" s="65"/>
      <c r="KM10" s="65"/>
      <c r="KN10" s="65"/>
      <c r="KO10" s="65"/>
      <c r="KP10" s="65"/>
      <c r="KQ10" s="65"/>
      <c r="KR10" s="65"/>
      <c r="KS10" s="65"/>
      <c r="KT10" s="65"/>
      <c r="KU10" s="65"/>
      <c r="KV10" s="65"/>
      <c r="KW10" s="65"/>
      <c r="KX10" s="65"/>
      <c r="KY10" s="65"/>
      <c r="KZ10" s="65"/>
      <c r="LA10" s="65"/>
      <c r="LB10" s="65"/>
      <c r="LC10" s="65"/>
      <c r="LD10" s="65"/>
      <c r="LE10" s="65"/>
      <c r="LF10" s="65"/>
      <c r="LG10" s="65"/>
      <c r="LH10" s="65"/>
      <c r="LI10" s="65"/>
      <c r="LJ10" s="65"/>
      <c r="LK10" s="65"/>
      <c r="LL10" s="65"/>
      <c r="LM10" s="65"/>
      <c r="LN10" s="65"/>
      <c r="LO10" s="65"/>
      <c r="LP10" s="65"/>
      <c r="LQ10" s="65"/>
      <c r="LR10" s="65"/>
      <c r="LS10" s="65"/>
      <c r="LT10" s="65"/>
      <c r="LU10" s="65"/>
      <c r="LV10" s="65"/>
      <c r="LW10" s="65"/>
      <c r="LX10" s="65"/>
      <c r="LY10" s="65"/>
      <c r="LZ10" s="65"/>
      <c r="MA10" s="65"/>
      <c r="MB10" s="65"/>
      <c r="MC10" s="65"/>
      <c r="MD10" s="65"/>
      <c r="ME10" s="65"/>
      <c r="MF10" s="65"/>
      <c r="MG10" s="65"/>
      <c r="MH10" s="65"/>
      <c r="MI10" s="65"/>
      <c r="MJ10" s="65"/>
      <c r="MK10" s="65"/>
      <c r="ML10" s="65"/>
      <c r="MM10" s="65"/>
      <c r="MN10" s="65"/>
      <c r="MO10" s="65"/>
      <c r="MP10" s="65"/>
      <c r="MQ10" s="65"/>
      <c r="MR10" s="65"/>
      <c r="MS10" s="65"/>
      <c r="MT10" s="65"/>
      <c r="MU10" s="65"/>
      <c r="MV10" s="65"/>
      <c r="MW10" s="65"/>
      <c r="MX10" s="65"/>
      <c r="MY10" s="65"/>
      <c r="MZ10" s="65"/>
      <c r="NA10" s="65"/>
      <c r="NB10" s="65"/>
      <c r="NC10" s="65"/>
      <c r="ND10" s="65"/>
      <c r="NE10" s="65"/>
      <c r="NF10" s="65"/>
      <c r="NG10" s="65"/>
    </row>
    <row r="11">
      <c r="A11" s="65"/>
      <c r="B11" s="65"/>
      <c r="C11" s="205">
        <v>2.0</v>
      </c>
      <c r="D11" s="205" t="s">
        <v>17</v>
      </c>
      <c r="E11" s="109"/>
      <c r="F11" s="107" t="s">
        <v>1312</v>
      </c>
      <c r="G11" s="107" t="s">
        <v>1313</v>
      </c>
      <c r="H11" s="109"/>
      <c r="I11" s="107" t="s">
        <v>1325</v>
      </c>
      <c r="J11" s="208" t="str">
        <f t="shared" ref="J11:J15" si="2">CONCAT(F11,G11)</f>
        <v>CupCake</v>
      </c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65"/>
      <c r="BV11" s="65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65"/>
      <c r="CI11" s="65"/>
      <c r="CJ11" s="65"/>
      <c r="CK11" s="65"/>
      <c r="CL11" s="65"/>
      <c r="CM11" s="65"/>
      <c r="CN11" s="65"/>
      <c r="CO11" s="65"/>
      <c r="CP11" s="65"/>
      <c r="CQ11" s="65"/>
      <c r="CR11" s="65"/>
      <c r="CS11" s="65"/>
      <c r="CT11" s="65"/>
      <c r="CU11" s="65"/>
      <c r="CV11" s="65"/>
      <c r="CW11" s="65"/>
      <c r="CX11" s="65"/>
      <c r="CY11" s="65"/>
      <c r="CZ11" s="65"/>
      <c r="DA11" s="65"/>
      <c r="DB11" s="65"/>
      <c r="DC11" s="65"/>
      <c r="DD11" s="65"/>
      <c r="DE11" s="65"/>
      <c r="DF11" s="65"/>
      <c r="DG11" s="65"/>
      <c r="DH11" s="65"/>
      <c r="DI11" s="65"/>
      <c r="DJ11" s="65"/>
      <c r="DK11" s="65"/>
      <c r="DL11" s="65"/>
      <c r="DM11" s="65"/>
      <c r="DN11" s="65"/>
      <c r="DO11" s="65"/>
      <c r="DP11" s="65"/>
      <c r="DQ11" s="65"/>
      <c r="DR11" s="65"/>
      <c r="DS11" s="65"/>
      <c r="DT11" s="65"/>
      <c r="DU11" s="65"/>
      <c r="DV11" s="65"/>
      <c r="DW11" s="65"/>
      <c r="DX11" s="65"/>
      <c r="DY11" s="65"/>
      <c r="DZ11" s="65"/>
      <c r="EA11" s="65"/>
      <c r="EB11" s="65"/>
      <c r="EC11" s="65"/>
      <c r="ED11" s="65"/>
      <c r="EE11" s="65"/>
      <c r="EF11" s="65"/>
      <c r="EG11" s="65"/>
      <c r="EH11" s="65"/>
      <c r="EI11" s="65"/>
      <c r="EJ11" s="65"/>
      <c r="EK11" s="65"/>
      <c r="EL11" s="65"/>
      <c r="EM11" s="65"/>
      <c r="EN11" s="65"/>
      <c r="EO11" s="65"/>
      <c r="EP11" s="65"/>
      <c r="EQ11" s="65"/>
      <c r="ER11" s="65"/>
      <c r="ES11" s="65"/>
      <c r="ET11" s="65"/>
      <c r="EU11" s="65"/>
      <c r="EV11" s="65"/>
      <c r="EW11" s="65"/>
      <c r="EX11" s="65"/>
      <c r="EY11" s="65"/>
      <c r="EZ11" s="65"/>
      <c r="FA11" s="65"/>
      <c r="FB11" s="65"/>
      <c r="FC11" s="65"/>
      <c r="FD11" s="65"/>
      <c r="FE11" s="65"/>
      <c r="FF11" s="65"/>
      <c r="FG11" s="65"/>
      <c r="FH11" s="65"/>
      <c r="FI11" s="65"/>
      <c r="FJ11" s="65"/>
      <c r="FK11" s="65"/>
      <c r="FL11" s="65"/>
      <c r="FM11" s="65"/>
      <c r="FN11" s="65"/>
      <c r="FO11" s="65"/>
      <c r="FP11" s="65"/>
      <c r="FQ11" s="65"/>
      <c r="FR11" s="65"/>
      <c r="FS11" s="65"/>
      <c r="FT11" s="65"/>
      <c r="FU11" s="65"/>
      <c r="FV11" s="65"/>
      <c r="FW11" s="65"/>
      <c r="FX11" s="65"/>
      <c r="FY11" s="65"/>
      <c r="FZ11" s="65"/>
      <c r="GA11" s="65"/>
      <c r="GB11" s="65"/>
      <c r="GC11" s="65"/>
      <c r="GD11" s="65"/>
      <c r="GE11" s="65"/>
      <c r="GF11" s="65"/>
      <c r="GG11" s="65"/>
      <c r="GH11" s="65"/>
      <c r="GI11" s="65"/>
      <c r="GJ11" s="65"/>
      <c r="GK11" s="65"/>
      <c r="GL11" s="65"/>
      <c r="GM11" s="65"/>
      <c r="GN11" s="65"/>
      <c r="GO11" s="65"/>
      <c r="GP11" s="65"/>
      <c r="GQ11" s="65"/>
      <c r="GR11" s="65"/>
      <c r="GS11" s="65"/>
      <c r="GT11" s="65"/>
      <c r="GU11" s="65"/>
      <c r="GV11" s="65"/>
      <c r="GW11" s="65"/>
      <c r="GX11" s="65"/>
      <c r="GY11" s="65"/>
      <c r="GZ11" s="65"/>
      <c r="HA11" s="65"/>
      <c r="HB11" s="65"/>
      <c r="HC11" s="65"/>
      <c r="HD11" s="65"/>
      <c r="HE11" s="65"/>
      <c r="HF11" s="65"/>
      <c r="HG11" s="65"/>
      <c r="HH11" s="65"/>
      <c r="HI11" s="65"/>
      <c r="HJ11" s="65"/>
      <c r="HK11" s="65"/>
      <c r="HL11" s="65"/>
      <c r="HM11" s="65"/>
      <c r="HN11" s="65"/>
      <c r="HO11" s="65"/>
      <c r="HP11" s="65"/>
      <c r="HQ11" s="65"/>
      <c r="HR11" s="65"/>
      <c r="HS11" s="65"/>
      <c r="HT11" s="65"/>
      <c r="HU11" s="65"/>
      <c r="HV11" s="65"/>
      <c r="HW11" s="65"/>
      <c r="HX11" s="65"/>
      <c r="HY11" s="65"/>
      <c r="HZ11" s="65"/>
      <c r="IA11" s="65"/>
      <c r="IB11" s="65"/>
      <c r="IC11" s="65"/>
      <c r="ID11" s="65"/>
      <c r="IE11" s="65"/>
      <c r="IF11" s="65"/>
      <c r="IG11" s="65"/>
      <c r="IH11" s="65"/>
      <c r="II11" s="65"/>
      <c r="IJ11" s="65"/>
      <c r="IK11" s="65"/>
      <c r="IL11" s="65"/>
      <c r="IM11" s="65"/>
      <c r="IN11" s="65"/>
      <c r="IO11" s="65"/>
      <c r="IP11" s="65"/>
      <c r="IQ11" s="65"/>
      <c r="IR11" s="65"/>
      <c r="IS11" s="65"/>
      <c r="IT11" s="65"/>
      <c r="IU11" s="65"/>
      <c r="IV11" s="65"/>
      <c r="IW11" s="65"/>
      <c r="IX11" s="65"/>
      <c r="IY11" s="65"/>
      <c r="IZ11" s="65"/>
      <c r="JA11" s="65"/>
      <c r="JB11" s="65"/>
      <c r="JC11" s="65"/>
      <c r="JD11" s="65"/>
      <c r="JE11" s="65"/>
      <c r="JF11" s="65"/>
      <c r="JG11" s="65"/>
      <c r="JH11" s="65"/>
      <c r="JI11" s="65"/>
      <c r="JJ11" s="65"/>
      <c r="JK11" s="65"/>
      <c r="JL11" s="65"/>
      <c r="JM11" s="65"/>
      <c r="JN11" s="65"/>
      <c r="JO11" s="65"/>
      <c r="JP11" s="65"/>
      <c r="JQ11" s="65"/>
      <c r="JR11" s="65"/>
      <c r="JS11" s="65"/>
      <c r="JT11" s="65"/>
      <c r="JU11" s="65"/>
      <c r="JV11" s="65"/>
      <c r="JW11" s="65"/>
      <c r="JX11" s="65"/>
      <c r="JY11" s="65"/>
      <c r="JZ11" s="65"/>
      <c r="KA11" s="65"/>
      <c r="KB11" s="65"/>
      <c r="KC11" s="65"/>
      <c r="KD11" s="65"/>
      <c r="KE11" s="65"/>
      <c r="KF11" s="65"/>
      <c r="KG11" s="65"/>
      <c r="KH11" s="65"/>
      <c r="KI11" s="65"/>
      <c r="KJ11" s="65"/>
      <c r="KK11" s="65"/>
      <c r="KL11" s="65"/>
      <c r="KM11" s="65"/>
      <c r="KN11" s="65"/>
      <c r="KO11" s="65"/>
      <c r="KP11" s="65"/>
      <c r="KQ11" s="65"/>
      <c r="KR11" s="65"/>
      <c r="KS11" s="65"/>
      <c r="KT11" s="65"/>
      <c r="KU11" s="65"/>
      <c r="KV11" s="65"/>
      <c r="KW11" s="65"/>
      <c r="KX11" s="65"/>
      <c r="KY11" s="65"/>
      <c r="KZ11" s="65"/>
      <c r="LA11" s="65"/>
      <c r="LB11" s="65"/>
      <c r="LC11" s="65"/>
      <c r="LD11" s="65"/>
      <c r="LE11" s="65"/>
      <c r="LF11" s="65"/>
      <c r="LG11" s="65"/>
      <c r="LH11" s="65"/>
      <c r="LI11" s="65"/>
      <c r="LJ11" s="65"/>
      <c r="LK11" s="65"/>
      <c r="LL11" s="65"/>
      <c r="LM11" s="65"/>
      <c r="LN11" s="65"/>
      <c r="LO11" s="65"/>
      <c r="LP11" s="65"/>
      <c r="LQ11" s="65"/>
      <c r="LR11" s="65"/>
      <c r="LS11" s="65"/>
      <c r="LT11" s="65"/>
      <c r="LU11" s="65"/>
      <c r="LV11" s="65"/>
      <c r="LW11" s="65"/>
      <c r="LX11" s="65"/>
      <c r="LY11" s="65"/>
      <c r="LZ11" s="65"/>
      <c r="MA11" s="65"/>
      <c r="MB11" s="65"/>
      <c r="MC11" s="65"/>
      <c r="MD11" s="65"/>
      <c r="ME11" s="65"/>
      <c r="MF11" s="65"/>
      <c r="MG11" s="65"/>
      <c r="MH11" s="65"/>
      <c r="MI11" s="65"/>
      <c r="MJ11" s="65"/>
      <c r="MK11" s="65"/>
      <c r="ML11" s="65"/>
      <c r="MM11" s="65"/>
      <c r="MN11" s="65"/>
      <c r="MO11" s="65"/>
      <c r="MP11" s="65"/>
      <c r="MQ11" s="65"/>
      <c r="MR11" s="65"/>
      <c r="MS11" s="65"/>
      <c r="MT11" s="65"/>
      <c r="MU11" s="65"/>
      <c r="MV11" s="65"/>
      <c r="MW11" s="65"/>
      <c r="MX11" s="65"/>
      <c r="MY11" s="65"/>
      <c r="MZ11" s="65"/>
      <c r="NA11" s="65"/>
      <c r="NB11" s="65"/>
      <c r="NC11" s="65"/>
      <c r="ND11" s="65"/>
      <c r="NE11" s="65"/>
      <c r="NF11" s="65"/>
      <c r="NG11" s="65"/>
    </row>
    <row r="12">
      <c r="A12" s="65"/>
      <c r="B12" s="65"/>
      <c r="C12" s="207"/>
      <c r="D12" s="207"/>
      <c r="E12" s="109"/>
      <c r="F12" s="107" t="s">
        <v>1315</v>
      </c>
      <c r="G12" s="107" t="s">
        <v>1316</v>
      </c>
      <c r="H12" s="109"/>
      <c r="I12" s="107" t="s">
        <v>1325</v>
      </c>
      <c r="J12" s="208" t="str">
        <f t="shared" si="2"/>
        <v>KhushiSaami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65"/>
      <c r="CI12" s="65"/>
      <c r="CJ12" s="65"/>
      <c r="CK12" s="65"/>
      <c r="CL12" s="65"/>
      <c r="CM12" s="65"/>
      <c r="CN12" s="65"/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ER12" s="65"/>
      <c r="ES12" s="65"/>
      <c r="ET12" s="65"/>
      <c r="EU12" s="65"/>
      <c r="EV12" s="65"/>
      <c r="EW12" s="65"/>
      <c r="EX12" s="65"/>
      <c r="EY12" s="65"/>
      <c r="EZ12" s="65"/>
      <c r="FA12" s="65"/>
      <c r="FB12" s="65"/>
      <c r="FC12" s="65"/>
      <c r="FD12" s="65"/>
      <c r="FE12" s="65"/>
      <c r="FF12" s="65"/>
      <c r="FG12" s="65"/>
      <c r="FH12" s="65"/>
      <c r="FI12" s="65"/>
      <c r="FJ12" s="65"/>
      <c r="FK12" s="65"/>
      <c r="FL12" s="65"/>
      <c r="FM12" s="65"/>
      <c r="FN12" s="65"/>
      <c r="FO12" s="65"/>
      <c r="FP12" s="65"/>
      <c r="FQ12" s="65"/>
      <c r="FR12" s="65"/>
      <c r="FS12" s="65"/>
      <c r="FT12" s="65"/>
      <c r="FU12" s="65"/>
      <c r="FV12" s="65"/>
      <c r="FW12" s="65"/>
      <c r="FX12" s="65"/>
      <c r="FY12" s="65"/>
      <c r="FZ12" s="65"/>
      <c r="GA12" s="65"/>
      <c r="GB12" s="65"/>
      <c r="GC12" s="65"/>
      <c r="GD12" s="65"/>
      <c r="GE12" s="65"/>
      <c r="GF12" s="65"/>
      <c r="GG12" s="65"/>
      <c r="GH12" s="65"/>
      <c r="GI12" s="65"/>
      <c r="GJ12" s="65"/>
      <c r="GK12" s="65"/>
      <c r="GL12" s="65"/>
      <c r="GM12" s="65"/>
      <c r="GN12" s="65"/>
      <c r="GO12" s="65"/>
      <c r="GP12" s="65"/>
      <c r="GQ12" s="65"/>
      <c r="GR12" s="65"/>
      <c r="GS12" s="65"/>
      <c r="GT12" s="65"/>
      <c r="GU12" s="65"/>
      <c r="GV12" s="65"/>
      <c r="GW12" s="65"/>
      <c r="GX12" s="65"/>
      <c r="GY12" s="65"/>
      <c r="GZ12" s="65"/>
      <c r="HA12" s="65"/>
      <c r="HB12" s="65"/>
      <c r="HC12" s="65"/>
      <c r="HD12" s="65"/>
      <c r="HE12" s="65"/>
      <c r="HF12" s="65"/>
      <c r="HG12" s="65"/>
      <c r="HH12" s="65"/>
      <c r="HI12" s="65"/>
      <c r="HJ12" s="65"/>
      <c r="HK12" s="65"/>
      <c r="HL12" s="65"/>
      <c r="HM12" s="65"/>
      <c r="HN12" s="65"/>
      <c r="HO12" s="65"/>
      <c r="HP12" s="65"/>
      <c r="HQ12" s="65"/>
      <c r="HR12" s="65"/>
      <c r="HS12" s="65"/>
      <c r="HT12" s="65"/>
      <c r="HU12" s="65"/>
      <c r="HV12" s="65"/>
      <c r="HW12" s="65"/>
      <c r="HX12" s="65"/>
      <c r="HY12" s="65"/>
      <c r="HZ12" s="65"/>
      <c r="IA12" s="65"/>
      <c r="IB12" s="65"/>
      <c r="IC12" s="65"/>
      <c r="ID12" s="65"/>
      <c r="IE12" s="65"/>
      <c r="IF12" s="65"/>
      <c r="IG12" s="65"/>
      <c r="IH12" s="65"/>
      <c r="II12" s="65"/>
      <c r="IJ12" s="65"/>
      <c r="IK12" s="65"/>
      <c r="IL12" s="65"/>
      <c r="IM12" s="65"/>
      <c r="IN12" s="65"/>
      <c r="IO12" s="65"/>
      <c r="IP12" s="65"/>
      <c r="IQ12" s="65"/>
      <c r="IR12" s="65"/>
      <c r="IS12" s="65"/>
      <c r="IT12" s="65"/>
      <c r="IU12" s="65"/>
      <c r="IV12" s="65"/>
      <c r="IW12" s="65"/>
      <c r="IX12" s="65"/>
      <c r="IY12" s="65"/>
      <c r="IZ12" s="65"/>
      <c r="JA12" s="65"/>
      <c r="JB12" s="65"/>
      <c r="JC12" s="65"/>
      <c r="JD12" s="65"/>
      <c r="JE12" s="65"/>
      <c r="JF12" s="65"/>
      <c r="JG12" s="65"/>
      <c r="JH12" s="65"/>
      <c r="JI12" s="65"/>
      <c r="JJ12" s="65"/>
      <c r="JK12" s="65"/>
      <c r="JL12" s="65"/>
      <c r="JM12" s="65"/>
      <c r="JN12" s="65"/>
      <c r="JO12" s="65"/>
      <c r="JP12" s="65"/>
      <c r="JQ12" s="65"/>
      <c r="JR12" s="65"/>
      <c r="JS12" s="65"/>
      <c r="JT12" s="65"/>
      <c r="JU12" s="65"/>
      <c r="JV12" s="65"/>
      <c r="JW12" s="65"/>
      <c r="JX12" s="65"/>
      <c r="JY12" s="65"/>
      <c r="JZ12" s="65"/>
      <c r="KA12" s="65"/>
      <c r="KB12" s="65"/>
      <c r="KC12" s="65"/>
      <c r="KD12" s="65"/>
      <c r="KE12" s="65"/>
      <c r="KF12" s="65"/>
      <c r="KG12" s="65"/>
      <c r="KH12" s="65"/>
      <c r="KI12" s="65"/>
      <c r="KJ12" s="65"/>
      <c r="KK12" s="65"/>
      <c r="KL12" s="65"/>
      <c r="KM12" s="65"/>
      <c r="KN12" s="65"/>
      <c r="KO12" s="65"/>
      <c r="KP12" s="65"/>
      <c r="KQ12" s="65"/>
      <c r="KR12" s="65"/>
      <c r="KS12" s="65"/>
      <c r="KT12" s="65"/>
      <c r="KU12" s="65"/>
      <c r="KV12" s="65"/>
      <c r="KW12" s="65"/>
      <c r="KX12" s="65"/>
      <c r="KY12" s="65"/>
      <c r="KZ12" s="65"/>
      <c r="LA12" s="65"/>
      <c r="LB12" s="65"/>
      <c r="LC12" s="65"/>
      <c r="LD12" s="65"/>
      <c r="LE12" s="65"/>
      <c r="LF12" s="65"/>
      <c r="LG12" s="65"/>
      <c r="LH12" s="65"/>
      <c r="LI12" s="65"/>
      <c r="LJ12" s="65"/>
      <c r="LK12" s="65"/>
      <c r="LL12" s="65"/>
      <c r="LM12" s="65"/>
      <c r="LN12" s="65"/>
      <c r="LO12" s="65"/>
      <c r="LP12" s="65"/>
      <c r="LQ12" s="65"/>
      <c r="LR12" s="65"/>
      <c r="LS12" s="65"/>
      <c r="LT12" s="65"/>
      <c r="LU12" s="65"/>
      <c r="LV12" s="65"/>
      <c r="LW12" s="65"/>
      <c r="LX12" s="65"/>
      <c r="LY12" s="65"/>
      <c r="LZ12" s="65"/>
      <c r="MA12" s="65"/>
      <c r="MB12" s="65"/>
      <c r="MC12" s="65"/>
      <c r="MD12" s="65"/>
      <c r="ME12" s="65"/>
      <c r="MF12" s="65"/>
      <c r="MG12" s="65"/>
      <c r="MH12" s="65"/>
      <c r="MI12" s="65"/>
      <c r="MJ12" s="65"/>
      <c r="MK12" s="65"/>
      <c r="ML12" s="65"/>
      <c r="MM12" s="65"/>
      <c r="MN12" s="65"/>
      <c r="MO12" s="65"/>
      <c r="MP12" s="65"/>
      <c r="MQ12" s="65"/>
      <c r="MR12" s="65"/>
      <c r="MS12" s="65"/>
      <c r="MT12" s="65"/>
      <c r="MU12" s="65"/>
      <c r="MV12" s="65"/>
      <c r="MW12" s="65"/>
      <c r="MX12" s="65"/>
      <c r="MY12" s="65"/>
      <c r="MZ12" s="65"/>
      <c r="NA12" s="65"/>
      <c r="NB12" s="65"/>
      <c r="NC12" s="65"/>
      <c r="ND12" s="65"/>
      <c r="NE12" s="65"/>
      <c r="NF12" s="65"/>
      <c r="NG12" s="65"/>
    </row>
    <row r="13">
      <c r="A13" s="65"/>
      <c r="B13" s="65"/>
      <c r="C13" s="207"/>
      <c r="D13" s="207"/>
      <c r="E13" s="109"/>
      <c r="F13" s="107" t="s">
        <v>1318</v>
      </c>
      <c r="G13" s="107" t="s">
        <v>1319</v>
      </c>
      <c r="H13" s="109"/>
      <c r="I13" s="107" t="s">
        <v>1326</v>
      </c>
      <c r="J13" s="208" t="str">
        <f t="shared" si="2"/>
        <v>SamosaChaat</v>
      </c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5"/>
      <c r="BQ13" s="65"/>
      <c r="BR13" s="65"/>
      <c r="BS13" s="65"/>
      <c r="BT13" s="65"/>
      <c r="BU13" s="65"/>
      <c r="BV13" s="65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65"/>
      <c r="CI13" s="65"/>
      <c r="CJ13" s="65"/>
      <c r="CK13" s="65"/>
      <c r="CL13" s="65"/>
      <c r="CM13" s="65"/>
      <c r="CN13" s="65"/>
      <c r="CO13" s="65"/>
      <c r="CP13" s="65"/>
      <c r="CQ13" s="65"/>
      <c r="CR13" s="65"/>
      <c r="CS13" s="65"/>
      <c r="CT13" s="65"/>
      <c r="CU13" s="65"/>
      <c r="CV13" s="65"/>
      <c r="CW13" s="65"/>
      <c r="CX13" s="65"/>
      <c r="CY13" s="65"/>
      <c r="CZ13" s="65"/>
      <c r="DA13" s="65"/>
      <c r="DB13" s="65"/>
      <c r="DC13" s="65"/>
      <c r="DD13" s="65"/>
      <c r="DE13" s="65"/>
      <c r="DF13" s="65"/>
      <c r="DG13" s="65"/>
      <c r="DH13" s="65"/>
      <c r="DI13" s="65"/>
      <c r="DJ13" s="65"/>
      <c r="DK13" s="65"/>
      <c r="DL13" s="65"/>
      <c r="DM13" s="65"/>
      <c r="DN13" s="65"/>
      <c r="DO13" s="65"/>
      <c r="DP13" s="65"/>
      <c r="DQ13" s="65"/>
      <c r="DR13" s="65"/>
      <c r="DS13" s="65"/>
      <c r="DT13" s="65"/>
      <c r="DU13" s="65"/>
      <c r="DV13" s="65"/>
      <c r="DW13" s="65"/>
      <c r="DX13" s="65"/>
      <c r="DY13" s="65"/>
      <c r="DZ13" s="65"/>
      <c r="EA13" s="65"/>
      <c r="EB13" s="65"/>
      <c r="EC13" s="65"/>
      <c r="ED13" s="65"/>
      <c r="EE13" s="65"/>
      <c r="EF13" s="65"/>
      <c r="EG13" s="65"/>
      <c r="EH13" s="65"/>
      <c r="EI13" s="65"/>
      <c r="EJ13" s="65"/>
      <c r="EK13" s="65"/>
      <c r="EL13" s="65"/>
      <c r="EM13" s="65"/>
      <c r="EN13" s="65"/>
      <c r="EO13" s="65"/>
      <c r="EP13" s="65"/>
      <c r="EQ13" s="65"/>
      <c r="ER13" s="65"/>
      <c r="ES13" s="65"/>
      <c r="ET13" s="65"/>
      <c r="EU13" s="65"/>
      <c r="EV13" s="65"/>
      <c r="EW13" s="65"/>
      <c r="EX13" s="65"/>
      <c r="EY13" s="65"/>
      <c r="EZ13" s="65"/>
      <c r="FA13" s="65"/>
      <c r="FB13" s="65"/>
      <c r="FC13" s="65"/>
      <c r="FD13" s="65"/>
      <c r="FE13" s="65"/>
      <c r="FF13" s="65"/>
      <c r="FG13" s="65"/>
      <c r="FH13" s="65"/>
      <c r="FI13" s="65"/>
      <c r="FJ13" s="65"/>
      <c r="FK13" s="65"/>
      <c r="FL13" s="65"/>
      <c r="FM13" s="65"/>
      <c r="FN13" s="65"/>
      <c r="FO13" s="65"/>
      <c r="FP13" s="65"/>
      <c r="FQ13" s="65"/>
      <c r="FR13" s="65"/>
      <c r="FS13" s="65"/>
      <c r="FT13" s="65"/>
      <c r="FU13" s="65"/>
      <c r="FV13" s="65"/>
      <c r="FW13" s="65"/>
      <c r="FX13" s="65"/>
      <c r="FY13" s="65"/>
      <c r="FZ13" s="65"/>
      <c r="GA13" s="65"/>
      <c r="GB13" s="65"/>
      <c r="GC13" s="65"/>
      <c r="GD13" s="65"/>
      <c r="GE13" s="65"/>
      <c r="GF13" s="65"/>
      <c r="GG13" s="65"/>
      <c r="GH13" s="65"/>
      <c r="GI13" s="65"/>
      <c r="GJ13" s="65"/>
      <c r="GK13" s="65"/>
      <c r="GL13" s="65"/>
      <c r="GM13" s="65"/>
      <c r="GN13" s="65"/>
      <c r="GO13" s="65"/>
      <c r="GP13" s="65"/>
      <c r="GQ13" s="65"/>
      <c r="GR13" s="65"/>
      <c r="GS13" s="65"/>
      <c r="GT13" s="65"/>
      <c r="GU13" s="65"/>
      <c r="GV13" s="65"/>
      <c r="GW13" s="65"/>
      <c r="GX13" s="65"/>
      <c r="GY13" s="65"/>
      <c r="GZ13" s="65"/>
      <c r="HA13" s="65"/>
      <c r="HB13" s="65"/>
      <c r="HC13" s="65"/>
      <c r="HD13" s="65"/>
      <c r="HE13" s="65"/>
      <c r="HF13" s="65"/>
      <c r="HG13" s="65"/>
      <c r="HH13" s="65"/>
      <c r="HI13" s="65"/>
      <c r="HJ13" s="65"/>
      <c r="HK13" s="65"/>
      <c r="HL13" s="65"/>
      <c r="HM13" s="65"/>
      <c r="HN13" s="65"/>
      <c r="HO13" s="65"/>
      <c r="HP13" s="65"/>
      <c r="HQ13" s="65"/>
      <c r="HR13" s="65"/>
      <c r="HS13" s="65"/>
      <c r="HT13" s="65"/>
      <c r="HU13" s="65"/>
      <c r="HV13" s="65"/>
      <c r="HW13" s="65"/>
      <c r="HX13" s="65"/>
      <c r="HY13" s="65"/>
      <c r="HZ13" s="65"/>
      <c r="IA13" s="65"/>
      <c r="IB13" s="65"/>
      <c r="IC13" s="65"/>
      <c r="ID13" s="65"/>
      <c r="IE13" s="65"/>
      <c r="IF13" s="65"/>
      <c r="IG13" s="65"/>
      <c r="IH13" s="65"/>
      <c r="II13" s="65"/>
      <c r="IJ13" s="65"/>
      <c r="IK13" s="65"/>
      <c r="IL13" s="65"/>
      <c r="IM13" s="65"/>
      <c r="IN13" s="65"/>
      <c r="IO13" s="65"/>
      <c r="IP13" s="65"/>
      <c r="IQ13" s="65"/>
      <c r="IR13" s="65"/>
      <c r="IS13" s="65"/>
      <c r="IT13" s="65"/>
      <c r="IU13" s="65"/>
      <c r="IV13" s="65"/>
      <c r="IW13" s="65"/>
      <c r="IX13" s="65"/>
      <c r="IY13" s="65"/>
      <c r="IZ13" s="65"/>
      <c r="JA13" s="65"/>
      <c r="JB13" s="65"/>
      <c r="JC13" s="65"/>
      <c r="JD13" s="65"/>
      <c r="JE13" s="65"/>
      <c r="JF13" s="65"/>
      <c r="JG13" s="65"/>
      <c r="JH13" s="65"/>
      <c r="JI13" s="65"/>
      <c r="JJ13" s="65"/>
      <c r="JK13" s="65"/>
      <c r="JL13" s="65"/>
      <c r="JM13" s="65"/>
      <c r="JN13" s="65"/>
      <c r="JO13" s="65"/>
      <c r="JP13" s="65"/>
      <c r="JQ13" s="65"/>
      <c r="JR13" s="65"/>
      <c r="JS13" s="65"/>
      <c r="JT13" s="65"/>
      <c r="JU13" s="65"/>
      <c r="JV13" s="65"/>
      <c r="JW13" s="65"/>
      <c r="JX13" s="65"/>
      <c r="JY13" s="65"/>
      <c r="JZ13" s="65"/>
      <c r="KA13" s="65"/>
      <c r="KB13" s="65"/>
      <c r="KC13" s="65"/>
      <c r="KD13" s="65"/>
      <c r="KE13" s="65"/>
      <c r="KF13" s="65"/>
      <c r="KG13" s="65"/>
      <c r="KH13" s="65"/>
      <c r="KI13" s="65"/>
      <c r="KJ13" s="65"/>
      <c r="KK13" s="65"/>
      <c r="KL13" s="65"/>
      <c r="KM13" s="65"/>
      <c r="KN13" s="65"/>
      <c r="KO13" s="65"/>
      <c r="KP13" s="65"/>
      <c r="KQ13" s="65"/>
      <c r="KR13" s="65"/>
      <c r="KS13" s="65"/>
      <c r="KT13" s="65"/>
      <c r="KU13" s="65"/>
      <c r="KV13" s="65"/>
      <c r="KW13" s="65"/>
      <c r="KX13" s="65"/>
      <c r="KY13" s="65"/>
      <c r="KZ13" s="65"/>
      <c r="LA13" s="65"/>
      <c r="LB13" s="65"/>
      <c r="LC13" s="65"/>
      <c r="LD13" s="65"/>
      <c r="LE13" s="65"/>
      <c r="LF13" s="65"/>
      <c r="LG13" s="65"/>
      <c r="LH13" s="65"/>
      <c r="LI13" s="65"/>
      <c r="LJ13" s="65"/>
      <c r="LK13" s="65"/>
      <c r="LL13" s="65"/>
      <c r="LM13" s="65"/>
      <c r="LN13" s="65"/>
      <c r="LO13" s="65"/>
      <c r="LP13" s="65"/>
      <c r="LQ13" s="65"/>
      <c r="LR13" s="65"/>
      <c r="LS13" s="65"/>
      <c r="LT13" s="65"/>
      <c r="LU13" s="65"/>
      <c r="LV13" s="65"/>
      <c r="LW13" s="65"/>
      <c r="LX13" s="65"/>
      <c r="LY13" s="65"/>
      <c r="LZ13" s="65"/>
      <c r="MA13" s="65"/>
      <c r="MB13" s="65"/>
      <c r="MC13" s="65"/>
      <c r="MD13" s="65"/>
      <c r="ME13" s="65"/>
      <c r="MF13" s="65"/>
      <c r="MG13" s="65"/>
      <c r="MH13" s="65"/>
      <c r="MI13" s="65"/>
      <c r="MJ13" s="65"/>
      <c r="MK13" s="65"/>
      <c r="ML13" s="65"/>
      <c r="MM13" s="65"/>
      <c r="MN13" s="65"/>
      <c r="MO13" s="65"/>
      <c r="MP13" s="65"/>
      <c r="MQ13" s="65"/>
      <c r="MR13" s="65"/>
      <c r="MS13" s="65"/>
      <c r="MT13" s="65"/>
      <c r="MU13" s="65"/>
      <c r="MV13" s="65"/>
      <c r="MW13" s="65"/>
      <c r="MX13" s="65"/>
      <c r="MY13" s="65"/>
      <c r="MZ13" s="65"/>
      <c r="NA13" s="65"/>
      <c r="NB13" s="65"/>
      <c r="NC13" s="65"/>
      <c r="ND13" s="65"/>
      <c r="NE13" s="65"/>
      <c r="NF13" s="65"/>
      <c r="NG13" s="65"/>
    </row>
    <row r="14">
      <c r="A14" s="65"/>
      <c r="B14" s="65"/>
      <c r="C14" s="207"/>
      <c r="D14" s="207"/>
      <c r="E14" s="109"/>
      <c r="F14" s="107" t="s">
        <v>1321</v>
      </c>
      <c r="G14" s="107" t="s">
        <v>384</v>
      </c>
      <c r="H14" s="109"/>
      <c r="I14" s="107" t="s">
        <v>1327</v>
      </c>
      <c r="J14" s="208" t="str">
        <f t="shared" si="2"/>
        <v>LionKing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5"/>
      <c r="BQ14" s="65"/>
      <c r="BR14" s="65"/>
      <c r="BS14" s="65"/>
      <c r="BT14" s="65"/>
      <c r="BU14" s="65"/>
      <c r="BV14" s="65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65"/>
      <c r="CI14" s="65"/>
      <c r="CJ14" s="65"/>
      <c r="CK14" s="65"/>
      <c r="CL14" s="65"/>
      <c r="CM14" s="65"/>
      <c r="CN14" s="65"/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ER14" s="65"/>
      <c r="ES14" s="65"/>
      <c r="ET14" s="65"/>
      <c r="EU14" s="65"/>
      <c r="EV14" s="65"/>
      <c r="EW14" s="65"/>
      <c r="EX14" s="65"/>
      <c r="EY14" s="65"/>
      <c r="EZ14" s="65"/>
      <c r="FA14" s="65"/>
      <c r="FB14" s="65"/>
      <c r="FC14" s="65"/>
      <c r="FD14" s="65"/>
      <c r="FE14" s="65"/>
      <c r="FF14" s="65"/>
      <c r="FG14" s="65"/>
      <c r="FH14" s="65"/>
      <c r="FI14" s="65"/>
      <c r="FJ14" s="65"/>
      <c r="FK14" s="65"/>
      <c r="FL14" s="65"/>
      <c r="FM14" s="65"/>
      <c r="FN14" s="65"/>
      <c r="FO14" s="65"/>
      <c r="FP14" s="65"/>
      <c r="FQ14" s="65"/>
      <c r="FR14" s="65"/>
      <c r="FS14" s="65"/>
      <c r="FT14" s="65"/>
      <c r="FU14" s="65"/>
      <c r="FV14" s="65"/>
      <c r="FW14" s="65"/>
      <c r="FX14" s="65"/>
      <c r="FY14" s="65"/>
      <c r="FZ14" s="65"/>
      <c r="GA14" s="65"/>
      <c r="GB14" s="65"/>
      <c r="GC14" s="65"/>
      <c r="GD14" s="65"/>
      <c r="GE14" s="65"/>
      <c r="GF14" s="65"/>
      <c r="GG14" s="65"/>
      <c r="GH14" s="65"/>
      <c r="GI14" s="65"/>
      <c r="GJ14" s="65"/>
      <c r="GK14" s="65"/>
      <c r="GL14" s="65"/>
      <c r="GM14" s="65"/>
      <c r="GN14" s="65"/>
      <c r="GO14" s="65"/>
      <c r="GP14" s="65"/>
      <c r="GQ14" s="65"/>
      <c r="GR14" s="65"/>
      <c r="GS14" s="65"/>
      <c r="GT14" s="65"/>
      <c r="GU14" s="65"/>
      <c r="GV14" s="65"/>
      <c r="GW14" s="65"/>
      <c r="GX14" s="65"/>
      <c r="GY14" s="65"/>
      <c r="GZ14" s="65"/>
      <c r="HA14" s="65"/>
      <c r="HB14" s="65"/>
      <c r="HC14" s="65"/>
      <c r="HD14" s="65"/>
      <c r="HE14" s="65"/>
      <c r="HF14" s="65"/>
      <c r="HG14" s="65"/>
      <c r="HH14" s="65"/>
      <c r="HI14" s="65"/>
      <c r="HJ14" s="65"/>
      <c r="HK14" s="65"/>
      <c r="HL14" s="65"/>
      <c r="HM14" s="65"/>
      <c r="HN14" s="65"/>
      <c r="HO14" s="65"/>
      <c r="HP14" s="65"/>
      <c r="HQ14" s="65"/>
      <c r="HR14" s="65"/>
      <c r="HS14" s="65"/>
      <c r="HT14" s="65"/>
      <c r="HU14" s="65"/>
      <c r="HV14" s="65"/>
      <c r="HW14" s="65"/>
      <c r="HX14" s="65"/>
      <c r="HY14" s="65"/>
      <c r="HZ14" s="65"/>
      <c r="IA14" s="65"/>
      <c r="IB14" s="65"/>
      <c r="IC14" s="65"/>
      <c r="ID14" s="65"/>
      <c r="IE14" s="65"/>
      <c r="IF14" s="65"/>
      <c r="IG14" s="65"/>
      <c r="IH14" s="65"/>
      <c r="II14" s="65"/>
      <c r="IJ14" s="65"/>
      <c r="IK14" s="65"/>
      <c r="IL14" s="65"/>
      <c r="IM14" s="65"/>
      <c r="IN14" s="65"/>
      <c r="IO14" s="65"/>
      <c r="IP14" s="65"/>
      <c r="IQ14" s="65"/>
      <c r="IR14" s="65"/>
      <c r="IS14" s="65"/>
      <c r="IT14" s="65"/>
      <c r="IU14" s="65"/>
      <c r="IV14" s="65"/>
      <c r="IW14" s="65"/>
      <c r="IX14" s="65"/>
      <c r="IY14" s="65"/>
      <c r="IZ14" s="65"/>
      <c r="JA14" s="65"/>
      <c r="JB14" s="65"/>
      <c r="JC14" s="65"/>
      <c r="JD14" s="65"/>
      <c r="JE14" s="65"/>
      <c r="JF14" s="65"/>
      <c r="JG14" s="65"/>
      <c r="JH14" s="65"/>
      <c r="JI14" s="65"/>
      <c r="JJ14" s="65"/>
      <c r="JK14" s="65"/>
      <c r="JL14" s="65"/>
      <c r="JM14" s="65"/>
      <c r="JN14" s="65"/>
      <c r="JO14" s="65"/>
      <c r="JP14" s="65"/>
      <c r="JQ14" s="65"/>
      <c r="JR14" s="65"/>
      <c r="JS14" s="65"/>
      <c r="JT14" s="65"/>
      <c r="JU14" s="65"/>
      <c r="JV14" s="65"/>
      <c r="JW14" s="65"/>
      <c r="JX14" s="65"/>
      <c r="JY14" s="65"/>
      <c r="JZ14" s="65"/>
      <c r="KA14" s="65"/>
      <c r="KB14" s="65"/>
      <c r="KC14" s="65"/>
      <c r="KD14" s="65"/>
      <c r="KE14" s="65"/>
      <c r="KF14" s="65"/>
      <c r="KG14" s="65"/>
      <c r="KH14" s="65"/>
      <c r="KI14" s="65"/>
      <c r="KJ14" s="65"/>
      <c r="KK14" s="65"/>
      <c r="KL14" s="65"/>
      <c r="KM14" s="65"/>
      <c r="KN14" s="65"/>
      <c r="KO14" s="65"/>
      <c r="KP14" s="65"/>
      <c r="KQ14" s="65"/>
      <c r="KR14" s="65"/>
      <c r="KS14" s="65"/>
      <c r="KT14" s="65"/>
      <c r="KU14" s="65"/>
      <c r="KV14" s="65"/>
      <c r="KW14" s="65"/>
      <c r="KX14" s="65"/>
      <c r="KY14" s="65"/>
      <c r="KZ14" s="65"/>
      <c r="LA14" s="65"/>
      <c r="LB14" s="65"/>
      <c r="LC14" s="65"/>
      <c r="LD14" s="65"/>
      <c r="LE14" s="65"/>
      <c r="LF14" s="65"/>
      <c r="LG14" s="65"/>
      <c r="LH14" s="65"/>
      <c r="LI14" s="65"/>
      <c r="LJ14" s="65"/>
      <c r="LK14" s="65"/>
      <c r="LL14" s="65"/>
      <c r="LM14" s="65"/>
      <c r="LN14" s="65"/>
      <c r="LO14" s="65"/>
      <c r="LP14" s="65"/>
      <c r="LQ14" s="65"/>
      <c r="LR14" s="65"/>
      <c r="LS14" s="65"/>
      <c r="LT14" s="65"/>
      <c r="LU14" s="65"/>
      <c r="LV14" s="65"/>
      <c r="LW14" s="65"/>
      <c r="LX14" s="65"/>
      <c r="LY14" s="65"/>
      <c r="LZ14" s="65"/>
      <c r="MA14" s="65"/>
      <c r="MB14" s="65"/>
      <c r="MC14" s="65"/>
      <c r="MD14" s="65"/>
      <c r="ME14" s="65"/>
      <c r="MF14" s="65"/>
      <c r="MG14" s="65"/>
      <c r="MH14" s="65"/>
      <c r="MI14" s="65"/>
      <c r="MJ14" s="65"/>
      <c r="MK14" s="65"/>
      <c r="ML14" s="65"/>
      <c r="MM14" s="65"/>
      <c r="MN14" s="65"/>
      <c r="MO14" s="65"/>
      <c r="MP14" s="65"/>
      <c r="MQ14" s="65"/>
      <c r="MR14" s="65"/>
      <c r="MS14" s="65"/>
      <c r="MT14" s="65"/>
      <c r="MU14" s="65"/>
      <c r="MV14" s="65"/>
      <c r="MW14" s="65"/>
      <c r="MX14" s="65"/>
      <c r="MY14" s="65"/>
      <c r="MZ14" s="65"/>
      <c r="NA14" s="65"/>
      <c r="NB14" s="65"/>
      <c r="NC14" s="65"/>
      <c r="ND14" s="65"/>
      <c r="NE14" s="65"/>
      <c r="NF14" s="65"/>
      <c r="NG14" s="65"/>
    </row>
    <row r="15">
      <c r="A15" s="65"/>
      <c r="B15" s="65"/>
      <c r="C15" s="201"/>
      <c r="D15" s="201"/>
      <c r="E15" s="109"/>
      <c r="F15" s="107" t="s">
        <v>1323</v>
      </c>
      <c r="G15" s="107" t="s">
        <v>238</v>
      </c>
      <c r="H15" s="109"/>
      <c r="I15" s="107" t="s">
        <v>1328</v>
      </c>
      <c r="J15" s="208" t="str">
        <f t="shared" si="2"/>
        <v>MeherARC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5"/>
      <c r="BQ15" s="65"/>
      <c r="BR15" s="65"/>
      <c r="BS15" s="65"/>
      <c r="BT15" s="65"/>
      <c r="BU15" s="65"/>
      <c r="BV15" s="65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65"/>
      <c r="CI15" s="65"/>
      <c r="CJ15" s="65"/>
      <c r="CK15" s="65"/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65"/>
      <c r="DA15" s="65"/>
      <c r="DB15" s="65"/>
      <c r="DC15" s="65"/>
      <c r="DD15" s="65"/>
      <c r="DE15" s="65"/>
      <c r="DF15" s="65"/>
      <c r="DG15" s="65"/>
      <c r="DH15" s="65"/>
      <c r="DI15" s="65"/>
      <c r="DJ15" s="65"/>
      <c r="DK15" s="65"/>
      <c r="DL15" s="65"/>
      <c r="DM15" s="65"/>
      <c r="DN15" s="65"/>
      <c r="DO15" s="65"/>
      <c r="DP15" s="65"/>
      <c r="DQ15" s="65"/>
      <c r="DR15" s="65"/>
      <c r="DS15" s="65"/>
      <c r="DT15" s="65"/>
      <c r="DU15" s="65"/>
      <c r="DV15" s="65"/>
      <c r="DW15" s="65"/>
      <c r="DX15" s="65"/>
      <c r="DY15" s="65"/>
      <c r="DZ15" s="65"/>
      <c r="EA15" s="65"/>
      <c r="EB15" s="65"/>
      <c r="EC15" s="65"/>
      <c r="ED15" s="65"/>
      <c r="EE15" s="65"/>
      <c r="EF15" s="65"/>
      <c r="EG15" s="65"/>
      <c r="EH15" s="65"/>
      <c r="EI15" s="65"/>
      <c r="EJ15" s="65"/>
      <c r="EK15" s="65"/>
      <c r="EL15" s="65"/>
      <c r="EM15" s="65"/>
      <c r="EN15" s="65"/>
      <c r="EO15" s="65"/>
      <c r="EP15" s="65"/>
      <c r="EQ15" s="65"/>
      <c r="ER15" s="65"/>
      <c r="ES15" s="65"/>
      <c r="ET15" s="65"/>
      <c r="EU15" s="65"/>
      <c r="EV15" s="65"/>
      <c r="EW15" s="65"/>
      <c r="EX15" s="65"/>
      <c r="EY15" s="65"/>
      <c r="EZ15" s="65"/>
      <c r="FA15" s="65"/>
      <c r="FB15" s="65"/>
      <c r="FC15" s="65"/>
      <c r="FD15" s="65"/>
      <c r="FE15" s="65"/>
      <c r="FF15" s="65"/>
      <c r="FG15" s="65"/>
      <c r="FH15" s="65"/>
      <c r="FI15" s="65"/>
      <c r="FJ15" s="65"/>
      <c r="FK15" s="65"/>
      <c r="FL15" s="65"/>
      <c r="FM15" s="65"/>
      <c r="FN15" s="65"/>
      <c r="FO15" s="65"/>
      <c r="FP15" s="65"/>
      <c r="FQ15" s="65"/>
      <c r="FR15" s="65"/>
      <c r="FS15" s="65"/>
      <c r="FT15" s="65"/>
      <c r="FU15" s="65"/>
      <c r="FV15" s="65"/>
      <c r="FW15" s="65"/>
      <c r="FX15" s="65"/>
      <c r="FY15" s="65"/>
      <c r="FZ15" s="65"/>
      <c r="GA15" s="65"/>
      <c r="GB15" s="65"/>
      <c r="GC15" s="65"/>
      <c r="GD15" s="65"/>
      <c r="GE15" s="65"/>
      <c r="GF15" s="65"/>
      <c r="GG15" s="65"/>
      <c r="GH15" s="65"/>
      <c r="GI15" s="65"/>
      <c r="GJ15" s="65"/>
      <c r="GK15" s="65"/>
      <c r="GL15" s="65"/>
      <c r="GM15" s="65"/>
      <c r="GN15" s="65"/>
      <c r="GO15" s="65"/>
      <c r="GP15" s="65"/>
      <c r="GQ15" s="65"/>
      <c r="GR15" s="65"/>
      <c r="GS15" s="65"/>
      <c r="GT15" s="65"/>
      <c r="GU15" s="65"/>
      <c r="GV15" s="65"/>
      <c r="GW15" s="65"/>
      <c r="GX15" s="65"/>
      <c r="GY15" s="65"/>
      <c r="GZ15" s="65"/>
      <c r="HA15" s="65"/>
      <c r="HB15" s="65"/>
      <c r="HC15" s="65"/>
      <c r="HD15" s="65"/>
      <c r="HE15" s="65"/>
      <c r="HF15" s="65"/>
      <c r="HG15" s="65"/>
      <c r="HH15" s="65"/>
      <c r="HI15" s="65"/>
      <c r="HJ15" s="65"/>
      <c r="HK15" s="65"/>
      <c r="HL15" s="65"/>
      <c r="HM15" s="65"/>
      <c r="HN15" s="65"/>
      <c r="HO15" s="65"/>
      <c r="HP15" s="65"/>
      <c r="HQ15" s="65"/>
      <c r="HR15" s="65"/>
      <c r="HS15" s="65"/>
      <c r="HT15" s="65"/>
      <c r="HU15" s="65"/>
      <c r="HV15" s="65"/>
      <c r="HW15" s="65"/>
      <c r="HX15" s="65"/>
      <c r="HY15" s="65"/>
      <c r="HZ15" s="65"/>
      <c r="IA15" s="65"/>
      <c r="IB15" s="65"/>
      <c r="IC15" s="65"/>
      <c r="ID15" s="65"/>
      <c r="IE15" s="65"/>
      <c r="IF15" s="65"/>
      <c r="IG15" s="65"/>
      <c r="IH15" s="65"/>
      <c r="II15" s="65"/>
      <c r="IJ15" s="65"/>
      <c r="IK15" s="65"/>
      <c r="IL15" s="65"/>
      <c r="IM15" s="65"/>
      <c r="IN15" s="65"/>
      <c r="IO15" s="65"/>
      <c r="IP15" s="65"/>
      <c r="IQ15" s="65"/>
      <c r="IR15" s="65"/>
      <c r="IS15" s="65"/>
      <c r="IT15" s="65"/>
      <c r="IU15" s="65"/>
      <c r="IV15" s="65"/>
      <c r="IW15" s="65"/>
      <c r="IX15" s="65"/>
      <c r="IY15" s="65"/>
      <c r="IZ15" s="65"/>
      <c r="JA15" s="65"/>
      <c r="JB15" s="65"/>
      <c r="JC15" s="65"/>
      <c r="JD15" s="65"/>
      <c r="JE15" s="65"/>
      <c r="JF15" s="65"/>
      <c r="JG15" s="65"/>
      <c r="JH15" s="65"/>
      <c r="JI15" s="65"/>
      <c r="JJ15" s="65"/>
      <c r="JK15" s="65"/>
      <c r="JL15" s="65"/>
      <c r="JM15" s="65"/>
      <c r="JN15" s="65"/>
      <c r="JO15" s="65"/>
      <c r="JP15" s="65"/>
      <c r="JQ15" s="65"/>
      <c r="JR15" s="65"/>
      <c r="JS15" s="65"/>
      <c r="JT15" s="65"/>
      <c r="JU15" s="65"/>
      <c r="JV15" s="65"/>
      <c r="JW15" s="65"/>
      <c r="JX15" s="65"/>
      <c r="JY15" s="65"/>
      <c r="JZ15" s="65"/>
      <c r="KA15" s="65"/>
      <c r="KB15" s="65"/>
      <c r="KC15" s="65"/>
      <c r="KD15" s="65"/>
      <c r="KE15" s="65"/>
      <c r="KF15" s="65"/>
      <c r="KG15" s="65"/>
      <c r="KH15" s="65"/>
      <c r="KI15" s="65"/>
      <c r="KJ15" s="65"/>
      <c r="KK15" s="65"/>
      <c r="KL15" s="65"/>
      <c r="KM15" s="65"/>
      <c r="KN15" s="65"/>
      <c r="KO15" s="65"/>
      <c r="KP15" s="65"/>
      <c r="KQ15" s="65"/>
      <c r="KR15" s="65"/>
      <c r="KS15" s="65"/>
      <c r="KT15" s="65"/>
      <c r="KU15" s="65"/>
      <c r="KV15" s="65"/>
      <c r="KW15" s="65"/>
      <c r="KX15" s="65"/>
      <c r="KY15" s="65"/>
      <c r="KZ15" s="65"/>
      <c r="LA15" s="65"/>
      <c r="LB15" s="65"/>
      <c r="LC15" s="65"/>
      <c r="LD15" s="65"/>
      <c r="LE15" s="65"/>
      <c r="LF15" s="65"/>
      <c r="LG15" s="65"/>
      <c r="LH15" s="65"/>
      <c r="LI15" s="65"/>
      <c r="LJ15" s="65"/>
      <c r="LK15" s="65"/>
      <c r="LL15" s="65"/>
      <c r="LM15" s="65"/>
      <c r="LN15" s="65"/>
      <c r="LO15" s="65"/>
      <c r="LP15" s="65"/>
      <c r="LQ15" s="65"/>
      <c r="LR15" s="65"/>
      <c r="LS15" s="65"/>
      <c r="LT15" s="65"/>
      <c r="LU15" s="65"/>
      <c r="LV15" s="65"/>
      <c r="LW15" s="65"/>
      <c r="LX15" s="65"/>
      <c r="LY15" s="65"/>
      <c r="LZ15" s="65"/>
      <c r="MA15" s="65"/>
      <c r="MB15" s="65"/>
      <c r="MC15" s="65"/>
      <c r="MD15" s="65"/>
      <c r="ME15" s="65"/>
      <c r="MF15" s="65"/>
      <c r="MG15" s="65"/>
      <c r="MH15" s="65"/>
      <c r="MI15" s="65"/>
      <c r="MJ15" s="65"/>
      <c r="MK15" s="65"/>
      <c r="ML15" s="65"/>
      <c r="MM15" s="65"/>
      <c r="MN15" s="65"/>
      <c r="MO15" s="65"/>
      <c r="MP15" s="65"/>
      <c r="MQ15" s="65"/>
      <c r="MR15" s="65"/>
      <c r="MS15" s="65"/>
      <c r="MT15" s="65"/>
      <c r="MU15" s="65"/>
      <c r="MV15" s="65"/>
      <c r="MW15" s="65"/>
      <c r="MX15" s="65"/>
      <c r="MY15" s="65"/>
      <c r="MZ15" s="65"/>
      <c r="NA15" s="65"/>
      <c r="NB15" s="65"/>
      <c r="NC15" s="65"/>
      <c r="ND15" s="65"/>
      <c r="NE15" s="65"/>
      <c r="NF15" s="65"/>
      <c r="NG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65"/>
      <c r="BR16" s="65"/>
      <c r="BS16" s="65"/>
      <c r="BT16" s="65"/>
      <c r="BU16" s="65"/>
      <c r="BV16" s="65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65"/>
      <c r="CI16" s="65"/>
      <c r="CJ16" s="65"/>
      <c r="CK16" s="65"/>
      <c r="CL16" s="65"/>
      <c r="CM16" s="65"/>
      <c r="CN16" s="65"/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ER16" s="65"/>
      <c r="ES16" s="65"/>
      <c r="ET16" s="65"/>
      <c r="EU16" s="65"/>
      <c r="EV16" s="65"/>
      <c r="EW16" s="65"/>
      <c r="EX16" s="65"/>
      <c r="EY16" s="65"/>
      <c r="EZ16" s="65"/>
      <c r="FA16" s="65"/>
      <c r="FB16" s="65"/>
      <c r="FC16" s="65"/>
      <c r="FD16" s="65"/>
      <c r="FE16" s="65"/>
      <c r="FF16" s="65"/>
      <c r="FG16" s="65"/>
      <c r="FH16" s="65"/>
      <c r="FI16" s="65"/>
      <c r="FJ16" s="65"/>
      <c r="FK16" s="65"/>
      <c r="FL16" s="65"/>
      <c r="FM16" s="65"/>
      <c r="FN16" s="65"/>
      <c r="FO16" s="65"/>
      <c r="FP16" s="65"/>
      <c r="FQ16" s="65"/>
      <c r="FR16" s="65"/>
      <c r="FS16" s="65"/>
      <c r="FT16" s="65"/>
      <c r="FU16" s="65"/>
      <c r="FV16" s="65"/>
      <c r="FW16" s="65"/>
      <c r="FX16" s="65"/>
      <c r="FY16" s="65"/>
      <c r="FZ16" s="65"/>
      <c r="GA16" s="65"/>
      <c r="GB16" s="65"/>
      <c r="GC16" s="65"/>
      <c r="GD16" s="65"/>
      <c r="GE16" s="65"/>
      <c r="GF16" s="65"/>
      <c r="GG16" s="65"/>
      <c r="GH16" s="65"/>
      <c r="GI16" s="65"/>
      <c r="GJ16" s="65"/>
      <c r="GK16" s="65"/>
      <c r="GL16" s="65"/>
      <c r="GM16" s="65"/>
      <c r="GN16" s="65"/>
      <c r="GO16" s="65"/>
      <c r="GP16" s="65"/>
      <c r="GQ16" s="65"/>
      <c r="GR16" s="65"/>
      <c r="GS16" s="65"/>
      <c r="GT16" s="65"/>
      <c r="GU16" s="65"/>
      <c r="GV16" s="65"/>
      <c r="GW16" s="65"/>
      <c r="GX16" s="65"/>
      <c r="GY16" s="65"/>
      <c r="GZ16" s="65"/>
      <c r="HA16" s="65"/>
      <c r="HB16" s="65"/>
      <c r="HC16" s="65"/>
      <c r="HD16" s="65"/>
      <c r="HE16" s="65"/>
      <c r="HF16" s="65"/>
      <c r="HG16" s="65"/>
      <c r="HH16" s="65"/>
      <c r="HI16" s="65"/>
      <c r="HJ16" s="65"/>
      <c r="HK16" s="65"/>
      <c r="HL16" s="65"/>
      <c r="HM16" s="65"/>
      <c r="HN16" s="65"/>
      <c r="HO16" s="65"/>
      <c r="HP16" s="65"/>
      <c r="HQ16" s="65"/>
      <c r="HR16" s="65"/>
      <c r="HS16" s="65"/>
      <c r="HT16" s="65"/>
      <c r="HU16" s="65"/>
      <c r="HV16" s="65"/>
      <c r="HW16" s="65"/>
      <c r="HX16" s="65"/>
      <c r="HY16" s="65"/>
      <c r="HZ16" s="65"/>
      <c r="IA16" s="65"/>
      <c r="IB16" s="65"/>
      <c r="IC16" s="65"/>
      <c r="ID16" s="65"/>
      <c r="IE16" s="65"/>
      <c r="IF16" s="65"/>
      <c r="IG16" s="65"/>
      <c r="IH16" s="65"/>
      <c r="II16" s="65"/>
      <c r="IJ16" s="65"/>
      <c r="IK16" s="65"/>
      <c r="IL16" s="65"/>
      <c r="IM16" s="65"/>
      <c r="IN16" s="65"/>
      <c r="IO16" s="65"/>
      <c r="IP16" s="65"/>
      <c r="IQ16" s="65"/>
      <c r="IR16" s="65"/>
      <c r="IS16" s="65"/>
      <c r="IT16" s="65"/>
      <c r="IU16" s="65"/>
      <c r="IV16" s="65"/>
      <c r="IW16" s="65"/>
      <c r="IX16" s="65"/>
      <c r="IY16" s="65"/>
      <c r="IZ16" s="65"/>
      <c r="JA16" s="65"/>
      <c r="JB16" s="65"/>
      <c r="JC16" s="65"/>
      <c r="JD16" s="65"/>
      <c r="JE16" s="65"/>
      <c r="JF16" s="65"/>
      <c r="JG16" s="65"/>
      <c r="JH16" s="65"/>
      <c r="JI16" s="65"/>
      <c r="JJ16" s="65"/>
      <c r="JK16" s="65"/>
      <c r="JL16" s="65"/>
      <c r="JM16" s="65"/>
      <c r="JN16" s="65"/>
      <c r="JO16" s="65"/>
      <c r="JP16" s="65"/>
      <c r="JQ16" s="65"/>
      <c r="JR16" s="65"/>
      <c r="JS16" s="65"/>
      <c r="JT16" s="65"/>
      <c r="JU16" s="65"/>
      <c r="JV16" s="65"/>
      <c r="JW16" s="65"/>
      <c r="JX16" s="65"/>
      <c r="JY16" s="65"/>
      <c r="JZ16" s="65"/>
      <c r="KA16" s="65"/>
      <c r="KB16" s="65"/>
      <c r="KC16" s="65"/>
      <c r="KD16" s="65"/>
      <c r="KE16" s="65"/>
      <c r="KF16" s="65"/>
      <c r="KG16" s="65"/>
      <c r="KH16" s="65"/>
      <c r="KI16" s="65"/>
      <c r="KJ16" s="65"/>
      <c r="KK16" s="65"/>
      <c r="KL16" s="65"/>
      <c r="KM16" s="65"/>
      <c r="KN16" s="65"/>
      <c r="KO16" s="65"/>
      <c r="KP16" s="65"/>
      <c r="KQ16" s="65"/>
      <c r="KR16" s="65"/>
      <c r="KS16" s="65"/>
      <c r="KT16" s="65"/>
      <c r="KU16" s="65"/>
      <c r="KV16" s="65"/>
      <c r="KW16" s="65"/>
      <c r="KX16" s="65"/>
      <c r="KY16" s="65"/>
      <c r="KZ16" s="65"/>
      <c r="LA16" s="65"/>
      <c r="LB16" s="65"/>
      <c r="LC16" s="65"/>
      <c r="LD16" s="65"/>
      <c r="LE16" s="65"/>
      <c r="LF16" s="65"/>
      <c r="LG16" s="65"/>
      <c r="LH16" s="65"/>
      <c r="LI16" s="65"/>
      <c r="LJ16" s="65"/>
      <c r="LK16" s="65"/>
      <c r="LL16" s="65"/>
      <c r="LM16" s="65"/>
      <c r="LN16" s="65"/>
      <c r="LO16" s="65"/>
      <c r="LP16" s="65"/>
      <c r="LQ16" s="65"/>
      <c r="LR16" s="65"/>
      <c r="LS16" s="65"/>
      <c r="LT16" s="65"/>
      <c r="LU16" s="65"/>
      <c r="LV16" s="65"/>
      <c r="LW16" s="65"/>
      <c r="LX16" s="65"/>
      <c r="LY16" s="65"/>
      <c r="LZ16" s="65"/>
      <c r="MA16" s="65"/>
      <c r="MB16" s="65"/>
      <c r="MC16" s="65"/>
      <c r="MD16" s="65"/>
      <c r="ME16" s="65"/>
      <c r="MF16" s="65"/>
      <c r="MG16" s="65"/>
      <c r="MH16" s="65"/>
      <c r="MI16" s="65"/>
      <c r="MJ16" s="65"/>
      <c r="MK16" s="65"/>
      <c r="ML16" s="65"/>
      <c r="MM16" s="65"/>
      <c r="MN16" s="65"/>
      <c r="MO16" s="65"/>
      <c r="MP16" s="65"/>
      <c r="MQ16" s="65"/>
      <c r="MR16" s="65"/>
      <c r="MS16" s="65"/>
      <c r="MT16" s="65"/>
      <c r="MU16" s="65"/>
      <c r="MV16" s="65"/>
      <c r="MW16" s="65"/>
      <c r="MX16" s="65"/>
      <c r="MY16" s="65"/>
      <c r="MZ16" s="65"/>
      <c r="NA16" s="65"/>
      <c r="NB16" s="65"/>
      <c r="NC16" s="65"/>
      <c r="ND16" s="65"/>
      <c r="NE16" s="65"/>
      <c r="NF16" s="65"/>
      <c r="NG16" s="65"/>
    </row>
    <row r="17">
      <c r="A17" s="65"/>
      <c r="B17" s="65"/>
      <c r="C17" s="205">
        <v>3.0</v>
      </c>
      <c r="D17" s="205" t="s">
        <v>6</v>
      </c>
      <c r="E17" s="109"/>
      <c r="F17" s="107" t="s">
        <v>1329</v>
      </c>
      <c r="G17" s="109"/>
      <c r="H17" s="109"/>
      <c r="I17" s="107" t="s">
        <v>1330</v>
      </c>
      <c r="J17" s="109" t="str">
        <f t="shared" ref="J17:J21" si="3">CLEAN(F17)</f>
        <v>Sagar Wasnik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65"/>
      <c r="CI17" s="65"/>
      <c r="CJ17" s="65"/>
      <c r="CK17" s="65"/>
      <c r="CL17" s="65"/>
      <c r="CM17" s="65"/>
      <c r="CN17" s="65"/>
      <c r="CO17" s="65"/>
      <c r="CP17" s="65"/>
      <c r="CQ17" s="65"/>
      <c r="CR17" s="65"/>
      <c r="CS17" s="65"/>
      <c r="CT17" s="65"/>
      <c r="CU17" s="65"/>
      <c r="CV17" s="65"/>
      <c r="CW17" s="65"/>
      <c r="CX17" s="65"/>
      <c r="CY17" s="65"/>
      <c r="CZ17" s="65"/>
      <c r="DA17" s="65"/>
      <c r="DB17" s="65"/>
      <c r="DC17" s="65"/>
      <c r="DD17" s="65"/>
      <c r="DE17" s="65"/>
      <c r="DF17" s="65"/>
      <c r="DG17" s="65"/>
      <c r="DH17" s="65"/>
      <c r="DI17" s="65"/>
      <c r="DJ17" s="65"/>
      <c r="DK17" s="65"/>
      <c r="DL17" s="65"/>
      <c r="DM17" s="65"/>
      <c r="DN17" s="65"/>
      <c r="DO17" s="65"/>
      <c r="DP17" s="65"/>
      <c r="DQ17" s="65"/>
      <c r="DR17" s="65"/>
      <c r="DS17" s="65"/>
      <c r="DT17" s="65"/>
      <c r="DU17" s="65"/>
      <c r="DV17" s="65"/>
      <c r="DW17" s="65"/>
      <c r="DX17" s="65"/>
      <c r="DY17" s="65"/>
      <c r="DZ17" s="65"/>
      <c r="EA17" s="65"/>
      <c r="EB17" s="65"/>
      <c r="EC17" s="65"/>
      <c r="ED17" s="65"/>
      <c r="EE17" s="65"/>
      <c r="EF17" s="65"/>
      <c r="EG17" s="65"/>
      <c r="EH17" s="65"/>
      <c r="EI17" s="65"/>
      <c r="EJ17" s="65"/>
      <c r="EK17" s="65"/>
      <c r="EL17" s="65"/>
      <c r="EM17" s="65"/>
      <c r="EN17" s="65"/>
      <c r="EO17" s="65"/>
      <c r="EP17" s="65"/>
      <c r="EQ17" s="65"/>
      <c r="ER17" s="65"/>
      <c r="ES17" s="65"/>
      <c r="ET17" s="65"/>
      <c r="EU17" s="65"/>
      <c r="EV17" s="65"/>
      <c r="EW17" s="65"/>
      <c r="EX17" s="65"/>
      <c r="EY17" s="65"/>
      <c r="EZ17" s="65"/>
      <c r="FA17" s="65"/>
      <c r="FB17" s="65"/>
      <c r="FC17" s="65"/>
      <c r="FD17" s="65"/>
      <c r="FE17" s="65"/>
      <c r="FF17" s="65"/>
      <c r="FG17" s="65"/>
      <c r="FH17" s="65"/>
      <c r="FI17" s="65"/>
      <c r="FJ17" s="65"/>
      <c r="FK17" s="65"/>
      <c r="FL17" s="65"/>
      <c r="FM17" s="65"/>
      <c r="FN17" s="65"/>
      <c r="FO17" s="65"/>
      <c r="FP17" s="65"/>
      <c r="FQ17" s="65"/>
      <c r="FR17" s="65"/>
      <c r="FS17" s="65"/>
      <c r="FT17" s="65"/>
      <c r="FU17" s="65"/>
      <c r="FV17" s="65"/>
      <c r="FW17" s="65"/>
      <c r="FX17" s="65"/>
      <c r="FY17" s="65"/>
      <c r="FZ17" s="65"/>
      <c r="GA17" s="65"/>
      <c r="GB17" s="65"/>
      <c r="GC17" s="65"/>
      <c r="GD17" s="65"/>
      <c r="GE17" s="65"/>
      <c r="GF17" s="65"/>
      <c r="GG17" s="65"/>
      <c r="GH17" s="65"/>
      <c r="GI17" s="65"/>
      <c r="GJ17" s="65"/>
      <c r="GK17" s="65"/>
      <c r="GL17" s="65"/>
      <c r="GM17" s="65"/>
      <c r="GN17" s="65"/>
      <c r="GO17" s="65"/>
      <c r="GP17" s="65"/>
      <c r="GQ17" s="65"/>
      <c r="GR17" s="65"/>
      <c r="GS17" s="65"/>
      <c r="GT17" s="65"/>
      <c r="GU17" s="65"/>
      <c r="GV17" s="65"/>
      <c r="GW17" s="65"/>
      <c r="GX17" s="65"/>
      <c r="GY17" s="65"/>
      <c r="GZ17" s="65"/>
      <c r="HA17" s="65"/>
      <c r="HB17" s="65"/>
      <c r="HC17" s="65"/>
      <c r="HD17" s="65"/>
      <c r="HE17" s="65"/>
      <c r="HF17" s="65"/>
      <c r="HG17" s="65"/>
      <c r="HH17" s="65"/>
      <c r="HI17" s="65"/>
      <c r="HJ17" s="65"/>
      <c r="HK17" s="65"/>
      <c r="HL17" s="65"/>
      <c r="HM17" s="65"/>
      <c r="HN17" s="65"/>
      <c r="HO17" s="65"/>
      <c r="HP17" s="65"/>
      <c r="HQ17" s="65"/>
      <c r="HR17" s="65"/>
      <c r="HS17" s="65"/>
      <c r="HT17" s="65"/>
      <c r="HU17" s="65"/>
      <c r="HV17" s="65"/>
      <c r="HW17" s="65"/>
      <c r="HX17" s="65"/>
      <c r="HY17" s="65"/>
      <c r="HZ17" s="65"/>
      <c r="IA17" s="65"/>
      <c r="IB17" s="65"/>
      <c r="IC17" s="65"/>
      <c r="ID17" s="65"/>
      <c r="IE17" s="65"/>
      <c r="IF17" s="65"/>
      <c r="IG17" s="65"/>
      <c r="IH17" s="65"/>
      <c r="II17" s="65"/>
      <c r="IJ17" s="65"/>
      <c r="IK17" s="65"/>
      <c r="IL17" s="65"/>
      <c r="IM17" s="65"/>
      <c r="IN17" s="65"/>
      <c r="IO17" s="65"/>
      <c r="IP17" s="65"/>
      <c r="IQ17" s="65"/>
      <c r="IR17" s="65"/>
      <c r="IS17" s="65"/>
      <c r="IT17" s="65"/>
      <c r="IU17" s="65"/>
      <c r="IV17" s="65"/>
      <c r="IW17" s="65"/>
      <c r="IX17" s="65"/>
      <c r="IY17" s="65"/>
      <c r="IZ17" s="65"/>
      <c r="JA17" s="65"/>
      <c r="JB17" s="65"/>
      <c r="JC17" s="65"/>
      <c r="JD17" s="65"/>
      <c r="JE17" s="65"/>
      <c r="JF17" s="65"/>
      <c r="JG17" s="65"/>
      <c r="JH17" s="65"/>
      <c r="JI17" s="65"/>
      <c r="JJ17" s="65"/>
      <c r="JK17" s="65"/>
      <c r="JL17" s="65"/>
      <c r="JM17" s="65"/>
      <c r="JN17" s="65"/>
      <c r="JO17" s="65"/>
      <c r="JP17" s="65"/>
      <c r="JQ17" s="65"/>
      <c r="JR17" s="65"/>
      <c r="JS17" s="65"/>
      <c r="JT17" s="65"/>
      <c r="JU17" s="65"/>
      <c r="JV17" s="65"/>
      <c r="JW17" s="65"/>
      <c r="JX17" s="65"/>
      <c r="JY17" s="65"/>
      <c r="JZ17" s="65"/>
      <c r="KA17" s="65"/>
      <c r="KB17" s="65"/>
      <c r="KC17" s="65"/>
      <c r="KD17" s="65"/>
      <c r="KE17" s="65"/>
      <c r="KF17" s="65"/>
      <c r="KG17" s="65"/>
      <c r="KH17" s="65"/>
      <c r="KI17" s="65"/>
      <c r="KJ17" s="65"/>
      <c r="KK17" s="65"/>
      <c r="KL17" s="65"/>
      <c r="KM17" s="65"/>
      <c r="KN17" s="65"/>
      <c r="KO17" s="65"/>
      <c r="KP17" s="65"/>
      <c r="KQ17" s="65"/>
      <c r="KR17" s="65"/>
      <c r="KS17" s="65"/>
      <c r="KT17" s="65"/>
      <c r="KU17" s="65"/>
      <c r="KV17" s="65"/>
      <c r="KW17" s="65"/>
      <c r="KX17" s="65"/>
      <c r="KY17" s="65"/>
      <c r="KZ17" s="65"/>
      <c r="LA17" s="65"/>
      <c r="LB17" s="65"/>
      <c r="LC17" s="65"/>
      <c r="LD17" s="65"/>
      <c r="LE17" s="65"/>
      <c r="LF17" s="65"/>
      <c r="LG17" s="65"/>
      <c r="LH17" s="65"/>
      <c r="LI17" s="65"/>
      <c r="LJ17" s="65"/>
      <c r="LK17" s="65"/>
      <c r="LL17" s="65"/>
      <c r="LM17" s="65"/>
      <c r="LN17" s="65"/>
      <c r="LO17" s="65"/>
      <c r="LP17" s="65"/>
      <c r="LQ17" s="65"/>
      <c r="LR17" s="65"/>
      <c r="LS17" s="65"/>
      <c r="LT17" s="65"/>
      <c r="LU17" s="65"/>
      <c r="LV17" s="65"/>
      <c r="LW17" s="65"/>
      <c r="LX17" s="65"/>
      <c r="LY17" s="65"/>
      <c r="LZ17" s="65"/>
      <c r="MA17" s="65"/>
      <c r="MB17" s="65"/>
      <c r="MC17" s="65"/>
      <c r="MD17" s="65"/>
      <c r="ME17" s="65"/>
      <c r="MF17" s="65"/>
      <c r="MG17" s="65"/>
      <c r="MH17" s="65"/>
      <c r="MI17" s="65"/>
      <c r="MJ17" s="65"/>
      <c r="MK17" s="65"/>
      <c r="ML17" s="65"/>
      <c r="MM17" s="65"/>
      <c r="MN17" s="65"/>
      <c r="MO17" s="65"/>
      <c r="MP17" s="65"/>
      <c r="MQ17" s="65"/>
      <c r="MR17" s="65"/>
      <c r="MS17" s="65"/>
      <c r="MT17" s="65"/>
      <c r="MU17" s="65"/>
      <c r="MV17" s="65"/>
      <c r="MW17" s="65"/>
      <c r="MX17" s="65"/>
      <c r="MY17" s="65"/>
      <c r="MZ17" s="65"/>
      <c r="NA17" s="65"/>
      <c r="NB17" s="65"/>
      <c r="NC17" s="65"/>
      <c r="ND17" s="65"/>
      <c r="NE17" s="65"/>
      <c r="NF17" s="65"/>
      <c r="NG17" s="65"/>
    </row>
    <row r="18">
      <c r="A18" s="65"/>
      <c r="B18" s="65"/>
      <c r="C18" s="207"/>
      <c r="D18" s="207"/>
      <c r="E18" s="109"/>
      <c r="F18" s="107" t="s">
        <v>1331</v>
      </c>
      <c r="G18" s="109"/>
      <c r="H18" s="107"/>
      <c r="I18" s="107" t="s">
        <v>1332</v>
      </c>
      <c r="J18" s="109" t="str">
        <f t="shared" si="3"/>
        <v>Khushi -Ramteke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  <c r="CE18" s="65"/>
      <c r="CF18" s="65"/>
      <c r="CG18" s="65"/>
      <c r="CH18" s="65"/>
      <c r="CI18" s="65"/>
      <c r="CJ18" s="65"/>
      <c r="CK18" s="65"/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65"/>
      <c r="DA18" s="65"/>
      <c r="DB18" s="65"/>
      <c r="DC18" s="65"/>
      <c r="DD18" s="65"/>
      <c r="DE18" s="65"/>
      <c r="DF18" s="65"/>
      <c r="DG18" s="65"/>
      <c r="DH18" s="65"/>
      <c r="DI18" s="65"/>
      <c r="DJ18" s="65"/>
      <c r="DK18" s="65"/>
      <c r="DL18" s="65"/>
      <c r="DM18" s="65"/>
      <c r="DN18" s="65"/>
      <c r="DO18" s="65"/>
      <c r="DP18" s="65"/>
      <c r="DQ18" s="65"/>
      <c r="DR18" s="65"/>
      <c r="DS18" s="65"/>
      <c r="DT18" s="65"/>
      <c r="DU18" s="65"/>
      <c r="DV18" s="65"/>
      <c r="DW18" s="65"/>
      <c r="DX18" s="65"/>
      <c r="DY18" s="65"/>
      <c r="DZ18" s="65"/>
      <c r="EA18" s="65"/>
      <c r="EB18" s="65"/>
      <c r="EC18" s="65"/>
      <c r="ED18" s="65"/>
      <c r="EE18" s="65"/>
      <c r="EF18" s="65"/>
      <c r="EG18" s="65"/>
      <c r="EH18" s="65"/>
      <c r="EI18" s="65"/>
      <c r="EJ18" s="65"/>
      <c r="EK18" s="65"/>
      <c r="EL18" s="65"/>
      <c r="EM18" s="65"/>
      <c r="EN18" s="65"/>
      <c r="EO18" s="65"/>
      <c r="EP18" s="65"/>
      <c r="EQ18" s="65"/>
      <c r="ER18" s="65"/>
      <c r="ES18" s="65"/>
      <c r="ET18" s="65"/>
      <c r="EU18" s="65"/>
      <c r="EV18" s="65"/>
      <c r="EW18" s="65"/>
      <c r="EX18" s="65"/>
      <c r="EY18" s="65"/>
      <c r="EZ18" s="65"/>
      <c r="FA18" s="65"/>
      <c r="FB18" s="65"/>
      <c r="FC18" s="65"/>
      <c r="FD18" s="65"/>
      <c r="FE18" s="65"/>
      <c r="FF18" s="65"/>
      <c r="FG18" s="65"/>
      <c r="FH18" s="65"/>
      <c r="FI18" s="65"/>
      <c r="FJ18" s="65"/>
      <c r="FK18" s="65"/>
      <c r="FL18" s="65"/>
      <c r="FM18" s="65"/>
      <c r="FN18" s="65"/>
      <c r="FO18" s="65"/>
      <c r="FP18" s="65"/>
      <c r="FQ18" s="65"/>
      <c r="FR18" s="65"/>
      <c r="FS18" s="65"/>
      <c r="FT18" s="65"/>
      <c r="FU18" s="65"/>
      <c r="FV18" s="65"/>
      <c r="FW18" s="65"/>
      <c r="FX18" s="65"/>
      <c r="FY18" s="65"/>
      <c r="FZ18" s="65"/>
      <c r="GA18" s="65"/>
      <c r="GB18" s="65"/>
      <c r="GC18" s="65"/>
      <c r="GD18" s="65"/>
      <c r="GE18" s="65"/>
      <c r="GF18" s="65"/>
      <c r="GG18" s="65"/>
      <c r="GH18" s="65"/>
      <c r="GI18" s="65"/>
      <c r="GJ18" s="65"/>
      <c r="GK18" s="65"/>
      <c r="GL18" s="65"/>
      <c r="GM18" s="65"/>
      <c r="GN18" s="65"/>
      <c r="GO18" s="65"/>
      <c r="GP18" s="65"/>
      <c r="GQ18" s="65"/>
      <c r="GR18" s="65"/>
      <c r="GS18" s="65"/>
      <c r="GT18" s="65"/>
      <c r="GU18" s="65"/>
      <c r="GV18" s="65"/>
      <c r="GW18" s="65"/>
      <c r="GX18" s="65"/>
      <c r="GY18" s="65"/>
      <c r="GZ18" s="65"/>
      <c r="HA18" s="65"/>
      <c r="HB18" s="65"/>
      <c r="HC18" s="65"/>
      <c r="HD18" s="65"/>
      <c r="HE18" s="65"/>
      <c r="HF18" s="65"/>
      <c r="HG18" s="65"/>
      <c r="HH18" s="65"/>
      <c r="HI18" s="65"/>
      <c r="HJ18" s="65"/>
      <c r="HK18" s="65"/>
      <c r="HL18" s="65"/>
      <c r="HM18" s="65"/>
      <c r="HN18" s="65"/>
      <c r="HO18" s="65"/>
      <c r="HP18" s="65"/>
      <c r="HQ18" s="65"/>
      <c r="HR18" s="65"/>
      <c r="HS18" s="65"/>
      <c r="HT18" s="65"/>
      <c r="HU18" s="65"/>
      <c r="HV18" s="65"/>
      <c r="HW18" s="65"/>
      <c r="HX18" s="65"/>
      <c r="HY18" s="65"/>
      <c r="HZ18" s="65"/>
      <c r="IA18" s="65"/>
      <c r="IB18" s="65"/>
      <c r="IC18" s="65"/>
      <c r="ID18" s="65"/>
      <c r="IE18" s="65"/>
      <c r="IF18" s="65"/>
      <c r="IG18" s="65"/>
      <c r="IH18" s="65"/>
      <c r="II18" s="65"/>
      <c r="IJ18" s="65"/>
      <c r="IK18" s="65"/>
      <c r="IL18" s="65"/>
      <c r="IM18" s="65"/>
      <c r="IN18" s="65"/>
      <c r="IO18" s="65"/>
      <c r="IP18" s="65"/>
      <c r="IQ18" s="65"/>
      <c r="IR18" s="65"/>
      <c r="IS18" s="65"/>
      <c r="IT18" s="65"/>
      <c r="IU18" s="65"/>
      <c r="IV18" s="65"/>
      <c r="IW18" s="65"/>
      <c r="IX18" s="65"/>
      <c r="IY18" s="65"/>
      <c r="IZ18" s="65"/>
      <c r="JA18" s="65"/>
      <c r="JB18" s="65"/>
      <c r="JC18" s="65"/>
      <c r="JD18" s="65"/>
      <c r="JE18" s="65"/>
      <c r="JF18" s="65"/>
      <c r="JG18" s="65"/>
      <c r="JH18" s="65"/>
      <c r="JI18" s="65"/>
      <c r="JJ18" s="65"/>
      <c r="JK18" s="65"/>
      <c r="JL18" s="65"/>
      <c r="JM18" s="65"/>
      <c r="JN18" s="65"/>
      <c r="JO18" s="65"/>
      <c r="JP18" s="65"/>
      <c r="JQ18" s="65"/>
      <c r="JR18" s="65"/>
      <c r="JS18" s="65"/>
      <c r="JT18" s="65"/>
      <c r="JU18" s="65"/>
      <c r="JV18" s="65"/>
      <c r="JW18" s="65"/>
      <c r="JX18" s="65"/>
      <c r="JY18" s="65"/>
      <c r="JZ18" s="65"/>
      <c r="KA18" s="65"/>
      <c r="KB18" s="65"/>
      <c r="KC18" s="65"/>
      <c r="KD18" s="65"/>
      <c r="KE18" s="65"/>
      <c r="KF18" s="65"/>
      <c r="KG18" s="65"/>
      <c r="KH18" s="65"/>
      <c r="KI18" s="65"/>
      <c r="KJ18" s="65"/>
      <c r="KK18" s="65"/>
      <c r="KL18" s="65"/>
      <c r="KM18" s="65"/>
      <c r="KN18" s="65"/>
      <c r="KO18" s="65"/>
      <c r="KP18" s="65"/>
      <c r="KQ18" s="65"/>
      <c r="KR18" s="65"/>
      <c r="KS18" s="65"/>
      <c r="KT18" s="65"/>
      <c r="KU18" s="65"/>
      <c r="KV18" s="65"/>
      <c r="KW18" s="65"/>
      <c r="KX18" s="65"/>
      <c r="KY18" s="65"/>
      <c r="KZ18" s="65"/>
      <c r="LA18" s="65"/>
      <c r="LB18" s="65"/>
      <c r="LC18" s="65"/>
      <c r="LD18" s="65"/>
      <c r="LE18" s="65"/>
      <c r="LF18" s="65"/>
      <c r="LG18" s="65"/>
      <c r="LH18" s="65"/>
      <c r="LI18" s="65"/>
      <c r="LJ18" s="65"/>
      <c r="LK18" s="65"/>
      <c r="LL18" s="65"/>
      <c r="LM18" s="65"/>
      <c r="LN18" s="65"/>
      <c r="LO18" s="65"/>
      <c r="LP18" s="65"/>
      <c r="LQ18" s="65"/>
      <c r="LR18" s="65"/>
      <c r="LS18" s="65"/>
      <c r="LT18" s="65"/>
      <c r="LU18" s="65"/>
      <c r="LV18" s="65"/>
      <c r="LW18" s="65"/>
      <c r="LX18" s="65"/>
      <c r="LY18" s="65"/>
      <c r="LZ18" s="65"/>
      <c r="MA18" s="65"/>
      <c r="MB18" s="65"/>
      <c r="MC18" s="65"/>
      <c r="MD18" s="65"/>
      <c r="ME18" s="65"/>
      <c r="MF18" s="65"/>
      <c r="MG18" s="65"/>
      <c r="MH18" s="65"/>
      <c r="MI18" s="65"/>
      <c r="MJ18" s="65"/>
      <c r="MK18" s="65"/>
      <c r="ML18" s="65"/>
      <c r="MM18" s="65"/>
      <c r="MN18" s="65"/>
      <c r="MO18" s="65"/>
      <c r="MP18" s="65"/>
      <c r="MQ18" s="65"/>
      <c r="MR18" s="65"/>
      <c r="MS18" s="65"/>
      <c r="MT18" s="65"/>
      <c r="MU18" s="65"/>
      <c r="MV18" s="65"/>
      <c r="MW18" s="65"/>
      <c r="MX18" s="65"/>
      <c r="MY18" s="65"/>
      <c r="MZ18" s="65"/>
      <c r="NA18" s="65"/>
      <c r="NB18" s="65"/>
      <c r="NC18" s="65"/>
      <c r="ND18" s="65"/>
      <c r="NE18" s="65"/>
      <c r="NF18" s="65"/>
      <c r="NG18" s="65"/>
    </row>
    <row r="19">
      <c r="A19" s="65"/>
      <c r="B19" s="65"/>
      <c r="C19" s="207"/>
      <c r="D19" s="207"/>
      <c r="E19" s="109"/>
      <c r="F19" s="107" t="s">
        <v>1333</v>
      </c>
      <c r="G19" s="109"/>
      <c r="H19" s="109"/>
      <c r="I19" s="107" t="s">
        <v>1334</v>
      </c>
      <c r="J19" s="109" t="str">
        <f t="shared" si="3"/>
        <v>Savlon Khan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5"/>
      <c r="CD19" s="65"/>
      <c r="CE19" s="65"/>
      <c r="CF19" s="65"/>
      <c r="CG19" s="65"/>
      <c r="CH19" s="65"/>
      <c r="CI19" s="65"/>
      <c r="CJ19" s="65"/>
      <c r="CK19" s="65"/>
      <c r="CL19" s="65"/>
      <c r="CM19" s="65"/>
      <c r="CN19" s="65"/>
      <c r="CO19" s="65"/>
      <c r="CP19" s="65"/>
      <c r="CQ19" s="65"/>
      <c r="CR19" s="65"/>
      <c r="CS19" s="65"/>
      <c r="CT19" s="65"/>
      <c r="CU19" s="65"/>
      <c r="CV19" s="65"/>
      <c r="CW19" s="65"/>
      <c r="CX19" s="65"/>
      <c r="CY19" s="65"/>
      <c r="CZ19" s="65"/>
      <c r="DA19" s="65"/>
      <c r="DB19" s="65"/>
      <c r="DC19" s="65"/>
      <c r="DD19" s="65"/>
      <c r="DE19" s="65"/>
      <c r="DF19" s="65"/>
      <c r="DG19" s="65"/>
      <c r="DH19" s="65"/>
      <c r="DI19" s="65"/>
      <c r="DJ19" s="65"/>
      <c r="DK19" s="65"/>
      <c r="DL19" s="65"/>
      <c r="DM19" s="65"/>
      <c r="DN19" s="65"/>
      <c r="DO19" s="65"/>
      <c r="DP19" s="65"/>
      <c r="DQ19" s="65"/>
      <c r="DR19" s="65"/>
      <c r="DS19" s="65"/>
      <c r="DT19" s="65"/>
      <c r="DU19" s="65"/>
      <c r="DV19" s="65"/>
      <c r="DW19" s="65"/>
      <c r="DX19" s="65"/>
      <c r="DY19" s="65"/>
      <c r="DZ19" s="65"/>
      <c r="EA19" s="65"/>
      <c r="EB19" s="65"/>
      <c r="EC19" s="65"/>
      <c r="ED19" s="65"/>
      <c r="EE19" s="65"/>
      <c r="EF19" s="65"/>
      <c r="EG19" s="65"/>
      <c r="EH19" s="65"/>
      <c r="EI19" s="65"/>
      <c r="EJ19" s="65"/>
      <c r="EK19" s="65"/>
      <c r="EL19" s="65"/>
      <c r="EM19" s="65"/>
      <c r="EN19" s="65"/>
      <c r="EO19" s="65"/>
      <c r="EP19" s="65"/>
      <c r="EQ19" s="65"/>
      <c r="ER19" s="65"/>
      <c r="ES19" s="65"/>
      <c r="ET19" s="65"/>
      <c r="EU19" s="65"/>
      <c r="EV19" s="65"/>
      <c r="EW19" s="65"/>
      <c r="EX19" s="65"/>
      <c r="EY19" s="65"/>
      <c r="EZ19" s="65"/>
      <c r="FA19" s="65"/>
      <c r="FB19" s="65"/>
      <c r="FC19" s="65"/>
      <c r="FD19" s="65"/>
      <c r="FE19" s="65"/>
      <c r="FF19" s="65"/>
      <c r="FG19" s="65"/>
      <c r="FH19" s="65"/>
      <c r="FI19" s="65"/>
      <c r="FJ19" s="65"/>
      <c r="FK19" s="65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65"/>
      <c r="GB19" s="65"/>
      <c r="GC19" s="65"/>
      <c r="GD19" s="65"/>
      <c r="GE19" s="65"/>
      <c r="GF19" s="65"/>
      <c r="GG19" s="65"/>
      <c r="GH19" s="65"/>
      <c r="GI19" s="65"/>
      <c r="GJ19" s="65"/>
      <c r="GK19" s="65"/>
      <c r="GL19" s="65"/>
      <c r="GM19" s="65"/>
      <c r="GN19" s="65"/>
      <c r="GO19" s="65"/>
      <c r="GP19" s="65"/>
      <c r="GQ19" s="65"/>
      <c r="GR19" s="65"/>
      <c r="GS19" s="65"/>
      <c r="GT19" s="65"/>
      <c r="GU19" s="65"/>
      <c r="GV19" s="65"/>
      <c r="GW19" s="65"/>
      <c r="GX19" s="65"/>
      <c r="GY19" s="65"/>
      <c r="GZ19" s="65"/>
      <c r="HA19" s="65"/>
      <c r="HB19" s="65"/>
      <c r="HC19" s="65"/>
      <c r="HD19" s="65"/>
      <c r="HE19" s="65"/>
      <c r="HF19" s="65"/>
      <c r="HG19" s="65"/>
      <c r="HH19" s="65"/>
      <c r="HI19" s="65"/>
      <c r="HJ19" s="65"/>
      <c r="HK19" s="65"/>
      <c r="HL19" s="65"/>
      <c r="HM19" s="65"/>
      <c r="HN19" s="65"/>
      <c r="HO19" s="65"/>
      <c r="HP19" s="65"/>
      <c r="HQ19" s="65"/>
      <c r="HR19" s="65"/>
      <c r="HS19" s="65"/>
      <c r="HT19" s="65"/>
      <c r="HU19" s="65"/>
      <c r="HV19" s="65"/>
      <c r="HW19" s="65"/>
      <c r="HX19" s="65"/>
      <c r="HY19" s="65"/>
      <c r="HZ19" s="65"/>
      <c r="IA19" s="65"/>
      <c r="IB19" s="65"/>
      <c r="IC19" s="65"/>
      <c r="ID19" s="65"/>
      <c r="IE19" s="65"/>
      <c r="IF19" s="65"/>
      <c r="IG19" s="65"/>
      <c r="IH19" s="65"/>
      <c r="II19" s="65"/>
      <c r="IJ19" s="65"/>
      <c r="IK19" s="65"/>
      <c r="IL19" s="65"/>
      <c r="IM19" s="65"/>
      <c r="IN19" s="65"/>
      <c r="IO19" s="65"/>
      <c r="IP19" s="65"/>
      <c r="IQ19" s="65"/>
      <c r="IR19" s="65"/>
      <c r="IS19" s="65"/>
      <c r="IT19" s="65"/>
      <c r="IU19" s="65"/>
      <c r="IV19" s="65"/>
      <c r="IW19" s="65"/>
      <c r="IX19" s="65"/>
      <c r="IY19" s="65"/>
      <c r="IZ19" s="65"/>
      <c r="JA19" s="65"/>
      <c r="JB19" s="65"/>
      <c r="JC19" s="65"/>
      <c r="JD19" s="65"/>
      <c r="JE19" s="65"/>
      <c r="JF19" s="65"/>
      <c r="JG19" s="65"/>
      <c r="JH19" s="65"/>
      <c r="JI19" s="65"/>
      <c r="JJ19" s="65"/>
      <c r="JK19" s="65"/>
      <c r="JL19" s="65"/>
      <c r="JM19" s="65"/>
      <c r="JN19" s="65"/>
      <c r="JO19" s="65"/>
      <c r="JP19" s="65"/>
      <c r="JQ19" s="65"/>
      <c r="JR19" s="65"/>
      <c r="JS19" s="65"/>
      <c r="JT19" s="65"/>
      <c r="JU19" s="65"/>
      <c r="JV19" s="65"/>
      <c r="JW19" s="65"/>
      <c r="JX19" s="65"/>
      <c r="JY19" s="65"/>
      <c r="JZ19" s="65"/>
      <c r="KA19" s="65"/>
      <c r="KB19" s="65"/>
      <c r="KC19" s="65"/>
      <c r="KD19" s="65"/>
      <c r="KE19" s="65"/>
      <c r="KF19" s="65"/>
      <c r="KG19" s="65"/>
      <c r="KH19" s="65"/>
      <c r="KI19" s="65"/>
      <c r="KJ19" s="65"/>
      <c r="KK19" s="65"/>
      <c r="KL19" s="65"/>
      <c r="KM19" s="65"/>
      <c r="KN19" s="65"/>
      <c r="KO19" s="65"/>
      <c r="KP19" s="65"/>
      <c r="KQ19" s="65"/>
      <c r="KR19" s="65"/>
      <c r="KS19" s="65"/>
      <c r="KT19" s="65"/>
      <c r="KU19" s="65"/>
      <c r="KV19" s="65"/>
      <c r="KW19" s="65"/>
      <c r="KX19" s="65"/>
      <c r="KY19" s="65"/>
      <c r="KZ19" s="65"/>
      <c r="LA19" s="65"/>
      <c r="LB19" s="65"/>
      <c r="LC19" s="65"/>
      <c r="LD19" s="65"/>
      <c r="LE19" s="65"/>
      <c r="LF19" s="65"/>
      <c r="LG19" s="65"/>
      <c r="LH19" s="65"/>
      <c r="LI19" s="65"/>
      <c r="LJ19" s="65"/>
      <c r="LK19" s="65"/>
      <c r="LL19" s="65"/>
      <c r="LM19" s="65"/>
      <c r="LN19" s="65"/>
      <c r="LO19" s="65"/>
      <c r="LP19" s="65"/>
      <c r="LQ19" s="65"/>
      <c r="LR19" s="65"/>
      <c r="LS19" s="65"/>
      <c r="LT19" s="65"/>
      <c r="LU19" s="65"/>
      <c r="LV19" s="65"/>
      <c r="LW19" s="65"/>
      <c r="LX19" s="65"/>
      <c r="LY19" s="65"/>
      <c r="LZ19" s="65"/>
      <c r="MA19" s="65"/>
      <c r="MB19" s="65"/>
      <c r="MC19" s="65"/>
      <c r="MD19" s="65"/>
      <c r="ME19" s="65"/>
      <c r="MF19" s="65"/>
      <c r="MG19" s="65"/>
      <c r="MH19" s="65"/>
      <c r="MI19" s="65"/>
      <c r="MJ19" s="65"/>
      <c r="MK19" s="65"/>
      <c r="ML19" s="65"/>
      <c r="MM19" s="65"/>
      <c r="MN19" s="65"/>
      <c r="MO19" s="65"/>
      <c r="MP19" s="65"/>
      <c r="MQ19" s="65"/>
      <c r="MR19" s="65"/>
      <c r="MS19" s="65"/>
      <c r="MT19" s="65"/>
      <c r="MU19" s="65"/>
      <c r="MV19" s="65"/>
      <c r="MW19" s="65"/>
      <c r="MX19" s="65"/>
      <c r="MY19" s="65"/>
      <c r="MZ19" s="65"/>
      <c r="NA19" s="65"/>
      <c r="NB19" s="65"/>
      <c r="NC19" s="65"/>
      <c r="ND19" s="65"/>
      <c r="NE19" s="65"/>
      <c r="NF19" s="65"/>
      <c r="NG19" s="65"/>
    </row>
    <row r="20">
      <c r="A20" s="65"/>
      <c r="B20" s="65"/>
      <c r="C20" s="207"/>
      <c r="D20" s="207"/>
      <c r="E20" s="109"/>
      <c r="F20" s="107" t="s">
        <v>1335</v>
      </c>
      <c r="G20" s="109"/>
      <c r="H20" s="109"/>
      <c r="I20" s="107" t="s">
        <v>1336</v>
      </c>
      <c r="J20" s="109" t="str">
        <f t="shared" si="3"/>
        <v>Sam Ramteke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5"/>
      <c r="CD20" s="65"/>
      <c r="CE20" s="65"/>
      <c r="CF20" s="65"/>
      <c r="CG20" s="65"/>
      <c r="CH20" s="65"/>
      <c r="CI20" s="65"/>
      <c r="CJ20" s="65"/>
      <c r="CK20" s="65"/>
      <c r="CL20" s="65"/>
      <c r="CM20" s="65"/>
      <c r="CN20" s="65"/>
      <c r="CO20" s="65"/>
      <c r="CP20" s="65"/>
      <c r="CQ20" s="65"/>
      <c r="CR20" s="65"/>
      <c r="CS20" s="65"/>
      <c r="CT20" s="65"/>
      <c r="CU20" s="65"/>
      <c r="CV20" s="65"/>
      <c r="CW20" s="65"/>
      <c r="CX20" s="65"/>
      <c r="CY20" s="65"/>
      <c r="CZ20" s="65"/>
      <c r="DA20" s="65"/>
      <c r="DB20" s="65"/>
      <c r="DC20" s="65"/>
      <c r="DD20" s="65"/>
      <c r="DE20" s="65"/>
      <c r="DF20" s="65"/>
      <c r="DG20" s="65"/>
      <c r="DH20" s="65"/>
      <c r="DI20" s="65"/>
      <c r="DJ20" s="65"/>
      <c r="DK20" s="65"/>
      <c r="DL20" s="65"/>
      <c r="DM20" s="65"/>
      <c r="DN20" s="65"/>
      <c r="DO20" s="65"/>
      <c r="DP20" s="65"/>
      <c r="DQ20" s="65"/>
      <c r="DR20" s="65"/>
      <c r="DS20" s="65"/>
      <c r="DT20" s="65"/>
      <c r="DU20" s="65"/>
      <c r="DV20" s="65"/>
      <c r="DW20" s="65"/>
      <c r="DX20" s="65"/>
      <c r="DY20" s="65"/>
      <c r="DZ20" s="65"/>
      <c r="EA20" s="65"/>
      <c r="EB20" s="65"/>
      <c r="EC20" s="65"/>
      <c r="ED20" s="65"/>
      <c r="EE20" s="65"/>
      <c r="EF20" s="65"/>
      <c r="EG20" s="65"/>
      <c r="EH20" s="65"/>
      <c r="EI20" s="65"/>
      <c r="EJ20" s="65"/>
      <c r="EK20" s="65"/>
      <c r="EL20" s="65"/>
      <c r="EM20" s="65"/>
      <c r="EN20" s="65"/>
      <c r="EO20" s="65"/>
      <c r="EP20" s="65"/>
      <c r="EQ20" s="65"/>
      <c r="ER20" s="65"/>
      <c r="ES20" s="65"/>
      <c r="ET20" s="65"/>
      <c r="EU20" s="65"/>
      <c r="EV20" s="65"/>
      <c r="EW20" s="65"/>
      <c r="EX20" s="65"/>
      <c r="EY20" s="65"/>
      <c r="EZ20" s="65"/>
      <c r="FA20" s="65"/>
      <c r="FB20" s="65"/>
      <c r="FC20" s="65"/>
      <c r="FD20" s="65"/>
      <c r="FE20" s="65"/>
      <c r="FF20" s="65"/>
      <c r="FG20" s="65"/>
      <c r="FH20" s="65"/>
      <c r="FI20" s="65"/>
      <c r="FJ20" s="65"/>
      <c r="FK20" s="65"/>
      <c r="FL20" s="65"/>
      <c r="FM20" s="65"/>
      <c r="FN20" s="65"/>
      <c r="FO20" s="65"/>
      <c r="FP20" s="65"/>
      <c r="FQ20" s="65"/>
      <c r="FR20" s="65"/>
      <c r="FS20" s="65"/>
      <c r="FT20" s="65"/>
      <c r="FU20" s="65"/>
      <c r="FV20" s="65"/>
      <c r="FW20" s="65"/>
      <c r="FX20" s="65"/>
      <c r="FY20" s="65"/>
      <c r="FZ20" s="65"/>
      <c r="GA20" s="65"/>
      <c r="GB20" s="65"/>
      <c r="GC20" s="65"/>
      <c r="GD20" s="65"/>
      <c r="GE20" s="65"/>
      <c r="GF20" s="65"/>
      <c r="GG20" s="65"/>
      <c r="GH20" s="65"/>
      <c r="GI20" s="65"/>
      <c r="GJ20" s="65"/>
      <c r="GK20" s="65"/>
      <c r="GL20" s="65"/>
      <c r="GM20" s="65"/>
      <c r="GN20" s="65"/>
      <c r="GO20" s="65"/>
      <c r="GP20" s="65"/>
      <c r="GQ20" s="65"/>
      <c r="GR20" s="65"/>
      <c r="GS20" s="65"/>
      <c r="GT20" s="65"/>
      <c r="GU20" s="65"/>
      <c r="GV20" s="65"/>
      <c r="GW20" s="65"/>
      <c r="GX20" s="65"/>
      <c r="GY20" s="65"/>
      <c r="GZ20" s="65"/>
      <c r="HA20" s="65"/>
      <c r="HB20" s="65"/>
      <c r="HC20" s="65"/>
      <c r="HD20" s="65"/>
      <c r="HE20" s="65"/>
      <c r="HF20" s="65"/>
      <c r="HG20" s="65"/>
      <c r="HH20" s="65"/>
      <c r="HI20" s="65"/>
      <c r="HJ20" s="65"/>
      <c r="HK20" s="65"/>
      <c r="HL20" s="65"/>
      <c r="HM20" s="65"/>
      <c r="HN20" s="65"/>
      <c r="HO20" s="65"/>
      <c r="HP20" s="65"/>
      <c r="HQ20" s="65"/>
      <c r="HR20" s="65"/>
      <c r="HS20" s="65"/>
      <c r="HT20" s="65"/>
      <c r="HU20" s="65"/>
      <c r="HV20" s="65"/>
      <c r="HW20" s="65"/>
      <c r="HX20" s="65"/>
      <c r="HY20" s="65"/>
      <c r="HZ20" s="65"/>
      <c r="IA20" s="65"/>
      <c r="IB20" s="65"/>
      <c r="IC20" s="65"/>
      <c r="ID20" s="65"/>
      <c r="IE20" s="65"/>
      <c r="IF20" s="65"/>
      <c r="IG20" s="65"/>
      <c r="IH20" s="65"/>
      <c r="II20" s="65"/>
      <c r="IJ20" s="65"/>
      <c r="IK20" s="65"/>
      <c r="IL20" s="65"/>
      <c r="IM20" s="65"/>
      <c r="IN20" s="65"/>
      <c r="IO20" s="65"/>
      <c r="IP20" s="65"/>
      <c r="IQ20" s="65"/>
      <c r="IR20" s="65"/>
      <c r="IS20" s="65"/>
      <c r="IT20" s="65"/>
      <c r="IU20" s="65"/>
      <c r="IV20" s="65"/>
      <c r="IW20" s="65"/>
      <c r="IX20" s="65"/>
      <c r="IY20" s="65"/>
      <c r="IZ20" s="65"/>
      <c r="JA20" s="65"/>
      <c r="JB20" s="65"/>
      <c r="JC20" s="65"/>
      <c r="JD20" s="65"/>
      <c r="JE20" s="65"/>
      <c r="JF20" s="65"/>
      <c r="JG20" s="65"/>
      <c r="JH20" s="65"/>
      <c r="JI20" s="65"/>
      <c r="JJ20" s="65"/>
      <c r="JK20" s="65"/>
      <c r="JL20" s="65"/>
      <c r="JM20" s="65"/>
      <c r="JN20" s="65"/>
      <c r="JO20" s="65"/>
      <c r="JP20" s="65"/>
      <c r="JQ20" s="65"/>
      <c r="JR20" s="65"/>
      <c r="JS20" s="65"/>
      <c r="JT20" s="65"/>
      <c r="JU20" s="65"/>
      <c r="JV20" s="65"/>
      <c r="JW20" s="65"/>
      <c r="JX20" s="65"/>
      <c r="JY20" s="65"/>
      <c r="JZ20" s="65"/>
      <c r="KA20" s="65"/>
      <c r="KB20" s="65"/>
      <c r="KC20" s="65"/>
      <c r="KD20" s="65"/>
      <c r="KE20" s="65"/>
      <c r="KF20" s="65"/>
      <c r="KG20" s="65"/>
      <c r="KH20" s="65"/>
      <c r="KI20" s="65"/>
      <c r="KJ20" s="65"/>
      <c r="KK20" s="65"/>
      <c r="KL20" s="65"/>
      <c r="KM20" s="65"/>
      <c r="KN20" s="65"/>
      <c r="KO20" s="65"/>
      <c r="KP20" s="65"/>
      <c r="KQ20" s="65"/>
      <c r="KR20" s="65"/>
      <c r="KS20" s="65"/>
      <c r="KT20" s="65"/>
      <c r="KU20" s="65"/>
      <c r="KV20" s="65"/>
      <c r="KW20" s="65"/>
      <c r="KX20" s="65"/>
      <c r="KY20" s="65"/>
      <c r="KZ20" s="65"/>
      <c r="LA20" s="65"/>
      <c r="LB20" s="65"/>
      <c r="LC20" s="65"/>
      <c r="LD20" s="65"/>
      <c r="LE20" s="65"/>
      <c r="LF20" s="65"/>
      <c r="LG20" s="65"/>
      <c r="LH20" s="65"/>
      <c r="LI20" s="65"/>
      <c r="LJ20" s="65"/>
      <c r="LK20" s="65"/>
      <c r="LL20" s="65"/>
      <c r="LM20" s="65"/>
      <c r="LN20" s="65"/>
      <c r="LO20" s="65"/>
      <c r="LP20" s="65"/>
      <c r="LQ20" s="65"/>
      <c r="LR20" s="65"/>
      <c r="LS20" s="65"/>
      <c r="LT20" s="65"/>
      <c r="LU20" s="65"/>
      <c r="LV20" s="65"/>
      <c r="LW20" s="65"/>
      <c r="LX20" s="65"/>
      <c r="LY20" s="65"/>
      <c r="LZ20" s="65"/>
      <c r="MA20" s="65"/>
      <c r="MB20" s="65"/>
      <c r="MC20" s="65"/>
      <c r="MD20" s="65"/>
      <c r="ME20" s="65"/>
      <c r="MF20" s="65"/>
      <c r="MG20" s="65"/>
      <c r="MH20" s="65"/>
      <c r="MI20" s="65"/>
      <c r="MJ20" s="65"/>
      <c r="MK20" s="65"/>
      <c r="ML20" s="65"/>
      <c r="MM20" s="65"/>
      <c r="MN20" s="65"/>
      <c r="MO20" s="65"/>
      <c r="MP20" s="65"/>
      <c r="MQ20" s="65"/>
      <c r="MR20" s="65"/>
      <c r="MS20" s="65"/>
      <c r="MT20" s="65"/>
      <c r="MU20" s="65"/>
      <c r="MV20" s="65"/>
      <c r="MW20" s="65"/>
      <c r="MX20" s="65"/>
      <c r="MY20" s="65"/>
      <c r="MZ20" s="65"/>
      <c r="NA20" s="65"/>
      <c r="NB20" s="65"/>
      <c r="NC20" s="65"/>
      <c r="ND20" s="65"/>
      <c r="NE20" s="65"/>
      <c r="NF20" s="65"/>
      <c r="NG20" s="65"/>
    </row>
    <row r="21">
      <c r="A21" s="65"/>
      <c r="B21" s="65"/>
      <c r="C21" s="201"/>
      <c r="D21" s="201"/>
      <c r="E21" s="109"/>
      <c r="F21" s="107" t="s">
        <v>1337</v>
      </c>
      <c r="G21" s="109"/>
      <c r="H21" s="109"/>
      <c r="I21" s="107" t="s">
        <v>1336</v>
      </c>
      <c r="J21" s="109" t="str">
        <f t="shared" si="3"/>
        <v>Amresh Puri</v>
      </c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5"/>
      <c r="CD21" s="65"/>
      <c r="CE21" s="65"/>
      <c r="CF21" s="65"/>
      <c r="CG21" s="65"/>
      <c r="CH21" s="65"/>
      <c r="CI21" s="65"/>
      <c r="CJ21" s="65"/>
      <c r="CK21" s="65"/>
      <c r="CL21" s="65"/>
      <c r="CM21" s="65"/>
      <c r="CN21" s="65"/>
      <c r="CO21" s="65"/>
      <c r="CP21" s="65"/>
      <c r="CQ21" s="65"/>
      <c r="CR21" s="65"/>
      <c r="CS21" s="65"/>
      <c r="CT21" s="65"/>
      <c r="CU21" s="65"/>
      <c r="CV21" s="65"/>
      <c r="CW21" s="65"/>
      <c r="CX21" s="65"/>
      <c r="CY21" s="65"/>
      <c r="CZ21" s="65"/>
      <c r="DA21" s="65"/>
      <c r="DB21" s="65"/>
      <c r="DC21" s="65"/>
      <c r="DD21" s="65"/>
      <c r="DE21" s="65"/>
      <c r="DF21" s="65"/>
      <c r="DG21" s="65"/>
      <c r="DH21" s="65"/>
      <c r="DI21" s="65"/>
      <c r="DJ21" s="65"/>
      <c r="DK21" s="65"/>
      <c r="DL21" s="65"/>
      <c r="DM21" s="65"/>
      <c r="DN21" s="65"/>
      <c r="DO21" s="65"/>
      <c r="DP21" s="65"/>
      <c r="DQ21" s="65"/>
      <c r="DR21" s="65"/>
      <c r="DS21" s="65"/>
      <c r="DT21" s="65"/>
      <c r="DU21" s="65"/>
      <c r="DV21" s="65"/>
      <c r="DW21" s="65"/>
      <c r="DX21" s="65"/>
      <c r="DY21" s="65"/>
      <c r="DZ21" s="65"/>
      <c r="EA21" s="65"/>
      <c r="EB21" s="65"/>
      <c r="EC21" s="65"/>
      <c r="ED21" s="65"/>
      <c r="EE21" s="65"/>
      <c r="EF21" s="65"/>
      <c r="EG21" s="65"/>
      <c r="EH21" s="65"/>
      <c r="EI21" s="65"/>
      <c r="EJ21" s="65"/>
      <c r="EK21" s="65"/>
      <c r="EL21" s="65"/>
      <c r="EM21" s="65"/>
      <c r="EN21" s="65"/>
      <c r="EO21" s="65"/>
      <c r="EP21" s="65"/>
      <c r="EQ21" s="65"/>
      <c r="ER21" s="65"/>
      <c r="ES21" s="65"/>
      <c r="ET21" s="65"/>
      <c r="EU21" s="65"/>
      <c r="EV21" s="65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5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5"/>
      <c r="GM21" s="65"/>
      <c r="GN21" s="65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65"/>
      <c r="HF21" s="65"/>
      <c r="HG21" s="65"/>
      <c r="HH21" s="65"/>
      <c r="HI21" s="65"/>
      <c r="HJ21" s="65"/>
      <c r="HK21" s="65"/>
      <c r="HL21" s="65"/>
      <c r="HM21" s="65"/>
      <c r="HN21" s="65"/>
      <c r="HO21" s="65"/>
      <c r="HP21" s="65"/>
      <c r="HQ21" s="65"/>
      <c r="HR21" s="65"/>
      <c r="HS21" s="65"/>
      <c r="HT21" s="65"/>
      <c r="HU21" s="65"/>
      <c r="HV21" s="65"/>
      <c r="HW21" s="65"/>
      <c r="HX21" s="65"/>
      <c r="HY21" s="65"/>
      <c r="HZ21" s="65"/>
      <c r="IA21" s="65"/>
      <c r="IB21" s="65"/>
      <c r="IC21" s="65"/>
      <c r="ID21" s="65"/>
      <c r="IE21" s="65"/>
      <c r="IF21" s="65"/>
      <c r="IG21" s="65"/>
      <c r="IH21" s="65"/>
      <c r="II21" s="65"/>
      <c r="IJ21" s="65"/>
      <c r="IK21" s="65"/>
      <c r="IL21" s="65"/>
      <c r="IM21" s="65"/>
      <c r="IN21" s="65"/>
      <c r="IO21" s="65"/>
      <c r="IP21" s="65"/>
      <c r="IQ21" s="65"/>
      <c r="IR21" s="65"/>
      <c r="IS21" s="65"/>
      <c r="IT21" s="65"/>
      <c r="IU21" s="65"/>
      <c r="IV21" s="65"/>
      <c r="IW21" s="65"/>
      <c r="IX21" s="65"/>
      <c r="IY21" s="65"/>
      <c r="IZ21" s="65"/>
      <c r="JA21" s="65"/>
      <c r="JB21" s="65"/>
      <c r="JC21" s="65"/>
      <c r="JD21" s="65"/>
      <c r="JE21" s="65"/>
      <c r="JF21" s="65"/>
      <c r="JG21" s="65"/>
      <c r="JH21" s="65"/>
      <c r="JI21" s="65"/>
      <c r="JJ21" s="65"/>
      <c r="JK21" s="65"/>
      <c r="JL21" s="65"/>
      <c r="JM21" s="65"/>
      <c r="JN21" s="65"/>
      <c r="JO21" s="65"/>
      <c r="JP21" s="65"/>
      <c r="JQ21" s="65"/>
      <c r="JR21" s="65"/>
      <c r="JS21" s="65"/>
      <c r="JT21" s="65"/>
      <c r="JU21" s="65"/>
      <c r="JV21" s="65"/>
      <c r="JW21" s="65"/>
      <c r="JX21" s="65"/>
      <c r="JY21" s="65"/>
      <c r="JZ21" s="65"/>
      <c r="KA21" s="65"/>
      <c r="KB21" s="65"/>
      <c r="KC21" s="65"/>
      <c r="KD21" s="65"/>
      <c r="KE21" s="65"/>
      <c r="KF21" s="65"/>
      <c r="KG21" s="65"/>
      <c r="KH21" s="65"/>
      <c r="KI21" s="65"/>
      <c r="KJ21" s="65"/>
      <c r="KK21" s="65"/>
      <c r="KL21" s="65"/>
      <c r="KM21" s="65"/>
      <c r="KN21" s="65"/>
      <c r="KO21" s="65"/>
      <c r="KP21" s="65"/>
      <c r="KQ21" s="65"/>
      <c r="KR21" s="65"/>
      <c r="KS21" s="65"/>
      <c r="KT21" s="65"/>
      <c r="KU21" s="65"/>
      <c r="KV21" s="65"/>
      <c r="KW21" s="65"/>
      <c r="KX21" s="65"/>
      <c r="KY21" s="65"/>
      <c r="KZ21" s="65"/>
      <c r="LA21" s="65"/>
      <c r="LB21" s="65"/>
      <c r="LC21" s="65"/>
      <c r="LD21" s="65"/>
      <c r="LE21" s="65"/>
      <c r="LF21" s="65"/>
      <c r="LG21" s="65"/>
      <c r="LH21" s="65"/>
      <c r="LI21" s="65"/>
      <c r="LJ21" s="65"/>
      <c r="LK21" s="65"/>
      <c r="LL21" s="65"/>
      <c r="LM21" s="65"/>
      <c r="LN21" s="65"/>
      <c r="LO21" s="65"/>
      <c r="LP21" s="65"/>
      <c r="LQ21" s="65"/>
      <c r="LR21" s="65"/>
      <c r="LS21" s="65"/>
      <c r="LT21" s="65"/>
      <c r="LU21" s="65"/>
      <c r="LV21" s="65"/>
      <c r="LW21" s="65"/>
      <c r="LX21" s="65"/>
      <c r="LY21" s="65"/>
      <c r="LZ21" s="65"/>
      <c r="MA21" s="65"/>
      <c r="MB21" s="65"/>
      <c r="MC21" s="65"/>
      <c r="MD21" s="65"/>
      <c r="ME21" s="65"/>
      <c r="MF21" s="65"/>
      <c r="MG21" s="65"/>
      <c r="MH21" s="65"/>
      <c r="MI21" s="65"/>
      <c r="MJ21" s="65"/>
      <c r="MK21" s="65"/>
      <c r="ML21" s="65"/>
      <c r="MM21" s="65"/>
      <c r="MN21" s="65"/>
      <c r="MO21" s="65"/>
      <c r="MP21" s="65"/>
      <c r="MQ21" s="65"/>
      <c r="MR21" s="65"/>
      <c r="MS21" s="65"/>
      <c r="MT21" s="65"/>
      <c r="MU21" s="65"/>
      <c r="MV21" s="65"/>
      <c r="MW21" s="65"/>
      <c r="MX21" s="65"/>
      <c r="MY21" s="65"/>
      <c r="MZ21" s="65"/>
      <c r="NA21" s="65"/>
      <c r="NB21" s="65"/>
      <c r="NC21" s="65"/>
      <c r="ND21" s="65"/>
      <c r="NE21" s="65"/>
      <c r="NF21" s="65"/>
      <c r="NG21" s="65"/>
    </row>
    <row r="22">
      <c r="A22" s="65"/>
      <c r="B22" s="65"/>
      <c r="C22" s="209"/>
      <c r="D22" s="209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65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65"/>
      <c r="HO22" s="65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65"/>
      <c r="IP22" s="65"/>
      <c r="IQ22" s="65"/>
      <c r="IR22" s="65"/>
      <c r="IS22" s="65"/>
      <c r="IT22" s="65"/>
      <c r="IU22" s="65"/>
      <c r="IV22" s="65"/>
      <c r="IW22" s="65"/>
      <c r="IX22" s="65"/>
      <c r="IY22" s="65"/>
      <c r="IZ22" s="65"/>
      <c r="JA22" s="65"/>
      <c r="JB22" s="65"/>
      <c r="JC22" s="65"/>
      <c r="JD22" s="65"/>
      <c r="JE22" s="65"/>
      <c r="JF22" s="65"/>
      <c r="JG22" s="65"/>
      <c r="JH22" s="65"/>
      <c r="JI22" s="65"/>
      <c r="JJ22" s="65"/>
      <c r="JK22" s="65"/>
      <c r="JL22" s="65"/>
      <c r="JM22" s="65"/>
      <c r="JN22" s="65"/>
      <c r="JO22" s="65"/>
      <c r="JP22" s="65"/>
      <c r="JQ22" s="65"/>
      <c r="JR22" s="65"/>
      <c r="JS22" s="65"/>
      <c r="JT22" s="65"/>
      <c r="JU22" s="65"/>
      <c r="JV22" s="65"/>
      <c r="JW22" s="65"/>
      <c r="JX22" s="65"/>
      <c r="JY22" s="65"/>
      <c r="JZ22" s="65"/>
      <c r="KA22" s="65"/>
      <c r="KB22" s="65"/>
      <c r="KC22" s="65"/>
      <c r="KD22" s="65"/>
      <c r="KE22" s="65"/>
      <c r="KF22" s="65"/>
      <c r="KG22" s="65"/>
      <c r="KH22" s="65"/>
      <c r="KI22" s="65"/>
      <c r="KJ22" s="65"/>
      <c r="KK22" s="65"/>
      <c r="KL22" s="65"/>
      <c r="KM22" s="65"/>
      <c r="KN22" s="65"/>
      <c r="KO22" s="65"/>
      <c r="KP22" s="65"/>
      <c r="KQ22" s="65"/>
      <c r="KR22" s="65"/>
      <c r="KS22" s="65"/>
      <c r="KT22" s="65"/>
      <c r="KU22" s="65"/>
      <c r="KV22" s="65"/>
      <c r="KW22" s="65"/>
      <c r="KX22" s="65"/>
      <c r="KY22" s="65"/>
      <c r="KZ22" s="65"/>
      <c r="LA22" s="65"/>
      <c r="LB22" s="65"/>
      <c r="LC22" s="65"/>
      <c r="LD22" s="65"/>
      <c r="LE22" s="65"/>
      <c r="LF22" s="65"/>
      <c r="LG22" s="65"/>
      <c r="LH22" s="65"/>
      <c r="LI22" s="65"/>
      <c r="LJ22" s="65"/>
      <c r="LK22" s="65"/>
      <c r="LL22" s="65"/>
      <c r="LM22" s="65"/>
      <c r="LN22" s="65"/>
      <c r="LO22" s="65"/>
      <c r="LP22" s="65"/>
      <c r="LQ22" s="65"/>
      <c r="LR22" s="65"/>
      <c r="LS22" s="65"/>
      <c r="LT22" s="65"/>
      <c r="LU22" s="65"/>
      <c r="LV22" s="65"/>
      <c r="LW22" s="65"/>
      <c r="LX22" s="65"/>
      <c r="LY22" s="65"/>
      <c r="LZ22" s="65"/>
      <c r="MA22" s="65"/>
      <c r="MB22" s="65"/>
      <c r="MC22" s="65"/>
      <c r="MD22" s="65"/>
      <c r="ME22" s="65"/>
      <c r="MF22" s="65"/>
      <c r="MG22" s="65"/>
      <c r="MH22" s="65"/>
      <c r="MI22" s="65"/>
      <c r="MJ22" s="65"/>
      <c r="MK22" s="65"/>
      <c r="ML22" s="65"/>
      <c r="MM22" s="65"/>
      <c r="MN22" s="65"/>
      <c r="MO22" s="65"/>
      <c r="MP22" s="65"/>
      <c r="MQ22" s="65"/>
      <c r="MR22" s="65"/>
      <c r="MS22" s="65"/>
      <c r="MT22" s="65"/>
      <c r="MU22" s="65"/>
      <c r="MV22" s="65"/>
      <c r="MW22" s="65"/>
      <c r="MX22" s="65"/>
      <c r="MY22" s="65"/>
      <c r="MZ22" s="65"/>
      <c r="NA22" s="65"/>
      <c r="NB22" s="65"/>
      <c r="NC22" s="65"/>
      <c r="ND22" s="65"/>
      <c r="NE22" s="65"/>
      <c r="NF22" s="65"/>
      <c r="NG22" s="65"/>
    </row>
    <row r="23">
      <c r="A23" s="65"/>
      <c r="B23" s="65"/>
      <c r="C23" s="205">
        <v>4.0</v>
      </c>
      <c r="D23" s="205" t="s">
        <v>44</v>
      </c>
      <c r="E23" s="109"/>
      <c r="F23" s="107" t="s">
        <v>1338</v>
      </c>
      <c r="G23" s="107" t="s">
        <v>1339</v>
      </c>
      <c r="H23" s="109"/>
      <c r="I23" s="107" t="s">
        <v>1340</v>
      </c>
      <c r="J23" s="125" t="b">
        <f t="shared" ref="J23:J27" si="4">EXACT(F23,G23)</f>
        <v>0</v>
      </c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5"/>
      <c r="GM23" s="65"/>
      <c r="GN23" s="65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/>
      <c r="HJ23" s="65"/>
      <c r="HK23" s="65"/>
      <c r="HL23" s="65"/>
      <c r="HM23" s="65"/>
      <c r="HN23" s="65"/>
      <c r="HO23" s="65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65"/>
      <c r="IP23" s="65"/>
      <c r="IQ23" s="65"/>
      <c r="IR23" s="65"/>
      <c r="IS23" s="65"/>
      <c r="IT23" s="65"/>
      <c r="IU23" s="65"/>
      <c r="IV23" s="65"/>
      <c r="IW23" s="65"/>
      <c r="IX23" s="65"/>
      <c r="IY23" s="65"/>
      <c r="IZ23" s="65"/>
      <c r="JA23" s="65"/>
      <c r="JB23" s="65"/>
      <c r="JC23" s="65"/>
      <c r="JD23" s="65"/>
      <c r="JE23" s="65"/>
      <c r="JF23" s="65"/>
      <c r="JG23" s="65"/>
      <c r="JH23" s="65"/>
      <c r="JI23" s="65"/>
      <c r="JJ23" s="65"/>
      <c r="JK23" s="65"/>
      <c r="JL23" s="65"/>
      <c r="JM23" s="65"/>
      <c r="JN23" s="65"/>
      <c r="JO23" s="65"/>
      <c r="JP23" s="65"/>
      <c r="JQ23" s="65"/>
      <c r="JR23" s="65"/>
      <c r="JS23" s="65"/>
      <c r="JT23" s="65"/>
      <c r="JU23" s="65"/>
      <c r="JV23" s="65"/>
      <c r="JW23" s="65"/>
      <c r="JX23" s="65"/>
      <c r="JY23" s="65"/>
      <c r="JZ23" s="65"/>
      <c r="KA23" s="65"/>
      <c r="KB23" s="65"/>
      <c r="KC23" s="65"/>
      <c r="KD23" s="65"/>
      <c r="KE23" s="65"/>
      <c r="KF23" s="65"/>
      <c r="KG23" s="65"/>
      <c r="KH23" s="65"/>
      <c r="KI23" s="65"/>
      <c r="KJ23" s="65"/>
      <c r="KK23" s="65"/>
      <c r="KL23" s="65"/>
      <c r="KM23" s="65"/>
      <c r="KN23" s="65"/>
      <c r="KO23" s="65"/>
      <c r="KP23" s="65"/>
      <c r="KQ23" s="65"/>
      <c r="KR23" s="65"/>
      <c r="KS23" s="65"/>
      <c r="KT23" s="65"/>
      <c r="KU23" s="65"/>
      <c r="KV23" s="65"/>
      <c r="KW23" s="65"/>
      <c r="KX23" s="65"/>
      <c r="KY23" s="65"/>
      <c r="KZ23" s="65"/>
      <c r="LA23" s="65"/>
      <c r="LB23" s="65"/>
      <c r="LC23" s="65"/>
      <c r="LD23" s="65"/>
      <c r="LE23" s="65"/>
      <c r="LF23" s="65"/>
      <c r="LG23" s="65"/>
      <c r="LH23" s="65"/>
      <c r="LI23" s="65"/>
      <c r="LJ23" s="65"/>
      <c r="LK23" s="65"/>
      <c r="LL23" s="65"/>
      <c r="LM23" s="65"/>
      <c r="LN23" s="65"/>
      <c r="LO23" s="65"/>
      <c r="LP23" s="65"/>
      <c r="LQ23" s="65"/>
      <c r="LR23" s="65"/>
      <c r="LS23" s="65"/>
      <c r="LT23" s="65"/>
      <c r="LU23" s="65"/>
      <c r="LV23" s="65"/>
      <c r="LW23" s="65"/>
      <c r="LX23" s="65"/>
      <c r="LY23" s="65"/>
      <c r="LZ23" s="65"/>
      <c r="MA23" s="65"/>
      <c r="MB23" s="65"/>
      <c r="MC23" s="65"/>
      <c r="MD23" s="65"/>
      <c r="ME23" s="65"/>
      <c r="MF23" s="65"/>
      <c r="MG23" s="65"/>
      <c r="MH23" s="65"/>
      <c r="MI23" s="65"/>
      <c r="MJ23" s="65"/>
      <c r="MK23" s="65"/>
      <c r="ML23" s="65"/>
      <c r="MM23" s="65"/>
      <c r="MN23" s="65"/>
      <c r="MO23" s="65"/>
      <c r="MP23" s="65"/>
      <c r="MQ23" s="65"/>
      <c r="MR23" s="65"/>
      <c r="MS23" s="65"/>
      <c r="MT23" s="65"/>
      <c r="MU23" s="65"/>
      <c r="MV23" s="65"/>
      <c r="MW23" s="65"/>
      <c r="MX23" s="65"/>
      <c r="MY23" s="65"/>
      <c r="MZ23" s="65"/>
      <c r="NA23" s="65"/>
      <c r="NB23" s="65"/>
      <c r="NC23" s="65"/>
      <c r="ND23" s="65"/>
      <c r="NE23" s="65"/>
      <c r="NF23" s="65"/>
      <c r="NG23" s="65"/>
    </row>
    <row r="24">
      <c r="A24" s="65"/>
      <c r="B24" s="65"/>
      <c r="C24" s="207"/>
      <c r="D24" s="207"/>
      <c r="E24" s="109"/>
      <c r="F24" s="107" t="s">
        <v>1341</v>
      </c>
      <c r="G24" s="107" t="s">
        <v>1341</v>
      </c>
      <c r="H24" s="109"/>
      <c r="I24" s="107" t="s">
        <v>1342</v>
      </c>
      <c r="J24" s="125" t="b">
        <f t="shared" si="4"/>
        <v>1</v>
      </c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5"/>
      <c r="IL24" s="65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  <c r="IY24" s="65"/>
      <c r="IZ24" s="65"/>
      <c r="JA24" s="65"/>
      <c r="JB24" s="65"/>
      <c r="JC24" s="65"/>
      <c r="JD24" s="65"/>
      <c r="JE24" s="65"/>
      <c r="JF24" s="65"/>
      <c r="JG24" s="65"/>
      <c r="JH24" s="65"/>
      <c r="JI24" s="65"/>
      <c r="JJ24" s="65"/>
      <c r="JK24" s="65"/>
      <c r="JL24" s="65"/>
      <c r="JM24" s="65"/>
      <c r="JN24" s="65"/>
      <c r="JO24" s="65"/>
      <c r="JP24" s="65"/>
      <c r="JQ24" s="65"/>
      <c r="JR24" s="65"/>
      <c r="JS24" s="65"/>
      <c r="JT24" s="65"/>
      <c r="JU24" s="65"/>
      <c r="JV24" s="65"/>
      <c r="JW24" s="65"/>
      <c r="JX24" s="65"/>
      <c r="JY24" s="65"/>
      <c r="JZ24" s="65"/>
      <c r="KA24" s="65"/>
      <c r="KB24" s="65"/>
      <c r="KC24" s="65"/>
      <c r="KD24" s="65"/>
      <c r="KE24" s="65"/>
      <c r="KF24" s="65"/>
      <c r="KG24" s="65"/>
      <c r="KH24" s="65"/>
      <c r="KI24" s="65"/>
      <c r="KJ24" s="65"/>
      <c r="KK24" s="65"/>
      <c r="KL24" s="65"/>
      <c r="KM24" s="65"/>
      <c r="KN24" s="65"/>
      <c r="KO24" s="65"/>
      <c r="KP24" s="65"/>
      <c r="KQ24" s="65"/>
      <c r="KR24" s="65"/>
      <c r="KS24" s="65"/>
      <c r="KT24" s="65"/>
      <c r="KU24" s="65"/>
      <c r="KV24" s="65"/>
      <c r="KW24" s="65"/>
      <c r="KX24" s="65"/>
      <c r="KY24" s="65"/>
      <c r="KZ24" s="65"/>
      <c r="LA24" s="65"/>
      <c r="LB24" s="65"/>
      <c r="LC24" s="65"/>
      <c r="LD24" s="65"/>
      <c r="LE24" s="65"/>
      <c r="LF24" s="65"/>
      <c r="LG24" s="65"/>
      <c r="LH24" s="65"/>
      <c r="LI24" s="65"/>
      <c r="LJ24" s="65"/>
      <c r="LK24" s="65"/>
      <c r="LL24" s="65"/>
      <c r="LM24" s="65"/>
      <c r="LN24" s="65"/>
      <c r="LO24" s="65"/>
      <c r="LP24" s="65"/>
      <c r="LQ24" s="65"/>
      <c r="LR24" s="65"/>
      <c r="LS24" s="65"/>
      <c r="LT24" s="65"/>
      <c r="LU24" s="65"/>
      <c r="LV24" s="65"/>
      <c r="LW24" s="65"/>
      <c r="LX24" s="65"/>
      <c r="LY24" s="65"/>
      <c r="LZ24" s="65"/>
      <c r="MA24" s="65"/>
      <c r="MB24" s="65"/>
      <c r="MC24" s="65"/>
      <c r="MD24" s="65"/>
      <c r="ME24" s="65"/>
      <c r="MF24" s="65"/>
      <c r="MG24" s="65"/>
      <c r="MH24" s="65"/>
      <c r="MI24" s="65"/>
      <c r="MJ24" s="65"/>
      <c r="MK24" s="65"/>
      <c r="ML24" s="65"/>
      <c r="MM24" s="65"/>
      <c r="MN24" s="65"/>
      <c r="MO24" s="65"/>
      <c r="MP24" s="65"/>
      <c r="MQ24" s="65"/>
      <c r="MR24" s="65"/>
      <c r="MS24" s="65"/>
      <c r="MT24" s="65"/>
      <c r="MU24" s="65"/>
      <c r="MV24" s="65"/>
      <c r="MW24" s="65"/>
      <c r="MX24" s="65"/>
      <c r="MY24" s="65"/>
      <c r="MZ24" s="65"/>
      <c r="NA24" s="65"/>
      <c r="NB24" s="65"/>
      <c r="NC24" s="65"/>
      <c r="ND24" s="65"/>
      <c r="NE24" s="65"/>
      <c r="NF24" s="65"/>
      <c r="NG24" s="65"/>
    </row>
    <row r="25">
      <c r="A25" s="65"/>
      <c r="B25" s="65"/>
      <c r="C25" s="207"/>
      <c r="D25" s="207"/>
      <c r="E25" s="109"/>
      <c r="F25" s="107" t="s">
        <v>1343</v>
      </c>
      <c r="G25" s="107" t="s">
        <v>1344</v>
      </c>
      <c r="H25" s="109"/>
      <c r="I25" s="107" t="s">
        <v>1345</v>
      </c>
      <c r="J25" s="125" t="b">
        <f t="shared" si="4"/>
        <v>0</v>
      </c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/>
      <c r="HJ25" s="65"/>
      <c r="HK25" s="65"/>
      <c r="HL25" s="65"/>
      <c r="HM25" s="65"/>
      <c r="HN25" s="65"/>
      <c r="HO25" s="65"/>
      <c r="HP25" s="65"/>
      <c r="HQ25" s="65"/>
      <c r="HR25" s="65"/>
      <c r="HS25" s="65"/>
      <c r="HT25" s="65"/>
      <c r="HU25" s="65"/>
      <c r="HV25" s="65"/>
      <c r="HW25" s="65"/>
      <c r="HX25" s="65"/>
      <c r="HY25" s="65"/>
      <c r="HZ25" s="65"/>
      <c r="IA25" s="65"/>
      <c r="IB25" s="65"/>
      <c r="IC25" s="65"/>
      <c r="ID25" s="65"/>
      <c r="IE25" s="65"/>
      <c r="IF25" s="65"/>
      <c r="IG25" s="65"/>
      <c r="IH25" s="65"/>
      <c r="II25" s="65"/>
      <c r="IJ25" s="65"/>
      <c r="IK25" s="65"/>
      <c r="IL25" s="65"/>
      <c r="IM25" s="65"/>
      <c r="IN25" s="65"/>
      <c r="IO25" s="65"/>
      <c r="IP25" s="65"/>
      <c r="IQ25" s="65"/>
      <c r="IR25" s="65"/>
      <c r="IS25" s="65"/>
      <c r="IT25" s="65"/>
      <c r="IU25" s="65"/>
      <c r="IV25" s="65"/>
      <c r="IW25" s="65"/>
      <c r="IX25" s="65"/>
      <c r="IY25" s="65"/>
      <c r="IZ25" s="65"/>
      <c r="JA25" s="65"/>
      <c r="JB25" s="65"/>
      <c r="JC25" s="65"/>
      <c r="JD25" s="65"/>
      <c r="JE25" s="65"/>
      <c r="JF25" s="65"/>
      <c r="JG25" s="65"/>
      <c r="JH25" s="65"/>
      <c r="JI25" s="65"/>
      <c r="JJ25" s="65"/>
      <c r="JK25" s="65"/>
      <c r="JL25" s="65"/>
      <c r="JM25" s="65"/>
      <c r="JN25" s="65"/>
      <c r="JO25" s="65"/>
      <c r="JP25" s="65"/>
      <c r="JQ25" s="65"/>
      <c r="JR25" s="65"/>
      <c r="JS25" s="65"/>
      <c r="JT25" s="65"/>
      <c r="JU25" s="65"/>
      <c r="JV25" s="65"/>
      <c r="JW25" s="65"/>
      <c r="JX25" s="65"/>
      <c r="JY25" s="65"/>
      <c r="JZ25" s="65"/>
      <c r="KA25" s="65"/>
      <c r="KB25" s="65"/>
      <c r="KC25" s="65"/>
      <c r="KD25" s="65"/>
      <c r="KE25" s="65"/>
      <c r="KF25" s="65"/>
      <c r="KG25" s="65"/>
      <c r="KH25" s="65"/>
      <c r="KI25" s="65"/>
      <c r="KJ25" s="65"/>
      <c r="KK25" s="65"/>
      <c r="KL25" s="65"/>
      <c r="KM25" s="65"/>
      <c r="KN25" s="65"/>
      <c r="KO25" s="65"/>
      <c r="KP25" s="65"/>
      <c r="KQ25" s="65"/>
      <c r="KR25" s="65"/>
      <c r="KS25" s="65"/>
      <c r="KT25" s="65"/>
      <c r="KU25" s="65"/>
      <c r="KV25" s="65"/>
      <c r="KW25" s="65"/>
      <c r="KX25" s="65"/>
      <c r="KY25" s="65"/>
      <c r="KZ25" s="65"/>
      <c r="LA25" s="65"/>
      <c r="LB25" s="65"/>
      <c r="LC25" s="65"/>
      <c r="LD25" s="65"/>
      <c r="LE25" s="65"/>
      <c r="LF25" s="65"/>
      <c r="LG25" s="65"/>
      <c r="LH25" s="65"/>
      <c r="LI25" s="65"/>
      <c r="LJ25" s="65"/>
      <c r="LK25" s="65"/>
      <c r="LL25" s="65"/>
      <c r="LM25" s="65"/>
      <c r="LN25" s="65"/>
      <c r="LO25" s="65"/>
      <c r="LP25" s="65"/>
      <c r="LQ25" s="65"/>
      <c r="LR25" s="65"/>
      <c r="LS25" s="65"/>
      <c r="LT25" s="65"/>
      <c r="LU25" s="65"/>
      <c r="LV25" s="65"/>
      <c r="LW25" s="65"/>
      <c r="LX25" s="65"/>
      <c r="LY25" s="65"/>
      <c r="LZ25" s="65"/>
      <c r="MA25" s="65"/>
      <c r="MB25" s="65"/>
      <c r="MC25" s="65"/>
      <c r="MD25" s="65"/>
      <c r="ME25" s="65"/>
      <c r="MF25" s="65"/>
      <c r="MG25" s="65"/>
      <c r="MH25" s="65"/>
      <c r="MI25" s="65"/>
      <c r="MJ25" s="65"/>
      <c r="MK25" s="65"/>
      <c r="ML25" s="65"/>
      <c r="MM25" s="65"/>
      <c r="MN25" s="65"/>
      <c r="MO25" s="65"/>
      <c r="MP25" s="65"/>
      <c r="MQ25" s="65"/>
      <c r="MR25" s="65"/>
      <c r="MS25" s="65"/>
      <c r="MT25" s="65"/>
      <c r="MU25" s="65"/>
      <c r="MV25" s="65"/>
      <c r="MW25" s="65"/>
      <c r="MX25" s="65"/>
      <c r="MY25" s="65"/>
      <c r="MZ25" s="65"/>
      <c r="NA25" s="65"/>
      <c r="NB25" s="65"/>
      <c r="NC25" s="65"/>
      <c r="ND25" s="65"/>
      <c r="NE25" s="65"/>
      <c r="NF25" s="65"/>
      <c r="NG25" s="65"/>
    </row>
    <row r="26">
      <c r="A26" s="65"/>
      <c r="B26" s="65"/>
      <c r="C26" s="207"/>
      <c r="D26" s="207"/>
      <c r="E26" s="109"/>
      <c r="F26" s="107" t="s">
        <v>1346</v>
      </c>
      <c r="G26" s="107" t="s">
        <v>1346</v>
      </c>
      <c r="H26" s="109"/>
      <c r="I26" s="107" t="s">
        <v>1347</v>
      </c>
      <c r="J26" s="125" t="b">
        <f t="shared" si="4"/>
        <v>1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  <c r="EY26" s="6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5"/>
      <c r="FN26" s="65"/>
      <c r="FO26" s="65"/>
      <c r="FP26" s="65"/>
      <c r="FQ26" s="65"/>
      <c r="FR26" s="65"/>
      <c r="FS26" s="65"/>
      <c r="FT26" s="65"/>
      <c r="FU26" s="65"/>
      <c r="FV26" s="65"/>
      <c r="FW26" s="65"/>
      <c r="FX26" s="65"/>
      <c r="FY26" s="65"/>
      <c r="FZ26" s="65"/>
      <c r="GA26" s="65"/>
      <c r="GB26" s="65"/>
      <c r="GC26" s="65"/>
      <c r="GD26" s="65"/>
      <c r="GE26" s="65"/>
      <c r="GF26" s="65"/>
      <c r="GG26" s="65"/>
      <c r="GH26" s="65"/>
      <c r="GI26" s="65"/>
      <c r="GJ26" s="65"/>
      <c r="GK26" s="65"/>
      <c r="GL26" s="65"/>
      <c r="GM26" s="65"/>
      <c r="GN26" s="65"/>
      <c r="GO26" s="65"/>
      <c r="GP26" s="65"/>
      <c r="GQ26" s="65"/>
      <c r="GR26" s="65"/>
      <c r="GS26" s="65"/>
      <c r="GT26" s="65"/>
      <c r="GU26" s="65"/>
      <c r="GV26" s="65"/>
      <c r="GW26" s="65"/>
      <c r="GX26" s="65"/>
      <c r="GY26" s="65"/>
      <c r="GZ26" s="65"/>
      <c r="HA26" s="65"/>
      <c r="HB26" s="65"/>
      <c r="HC26" s="65"/>
      <c r="HD26" s="65"/>
      <c r="HE26" s="65"/>
      <c r="HF26" s="65"/>
      <c r="HG26" s="65"/>
      <c r="HH26" s="65"/>
      <c r="HI26" s="65"/>
      <c r="HJ26" s="65"/>
      <c r="HK26" s="65"/>
      <c r="HL26" s="65"/>
      <c r="HM26" s="65"/>
      <c r="HN26" s="65"/>
      <c r="HO26" s="65"/>
      <c r="HP26" s="65"/>
      <c r="HQ26" s="65"/>
      <c r="HR26" s="65"/>
      <c r="HS26" s="65"/>
      <c r="HT26" s="65"/>
      <c r="HU26" s="65"/>
      <c r="HV26" s="65"/>
      <c r="HW26" s="65"/>
      <c r="HX26" s="65"/>
      <c r="HY26" s="65"/>
      <c r="HZ26" s="65"/>
      <c r="IA26" s="65"/>
      <c r="IB26" s="65"/>
      <c r="IC26" s="65"/>
      <c r="ID26" s="65"/>
      <c r="IE26" s="65"/>
      <c r="IF26" s="65"/>
      <c r="IG26" s="65"/>
      <c r="IH26" s="65"/>
      <c r="II26" s="65"/>
      <c r="IJ26" s="65"/>
      <c r="IK26" s="65"/>
      <c r="IL26" s="65"/>
      <c r="IM26" s="65"/>
      <c r="IN26" s="65"/>
      <c r="IO26" s="65"/>
      <c r="IP26" s="65"/>
      <c r="IQ26" s="65"/>
      <c r="IR26" s="65"/>
      <c r="IS26" s="65"/>
      <c r="IT26" s="65"/>
      <c r="IU26" s="65"/>
      <c r="IV26" s="65"/>
      <c r="IW26" s="65"/>
      <c r="IX26" s="65"/>
      <c r="IY26" s="65"/>
      <c r="IZ26" s="65"/>
      <c r="JA26" s="65"/>
      <c r="JB26" s="65"/>
      <c r="JC26" s="65"/>
      <c r="JD26" s="65"/>
      <c r="JE26" s="65"/>
      <c r="JF26" s="65"/>
      <c r="JG26" s="65"/>
      <c r="JH26" s="65"/>
      <c r="JI26" s="65"/>
      <c r="JJ26" s="65"/>
      <c r="JK26" s="65"/>
      <c r="JL26" s="65"/>
      <c r="JM26" s="65"/>
      <c r="JN26" s="65"/>
      <c r="JO26" s="65"/>
      <c r="JP26" s="65"/>
      <c r="JQ26" s="65"/>
      <c r="JR26" s="65"/>
      <c r="JS26" s="65"/>
      <c r="JT26" s="65"/>
      <c r="JU26" s="65"/>
      <c r="JV26" s="65"/>
      <c r="JW26" s="65"/>
      <c r="JX26" s="65"/>
      <c r="JY26" s="65"/>
      <c r="JZ26" s="65"/>
      <c r="KA26" s="65"/>
      <c r="KB26" s="65"/>
      <c r="KC26" s="65"/>
      <c r="KD26" s="65"/>
      <c r="KE26" s="65"/>
      <c r="KF26" s="65"/>
      <c r="KG26" s="65"/>
      <c r="KH26" s="65"/>
      <c r="KI26" s="65"/>
      <c r="KJ26" s="65"/>
      <c r="KK26" s="65"/>
      <c r="KL26" s="65"/>
      <c r="KM26" s="65"/>
      <c r="KN26" s="65"/>
      <c r="KO26" s="65"/>
      <c r="KP26" s="65"/>
      <c r="KQ26" s="65"/>
      <c r="KR26" s="65"/>
      <c r="KS26" s="65"/>
      <c r="KT26" s="65"/>
      <c r="KU26" s="65"/>
      <c r="KV26" s="65"/>
      <c r="KW26" s="65"/>
      <c r="KX26" s="65"/>
      <c r="KY26" s="65"/>
      <c r="KZ26" s="65"/>
      <c r="LA26" s="65"/>
      <c r="LB26" s="65"/>
      <c r="LC26" s="65"/>
      <c r="LD26" s="65"/>
      <c r="LE26" s="65"/>
      <c r="LF26" s="65"/>
      <c r="LG26" s="65"/>
      <c r="LH26" s="65"/>
      <c r="LI26" s="65"/>
      <c r="LJ26" s="65"/>
      <c r="LK26" s="65"/>
      <c r="LL26" s="65"/>
      <c r="LM26" s="65"/>
      <c r="LN26" s="65"/>
      <c r="LO26" s="65"/>
      <c r="LP26" s="65"/>
      <c r="LQ26" s="65"/>
      <c r="LR26" s="65"/>
      <c r="LS26" s="65"/>
      <c r="LT26" s="65"/>
      <c r="LU26" s="65"/>
      <c r="LV26" s="65"/>
      <c r="LW26" s="65"/>
      <c r="LX26" s="65"/>
      <c r="LY26" s="65"/>
      <c r="LZ26" s="65"/>
      <c r="MA26" s="65"/>
      <c r="MB26" s="65"/>
      <c r="MC26" s="65"/>
      <c r="MD26" s="65"/>
      <c r="ME26" s="65"/>
      <c r="MF26" s="65"/>
      <c r="MG26" s="65"/>
      <c r="MH26" s="65"/>
      <c r="MI26" s="65"/>
      <c r="MJ26" s="65"/>
      <c r="MK26" s="65"/>
      <c r="ML26" s="65"/>
      <c r="MM26" s="65"/>
      <c r="MN26" s="65"/>
      <c r="MO26" s="65"/>
      <c r="MP26" s="65"/>
      <c r="MQ26" s="65"/>
      <c r="MR26" s="65"/>
      <c r="MS26" s="65"/>
      <c r="MT26" s="65"/>
      <c r="MU26" s="65"/>
      <c r="MV26" s="65"/>
      <c r="MW26" s="65"/>
      <c r="MX26" s="65"/>
      <c r="MY26" s="65"/>
      <c r="MZ26" s="65"/>
      <c r="NA26" s="65"/>
      <c r="NB26" s="65"/>
      <c r="NC26" s="65"/>
      <c r="ND26" s="65"/>
      <c r="NE26" s="65"/>
      <c r="NF26" s="65"/>
      <c r="NG26" s="65"/>
    </row>
    <row r="27">
      <c r="A27" s="65"/>
      <c r="B27" s="65"/>
      <c r="C27" s="201"/>
      <c r="D27" s="201"/>
      <c r="E27" s="109"/>
      <c r="F27" s="107" t="s">
        <v>1348</v>
      </c>
      <c r="G27" s="107" t="s">
        <v>1349</v>
      </c>
      <c r="H27" s="109"/>
      <c r="I27" s="107" t="s">
        <v>1350</v>
      </c>
      <c r="J27" s="125" t="b">
        <f t="shared" si="4"/>
        <v>0</v>
      </c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5"/>
      <c r="BQ27" s="65"/>
      <c r="BR27" s="65"/>
      <c r="BS27" s="65"/>
      <c r="BT27" s="65"/>
      <c r="BU27" s="65"/>
      <c r="BV27" s="65"/>
      <c r="BW27" s="65"/>
      <c r="BX27" s="65"/>
      <c r="BY27" s="65"/>
      <c r="BZ27" s="65"/>
      <c r="CA27" s="65"/>
      <c r="CB27" s="65"/>
      <c r="CC27" s="65"/>
      <c r="CD27" s="65"/>
      <c r="CE27" s="65"/>
      <c r="CF27" s="65"/>
      <c r="CG27" s="65"/>
      <c r="CH27" s="65"/>
      <c r="CI27" s="65"/>
      <c r="CJ27" s="65"/>
      <c r="CK27" s="65"/>
      <c r="CL27" s="65"/>
      <c r="CM27" s="65"/>
      <c r="CN27" s="65"/>
      <c r="CO27" s="65"/>
      <c r="CP27" s="65"/>
      <c r="CQ27" s="65"/>
      <c r="CR27" s="65"/>
      <c r="CS27" s="65"/>
      <c r="CT27" s="65"/>
      <c r="CU27" s="65"/>
      <c r="CV27" s="65"/>
      <c r="CW27" s="65"/>
      <c r="CX27" s="65"/>
      <c r="CY27" s="65"/>
      <c r="CZ27" s="65"/>
      <c r="DA27" s="65"/>
      <c r="DB27" s="65"/>
      <c r="DC27" s="65"/>
      <c r="DD27" s="65"/>
      <c r="DE27" s="65"/>
      <c r="DF27" s="65"/>
      <c r="DG27" s="65"/>
      <c r="DH27" s="65"/>
      <c r="DI27" s="65"/>
      <c r="DJ27" s="65"/>
      <c r="DK27" s="65"/>
      <c r="DL27" s="65"/>
      <c r="DM27" s="65"/>
      <c r="DN27" s="65"/>
      <c r="DO27" s="65"/>
      <c r="DP27" s="65"/>
      <c r="DQ27" s="65"/>
      <c r="DR27" s="65"/>
      <c r="DS27" s="65"/>
      <c r="DT27" s="65"/>
      <c r="DU27" s="65"/>
      <c r="DV27" s="65"/>
      <c r="DW27" s="65"/>
      <c r="DX27" s="65"/>
      <c r="DY27" s="65"/>
      <c r="DZ27" s="65"/>
      <c r="EA27" s="65"/>
      <c r="EB27" s="65"/>
      <c r="EC27" s="65"/>
      <c r="ED27" s="65"/>
      <c r="EE27" s="65"/>
      <c r="EF27" s="65"/>
      <c r="EG27" s="65"/>
      <c r="EH27" s="65"/>
      <c r="EI27" s="65"/>
      <c r="EJ27" s="65"/>
      <c r="EK27" s="65"/>
      <c r="EL27" s="65"/>
      <c r="EM27" s="65"/>
      <c r="EN27" s="65"/>
      <c r="EO27" s="65"/>
      <c r="EP27" s="65"/>
      <c r="EQ27" s="65"/>
      <c r="ER27" s="65"/>
      <c r="ES27" s="65"/>
      <c r="ET27" s="65"/>
      <c r="EU27" s="65"/>
      <c r="EV27" s="65"/>
      <c r="EW27" s="65"/>
      <c r="EX27" s="65"/>
      <c r="EY27" s="65"/>
      <c r="EZ27" s="65"/>
      <c r="FA27" s="65"/>
      <c r="FB27" s="65"/>
      <c r="FC27" s="65"/>
      <c r="FD27" s="65"/>
      <c r="FE27" s="65"/>
      <c r="FF27" s="65"/>
      <c r="FG27" s="65"/>
      <c r="FH27" s="65"/>
      <c r="FI27" s="65"/>
      <c r="FJ27" s="65"/>
      <c r="FK27" s="65"/>
      <c r="FL27" s="65"/>
      <c r="FM27" s="65"/>
      <c r="FN27" s="65"/>
      <c r="FO27" s="65"/>
      <c r="FP27" s="65"/>
      <c r="FQ27" s="65"/>
      <c r="FR27" s="65"/>
      <c r="FS27" s="65"/>
      <c r="FT27" s="65"/>
      <c r="FU27" s="65"/>
      <c r="FV27" s="65"/>
      <c r="FW27" s="65"/>
      <c r="FX27" s="65"/>
      <c r="FY27" s="65"/>
      <c r="FZ27" s="65"/>
      <c r="GA27" s="65"/>
      <c r="GB27" s="65"/>
      <c r="GC27" s="65"/>
      <c r="GD27" s="65"/>
      <c r="GE27" s="65"/>
      <c r="GF27" s="65"/>
      <c r="GG27" s="65"/>
      <c r="GH27" s="65"/>
      <c r="GI27" s="65"/>
      <c r="GJ27" s="65"/>
      <c r="GK27" s="65"/>
      <c r="GL27" s="65"/>
      <c r="GM27" s="65"/>
      <c r="GN27" s="65"/>
      <c r="GO27" s="65"/>
      <c r="GP27" s="65"/>
      <c r="GQ27" s="65"/>
      <c r="GR27" s="65"/>
      <c r="GS27" s="65"/>
      <c r="GT27" s="65"/>
      <c r="GU27" s="65"/>
      <c r="GV27" s="65"/>
      <c r="GW27" s="65"/>
      <c r="GX27" s="65"/>
      <c r="GY27" s="65"/>
      <c r="GZ27" s="65"/>
      <c r="HA27" s="65"/>
      <c r="HB27" s="65"/>
      <c r="HC27" s="65"/>
      <c r="HD27" s="65"/>
      <c r="HE27" s="65"/>
      <c r="HF27" s="65"/>
      <c r="HG27" s="65"/>
      <c r="HH27" s="65"/>
      <c r="HI27" s="65"/>
      <c r="HJ27" s="65"/>
      <c r="HK27" s="65"/>
      <c r="HL27" s="65"/>
      <c r="HM27" s="65"/>
      <c r="HN27" s="65"/>
      <c r="HO27" s="65"/>
      <c r="HP27" s="65"/>
      <c r="HQ27" s="65"/>
      <c r="HR27" s="65"/>
      <c r="HS27" s="65"/>
      <c r="HT27" s="65"/>
      <c r="HU27" s="65"/>
      <c r="HV27" s="65"/>
      <c r="HW27" s="65"/>
      <c r="HX27" s="65"/>
      <c r="HY27" s="65"/>
      <c r="HZ27" s="65"/>
      <c r="IA27" s="65"/>
      <c r="IB27" s="65"/>
      <c r="IC27" s="65"/>
      <c r="ID27" s="65"/>
      <c r="IE27" s="65"/>
      <c r="IF27" s="65"/>
      <c r="IG27" s="65"/>
      <c r="IH27" s="65"/>
      <c r="II27" s="65"/>
      <c r="IJ27" s="65"/>
      <c r="IK27" s="65"/>
      <c r="IL27" s="65"/>
      <c r="IM27" s="65"/>
      <c r="IN27" s="65"/>
      <c r="IO27" s="65"/>
      <c r="IP27" s="65"/>
      <c r="IQ27" s="65"/>
      <c r="IR27" s="65"/>
      <c r="IS27" s="65"/>
      <c r="IT27" s="65"/>
      <c r="IU27" s="65"/>
      <c r="IV27" s="65"/>
      <c r="IW27" s="65"/>
      <c r="IX27" s="65"/>
      <c r="IY27" s="65"/>
      <c r="IZ27" s="65"/>
      <c r="JA27" s="65"/>
      <c r="JB27" s="65"/>
      <c r="JC27" s="65"/>
      <c r="JD27" s="65"/>
      <c r="JE27" s="65"/>
      <c r="JF27" s="65"/>
      <c r="JG27" s="65"/>
      <c r="JH27" s="65"/>
      <c r="JI27" s="65"/>
      <c r="JJ27" s="65"/>
      <c r="JK27" s="65"/>
      <c r="JL27" s="65"/>
      <c r="JM27" s="65"/>
      <c r="JN27" s="65"/>
      <c r="JO27" s="65"/>
      <c r="JP27" s="65"/>
      <c r="JQ27" s="65"/>
      <c r="JR27" s="65"/>
      <c r="JS27" s="65"/>
      <c r="JT27" s="65"/>
      <c r="JU27" s="65"/>
      <c r="JV27" s="65"/>
      <c r="JW27" s="65"/>
      <c r="JX27" s="65"/>
      <c r="JY27" s="65"/>
      <c r="JZ27" s="65"/>
      <c r="KA27" s="65"/>
      <c r="KB27" s="65"/>
      <c r="KC27" s="65"/>
      <c r="KD27" s="65"/>
      <c r="KE27" s="65"/>
      <c r="KF27" s="65"/>
      <c r="KG27" s="65"/>
      <c r="KH27" s="65"/>
      <c r="KI27" s="65"/>
      <c r="KJ27" s="65"/>
      <c r="KK27" s="65"/>
      <c r="KL27" s="65"/>
      <c r="KM27" s="65"/>
      <c r="KN27" s="65"/>
      <c r="KO27" s="65"/>
      <c r="KP27" s="65"/>
      <c r="KQ27" s="65"/>
      <c r="KR27" s="65"/>
      <c r="KS27" s="65"/>
      <c r="KT27" s="65"/>
      <c r="KU27" s="65"/>
      <c r="KV27" s="65"/>
      <c r="KW27" s="65"/>
      <c r="KX27" s="65"/>
      <c r="KY27" s="65"/>
      <c r="KZ27" s="65"/>
      <c r="LA27" s="65"/>
      <c r="LB27" s="65"/>
      <c r="LC27" s="65"/>
      <c r="LD27" s="65"/>
      <c r="LE27" s="65"/>
      <c r="LF27" s="65"/>
      <c r="LG27" s="65"/>
      <c r="LH27" s="65"/>
      <c r="LI27" s="65"/>
      <c r="LJ27" s="65"/>
      <c r="LK27" s="65"/>
      <c r="LL27" s="65"/>
      <c r="LM27" s="65"/>
      <c r="LN27" s="65"/>
      <c r="LO27" s="65"/>
      <c r="LP27" s="65"/>
      <c r="LQ27" s="65"/>
      <c r="LR27" s="65"/>
      <c r="LS27" s="65"/>
      <c r="LT27" s="65"/>
      <c r="LU27" s="65"/>
      <c r="LV27" s="65"/>
      <c r="LW27" s="65"/>
      <c r="LX27" s="65"/>
      <c r="LY27" s="65"/>
      <c r="LZ27" s="65"/>
      <c r="MA27" s="65"/>
      <c r="MB27" s="65"/>
      <c r="MC27" s="65"/>
      <c r="MD27" s="65"/>
      <c r="ME27" s="65"/>
      <c r="MF27" s="65"/>
      <c r="MG27" s="65"/>
      <c r="MH27" s="65"/>
      <c r="MI27" s="65"/>
      <c r="MJ27" s="65"/>
      <c r="MK27" s="65"/>
      <c r="ML27" s="65"/>
      <c r="MM27" s="65"/>
      <c r="MN27" s="65"/>
      <c r="MO27" s="65"/>
      <c r="MP27" s="65"/>
      <c r="MQ27" s="65"/>
      <c r="MR27" s="65"/>
      <c r="MS27" s="65"/>
      <c r="MT27" s="65"/>
      <c r="MU27" s="65"/>
      <c r="MV27" s="65"/>
      <c r="MW27" s="65"/>
      <c r="MX27" s="65"/>
      <c r="MY27" s="65"/>
      <c r="MZ27" s="65"/>
      <c r="NA27" s="65"/>
      <c r="NB27" s="65"/>
      <c r="NC27" s="65"/>
      <c r="ND27" s="65"/>
      <c r="NE27" s="65"/>
      <c r="NF27" s="65"/>
      <c r="NG27" s="65"/>
    </row>
    <row r="28">
      <c r="A28" s="65"/>
      <c r="B28" s="65"/>
      <c r="C28" s="209"/>
      <c r="D28" s="209"/>
      <c r="E28" s="65"/>
      <c r="F28" s="210"/>
      <c r="G28" s="210"/>
      <c r="H28" s="65"/>
      <c r="I28" s="210"/>
      <c r="J28" s="210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5"/>
      <c r="BS28" s="65"/>
      <c r="BT28" s="65"/>
      <c r="BU28" s="65"/>
      <c r="BV28" s="65"/>
      <c r="BW28" s="65"/>
      <c r="BX28" s="65"/>
      <c r="BY28" s="65"/>
      <c r="BZ28" s="65"/>
      <c r="CA28" s="65"/>
      <c r="CB28" s="65"/>
      <c r="CC28" s="65"/>
      <c r="CD28" s="65"/>
      <c r="CE28" s="65"/>
      <c r="CF28" s="65"/>
      <c r="CG28" s="65"/>
      <c r="CH28" s="65"/>
      <c r="CI28" s="65"/>
      <c r="CJ28" s="65"/>
      <c r="CK28" s="65"/>
      <c r="CL28" s="65"/>
      <c r="CM28" s="65"/>
      <c r="CN28" s="65"/>
      <c r="CO28" s="65"/>
      <c r="CP28" s="65"/>
      <c r="CQ28" s="65"/>
      <c r="CR28" s="65"/>
      <c r="CS28" s="65"/>
      <c r="CT28" s="65"/>
      <c r="CU28" s="65"/>
      <c r="CV28" s="65"/>
      <c r="CW28" s="65"/>
      <c r="CX28" s="65"/>
      <c r="CY28" s="65"/>
      <c r="CZ28" s="65"/>
      <c r="DA28" s="65"/>
      <c r="DB28" s="65"/>
      <c r="DC28" s="65"/>
      <c r="DD28" s="65"/>
      <c r="DE28" s="65"/>
      <c r="DF28" s="65"/>
      <c r="DG28" s="65"/>
      <c r="DH28" s="65"/>
      <c r="DI28" s="65"/>
      <c r="DJ28" s="65"/>
      <c r="DK28" s="65"/>
      <c r="DL28" s="65"/>
      <c r="DM28" s="65"/>
      <c r="DN28" s="65"/>
      <c r="DO28" s="65"/>
      <c r="DP28" s="65"/>
      <c r="DQ28" s="65"/>
      <c r="DR28" s="65"/>
      <c r="DS28" s="65"/>
      <c r="DT28" s="65"/>
      <c r="DU28" s="65"/>
      <c r="DV28" s="65"/>
      <c r="DW28" s="65"/>
      <c r="DX28" s="65"/>
      <c r="DY28" s="65"/>
      <c r="DZ28" s="65"/>
      <c r="EA28" s="65"/>
      <c r="EB28" s="65"/>
      <c r="EC28" s="65"/>
      <c r="ED28" s="65"/>
      <c r="EE28" s="65"/>
      <c r="EF28" s="65"/>
      <c r="EG28" s="65"/>
      <c r="EH28" s="65"/>
      <c r="EI28" s="65"/>
      <c r="EJ28" s="65"/>
      <c r="EK28" s="65"/>
      <c r="EL28" s="65"/>
      <c r="EM28" s="65"/>
      <c r="EN28" s="65"/>
      <c r="EO28" s="65"/>
      <c r="EP28" s="65"/>
      <c r="EQ28" s="65"/>
      <c r="ER28" s="65"/>
      <c r="ES28" s="65"/>
      <c r="ET28" s="65"/>
      <c r="EU28" s="65"/>
      <c r="EV28" s="65"/>
      <c r="EW28" s="65"/>
      <c r="EX28" s="65"/>
      <c r="EY28" s="65"/>
      <c r="EZ28" s="65"/>
      <c r="FA28" s="65"/>
      <c r="FB28" s="65"/>
      <c r="FC28" s="65"/>
      <c r="FD28" s="65"/>
      <c r="FE28" s="65"/>
      <c r="FF28" s="65"/>
      <c r="FG28" s="65"/>
      <c r="FH28" s="65"/>
      <c r="FI28" s="65"/>
      <c r="FJ28" s="65"/>
      <c r="FK28" s="65"/>
      <c r="FL28" s="65"/>
      <c r="FM28" s="65"/>
      <c r="FN28" s="65"/>
      <c r="FO28" s="65"/>
      <c r="FP28" s="65"/>
      <c r="FQ28" s="65"/>
      <c r="FR28" s="65"/>
      <c r="FS28" s="65"/>
      <c r="FT28" s="65"/>
      <c r="FU28" s="65"/>
      <c r="FV28" s="65"/>
      <c r="FW28" s="65"/>
      <c r="FX28" s="65"/>
      <c r="FY28" s="65"/>
      <c r="FZ28" s="65"/>
      <c r="GA28" s="65"/>
      <c r="GB28" s="65"/>
      <c r="GC28" s="65"/>
      <c r="GD28" s="65"/>
      <c r="GE28" s="65"/>
      <c r="GF28" s="65"/>
      <c r="GG28" s="65"/>
      <c r="GH28" s="65"/>
      <c r="GI28" s="65"/>
      <c r="GJ28" s="65"/>
      <c r="GK28" s="65"/>
      <c r="GL28" s="65"/>
      <c r="GM28" s="65"/>
      <c r="GN28" s="65"/>
      <c r="GO28" s="65"/>
      <c r="GP28" s="65"/>
      <c r="GQ28" s="65"/>
      <c r="GR28" s="65"/>
      <c r="GS28" s="65"/>
      <c r="GT28" s="65"/>
      <c r="GU28" s="65"/>
      <c r="GV28" s="65"/>
      <c r="GW28" s="65"/>
      <c r="GX28" s="65"/>
      <c r="GY28" s="65"/>
      <c r="GZ28" s="65"/>
      <c r="HA28" s="65"/>
      <c r="HB28" s="65"/>
      <c r="HC28" s="65"/>
      <c r="HD28" s="65"/>
      <c r="HE28" s="65"/>
      <c r="HF28" s="65"/>
      <c r="HG28" s="65"/>
      <c r="HH28" s="65"/>
      <c r="HI28" s="65"/>
      <c r="HJ28" s="65"/>
      <c r="HK28" s="65"/>
      <c r="HL28" s="65"/>
      <c r="HM28" s="65"/>
      <c r="HN28" s="65"/>
      <c r="HO28" s="65"/>
      <c r="HP28" s="65"/>
      <c r="HQ28" s="65"/>
      <c r="HR28" s="65"/>
      <c r="HS28" s="65"/>
      <c r="HT28" s="65"/>
      <c r="HU28" s="65"/>
      <c r="HV28" s="65"/>
      <c r="HW28" s="65"/>
      <c r="HX28" s="65"/>
      <c r="HY28" s="65"/>
      <c r="HZ28" s="65"/>
      <c r="IA28" s="65"/>
      <c r="IB28" s="65"/>
      <c r="IC28" s="65"/>
      <c r="ID28" s="65"/>
      <c r="IE28" s="65"/>
      <c r="IF28" s="65"/>
      <c r="IG28" s="65"/>
      <c r="IH28" s="65"/>
      <c r="II28" s="65"/>
      <c r="IJ28" s="65"/>
      <c r="IK28" s="65"/>
      <c r="IL28" s="65"/>
      <c r="IM28" s="65"/>
      <c r="IN28" s="65"/>
      <c r="IO28" s="65"/>
      <c r="IP28" s="65"/>
      <c r="IQ28" s="65"/>
      <c r="IR28" s="65"/>
      <c r="IS28" s="65"/>
      <c r="IT28" s="65"/>
      <c r="IU28" s="65"/>
      <c r="IV28" s="65"/>
      <c r="IW28" s="65"/>
      <c r="IX28" s="65"/>
      <c r="IY28" s="65"/>
      <c r="IZ28" s="65"/>
      <c r="JA28" s="65"/>
      <c r="JB28" s="65"/>
      <c r="JC28" s="65"/>
      <c r="JD28" s="65"/>
      <c r="JE28" s="65"/>
      <c r="JF28" s="65"/>
      <c r="JG28" s="65"/>
      <c r="JH28" s="65"/>
      <c r="JI28" s="65"/>
      <c r="JJ28" s="65"/>
      <c r="JK28" s="65"/>
      <c r="JL28" s="65"/>
      <c r="JM28" s="65"/>
      <c r="JN28" s="65"/>
      <c r="JO28" s="65"/>
      <c r="JP28" s="65"/>
      <c r="JQ28" s="65"/>
      <c r="JR28" s="65"/>
      <c r="JS28" s="65"/>
      <c r="JT28" s="65"/>
      <c r="JU28" s="65"/>
      <c r="JV28" s="65"/>
      <c r="JW28" s="65"/>
      <c r="JX28" s="65"/>
      <c r="JY28" s="65"/>
      <c r="JZ28" s="65"/>
      <c r="KA28" s="65"/>
      <c r="KB28" s="65"/>
      <c r="KC28" s="65"/>
      <c r="KD28" s="65"/>
      <c r="KE28" s="65"/>
      <c r="KF28" s="65"/>
      <c r="KG28" s="65"/>
      <c r="KH28" s="65"/>
      <c r="KI28" s="65"/>
      <c r="KJ28" s="65"/>
      <c r="KK28" s="65"/>
      <c r="KL28" s="65"/>
      <c r="KM28" s="65"/>
      <c r="KN28" s="65"/>
      <c r="KO28" s="65"/>
      <c r="KP28" s="65"/>
      <c r="KQ28" s="65"/>
      <c r="KR28" s="65"/>
      <c r="KS28" s="65"/>
      <c r="KT28" s="65"/>
      <c r="KU28" s="65"/>
      <c r="KV28" s="65"/>
      <c r="KW28" s="65"/>
      <c r="KX28" s="65"/>
      <c r="KY28" s="65"/>
      <c r="KZ28" s="65"/>
      <c r="LA28" s="65"/>
      <c r="LB28" s="65"/>
      <c r="LC28" s="65"/>
      <c r="LD28" s="65"/>
      <c r="LE28" s="65"/>
      <c r="LF28" s="65"/>
      <c r="LG28" s="65"/>
      <c r="LH28" s="65"/>
      <c r="LI28" s="65"/>
      <c r="LJ28" s="65"/>
      <c r="LK28" s="65"/>
      <c r="LL28" s="65"/>
      <c r="LM28" s="65"/>
      <c r="LN28" s="65"/>
      <c r="LO28" s="65"/>
      <c r="LP28" s="65"/>
      <c r="LQ28" s="65"/>
      <c r="LR28" s="65"/>
      <c r="LS28" s="65"/>
      <c r="LT28" s="65"/>
      <c r="LU28" s="65"/>
      <c r="LV28" s="65"/>
      <c r="LW28" s="65"/>
      <c r="LX28" s="65"/>
      <c r="LY28" s="65"/>
      <c r="LZ28" s="65"/>
      <c r="MA28" s="65"/>
      <c r="MB28" s="65"/>
      <c r="MC28" s="65"/>
      <c r="MD28" s="65"/>
      <c r="ME28" s="65"/>
      <c r="MF28" s="65"/>
      <c r="MG28" s="65"/>
      <c r="MH28" s="65"/>
      <c r="MI28" s="65"/>
      <c r="MJ28" s="65"/>
      <c r="MK28" s="65"/>
      <c r="ML28" s="65"/>
      <c r="MM28" s="65"/>
      <c r="MN28" s="65"/>
      <c r="MO28" s="65"/>
      <c r="MP28" s="65"/>
      <c r="MQ28" s="65"/>
      <c r="MR28" s="65"/>
      <c r="MS28" s="65"/>
      <c r="MT28" s="65"/>
      <c r="MU28" s="65"/>
      <c r="MV28" s="65"/>
      <c r="MW28" s="65"/>
      <c r="MX28" s="65"/>
      <c r="MY28" s="65"/>
      <c r="MZ28" s="65"/>
      <c r="NA28" s="65"/>
      <c r="NB28" s="65"/>
      <c r="NC28" s="65"/>
      <c r="ND28" s="65"/>
      <c r="NE28" s="65"/>
      <c r="NF28" s="65"/>
      <c r="NG28" s="65"/>
    </row>
    <row r="29">
      <c r="A29" s="65"/>
      <c r="B29" s="65"/>
      <c r="C29" s="205">
        <v>6.0</v>
      </c>
      <c r="D29" s="205" t="s">
        <v>33</v>
      </c>
      <c r="E29" s="109"/>
      <c r="F29" s="107" t="s">
        <v>1351</v>
      </c>
      <c r="G29" s="115"/>
      <c r="H29" s="109"/>
      <c r="I29" s="107" t="s">
        <v>1352</v>
      </c>
      <c r="J29" s="111">
        <f>FIND("T",F29)</f>
        <v>6</v>
      </c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  <c r="BW29" s="65"/>
      <c r="BX29" s="65"/>
      <c r="BY29" s="65"/>
      <c r="BZ29" s="65"/>
      <c r="CA29" s="65"/>
      <c r="CB29" s="65"/>
      <c r="CC29" s="65"/>
      <c r="CD29" s="65"/>
      <c r="CE29" s="65"/>
      <c r="CF29" s="65"/>
      <c r="CG29" s="65"/>
      <c r="CH29" s="65"/>
      <c r="CI29" s="65"/>
      <c r="CJ29" s="65"/>
      <c r="CK29" s="65"/>
      <c r="CL29" s="65"/>
      <c r="CM29" s="65"/>
      <c r="CN29" s="65"/>
      <c r="CO29" s="65"/>
      <c r="CP29" s="65"/>
      <c r="CQ29" s="65"/>
      <c r="CR29" s="65"/>
      <c r="CS29" s="65"/>
      <c r="CT29" s="65"/>
      <c r="CU29" s="65"/>
      <c r="CV29" s="65"/>
      <c r="CW29" s="65"/>
      <c r="CX29" s="65"/>
      <c r="CY29" s="65"/>
      <c r="CZ29" s="65"/>
      <c r="DA29" s="65"/>
      <c r="DB29" s="65"/>
      <c r="DC29" s="65"/>
      <c r="DD29" s="65"/>
      <c r="DE29" s="65"/>
      <c r="DF29" s="65"/>
      <c r="DG29" s="65"/>
      <c r="DH29" s="65"/>
      <c r="DI29" s="65"/>
      <c r="DJ29" s="65"/>
      <c r="DK29" s="65"/>
      <c r="DL29" s="65"/>
      <c r="DM29" s="65"/>
      <c r="DN29" s="65"/>
      <c r="DO29" s="65"/>
      <c r="DP29" s="65"/>
      <c r="DQ29" s="65"/>
      <c r="DR29" s="65"/>
      <c r="DS29" s="65"/>
      <c r="DT29" s="65"/>
      <c r="DU29" s="65"/>
      <c r="DV29" s="65"/>
      <c r="DW29" s="65"/>
      <c r="DX29" s="65"/>
      <c r="DY29" s="65"/>
      <c r="DZ29" s="65"/>
      <c r="EA29" s="65"/>
      <c r="EB29" s="65"/>
      <c r="EC29" s="65"/>
      <c r="ED29" s="65"/>
      <c r="EE29" s="65"/>
      <c r="EF29" s="65"/>
      <c r="EG29" s="65"/>
      <c r="EH29" s="65"/>
      <c r="EI29" s="65"/>
      <c r="EJ29" s="65"/>
      <c r="EK29" s="65"/>
      <c r="EL29" s="65"/>
      <c r="EM29" s="65"/>
      <c r="EN29" s="65"/>
      <c r="EO29" s="65"/>
      <c r="EP29" s="65"/>
      <c r="EQ29" s="65"/>
      <c r="ER29" s="65"/>
      <c r="ES29" s="65"/>
      <c r="ET29" s="65"/>
      <c r="EU29" s="65"/>
      <c r="EV29" s="65"/>
      <c r="EW29" s="65"/>
      <c r="EX29" s="65"/>
      <c r="EY29" s="65"/>
      <c r="EZ29" s="65"/>
      <c r="FA29" s="65"/>
      <c r="FB29" s="65"/>
      <c r="FC29" s="65"/>
      <c r="FD29" s="65"/>
      <c r="FE29" s="65"/>
      <c r="FF29" s="65"/>
      <c r="FG29" s="65"/>
      <c r="FH29" s="65"/>
      <c r="FI29" s="65"/>
      <c r="FJ29" s="65"/>
      <c r="FK29" s="65"/>
      <c r="FL29" s="65"/>
      <c r="FM29" s="65"/>
      <c r="FN29" s="65"/>
      <c r="FO29" s="65"/>
      <c r="FP29" s="65"/>
      <c r="FQ29" s="65"/>
      <c r="FR29" s="65"/>
      <c r="FS29" s="65"/>
      <c r="FT29" s="65"/>
      <c r="FU29" s="65"/>
      <c r="FV29" s="65"/>
      <c r="FW29" s="65"/>
      <c r="FX29" s="65"/>
      <c r="FY29" s="65"/>
      <c r="FZ29" s="65"/>
      <c r="GA29" s="65"/>
      <c r="GB29" s="65"/>
      <c r="GC29" s="65"/>
      <c r="GD29" s="65"/>
      <c r="GE29" s="65"/>
      <c r="GF29" s="65"/>
      <c r="GG29" s="65"/>
      <c r="GH29" s="65"/>
      <c r="GI29" s="65"/>
      <c r="GJ29" s="65"/>
      <c r="GK29" s="65"/>
      <c r="GL29" s="65"/>
      <c r="GM29" s="65"/>
      <c r="GN29" s="65"/>
      <c r="GO29" s="65"/>
      <c r="GP29" s="65"/>
      <c r="GQ29" s="65"/>
      <c r="GR29" s="65"/>
      <c r="GS29" s="65"/>
      <c r="GT29" s="65"/>
      <c r="GU29" s="65"/>
      <c r="GV29" s="65"/>
      <c r="GW29" s="65"/>
      <c r="GX29" s="65"/>
      <c r="GY29" s="65"/>
      <c r="GZ29" s="65"/>
      <c r="HA29" s="65"/>
      <c r="HB29" s="65"/>
      <c r="HC29" s="65"/>
      <c r="HD29" s="65"/>
      <c r="HE29" s="65"/>
      <c r="HF29" s="65"/>
      <c r="HG29" s="65"/>
      <c r="HH29" s="65"/>
      <c r="HI29" s="65"/>
      <c r="HJ29" s="65"/>
      <c r="HK29" s="65"/>
      <c r="HL29" s="65"/>
      <c r="HM29" s="65"/>
      <c r="HN29" s="65"/>
      <c r="HO29" s="65"/>
      <c r="HP29" s="65"/>
      <c r="HQ29" s="65"/>
      <c r="HR29" s="65"/>
      <c r="HS29" s="65"/>
      <c r="HT29" s="65"/>
      <c r="HU29" s="65"/>
      <c r="HV29" s="65"/>
      <c r="HW29" s="65"/>
      <c r="HX29" s="65"/>
      <c r="HY29" s="65"/>
      <c r="HZ29" s="65"/>
      <c r="IA29" s="65"/>
      <c r="IB29" s="65"/>
      <c r="IC29" s="65"/>
      <c r="ID29" s="65"/>
      <c r="IE29" s="65"/>
      <c r="IF29" s="65"/>
      <c r="IG29" s="65"/>
      <c r="IH29" s="65"/>
      <c r="II29" s="65"/>
      <c r="IJ29" s="65"/>
      <c r="IK29" s="65"/>
      <c r="IL29" s="65"/>
      <c r="IM29" s="65"/>
      <c r="IN29" s="65"/>
      <c r="IO29" s="65"/>
      <c r="IP29" s="65"/>
      <c r="IQ29" s="65"/>
      <c r="IR29" s="65"/>
      <c r="IS29" s="65"/>
      <c r="IT29" s="65"/>
      <c r="IU29" s="65"/>
      <c r="IV29" s="65"/>
      <c r="IW29" s="65"/>
      <c r="IX29" s="65"/>
      <c r="IY29" s="65"/>
      <c r="IZ29" s="65"/>
      <c r="JA29" s="65"/>
      <c r="JB29" s="65"/>
      <c r="JC29" s="65"/>
      <c r="JD29" s="65"/>
      <c r="JE29" s="65"/>
      <c r="JF29" s="65"/>
      <c r="JG29" s="65"/>
      <c r="JH29" s="65"/>
      <c r="JI29" s="65"/>
      <c r="JJ29" s="65"/>
      <c r="JK29" s="65"/>
      <c r="JL29" s="65"/>
      <c r="JM29" s="65"/>
      <c r="JN29" s="65"/>
      <c r="JO29" s="65"/>
      <c r="JP29" s="65"/>
      <c r="JQ29" s="65"/>
      <c r="JR29" s="65"/>
      <c r="JS29" s="65"/>
      <c r="JT29" s="65"/>
      <c r="JU29" s="65"/>
      <c r="JV29" s="65"/>
      <c r="JW29" s="65"/>
      <c r="JX29" s="65"/>
      <c r="JY29" s="65"/>
      <c r="JZ29" s="65"/>
      <c r="KA29" s="65"/>
      <c r="KB29" s="65"/>
      <c r="KC29" s="65"/>
      <c r="KD29" s="65"/>
      <c r="KE29" s="65"/>
      <c r="KF29" s="65"/>
      <c r="KG29" s="65"/>
      <c r="KH29" s="65"/>
      <c r="KI29" s="65"/>
      <c r="KJ29" s="65"/>
      <c r="KK29" s="65"/>
      <c r="KL29" s="65"/>
      <c r="KM29" s="65"/>
      <c r="KN29" s="65"/>
      <c r="KO29" s="65"/>
      <c r="KP29" s="65"/>
      <c r="KQ29" s="65"/>
      <c r="KR29" s="65"/>
      <c r="KS29" s="65"/>
      <c r="KT29" s="65"/>
      <c r="KU29" s="65"/>
      <c r="KV29" s="65"/>
      <c r="KW29" s="65"/>
      <c r="KX29" s="65"/>
      <c r="KY29" s="65"/>
      <c r="KZ29" s="65"/>
      <c r="LA29" s="65"/>
      <c r="LB29" s="65"/>
      <c r="LC29" s="65"/>
      <c r="LD29" s="65"/>
      <c r="LE29" s="65"/>
      <c r="LF29" s="65"/>
      <c r="LG29" s="65"/>
      <c r="LH29" s="65"/>
      <c r="LI29" s="65"/>
      <c r="LJ29" s="65"/>
      <c r="LK29" s="65"/>
      <c r="LL29" s="65"/>
      <c r="LM29" s="65"/>
      <c r="LN29" s="65"/>
      <c r="LO29" s="65"/>
      <c r="LP29" s="65"/>
      <c r="LQ29" s="65"/>
      <c r="LR29" s="65"/>
      <c r="LS29" s="65"/>
      <c r="LT29" s="65"/>
      <c r="LU29" s="65"/>
      <c r="LV29" s="65"/>
      <c r="LW29" s="65"/>
      <c r="LX29" s="65"/>
      <c r="LY29" s="65"/>
      <c r="LZ29" s="65"/>
      <c r="MA29" s="65"/>
      <c r="MB29" s="65"/>
      <c r="MC29" s="65"/>
      <c r="MD29" s="65"/>
      <c r="ME29" s="65"/>
      <c r="MF29" s="65"/>
      <c r="MG29" s="65"/>
      <c r="MH29" s="65"/>
      <c r="MI29" s="65"/>
      <c r="MJ29" s="65"/>
      <c r="MK29" s="65"/>
      <c r="ML29" s="65"/>
      <c r="MM29" s="65"/>
      <c r="MN29" s="65"/>
      <c r="MO29" s="65"/>
      <c r="MP29" s="65"/>
      <c r="MQ29" s="65"/>
      <c r="MR29" s="65"/>
      <c r="MS29" s="65"/>
      <c r="MT29" s="65"/>
      <c r="MU29" s="65"/>
      <c r="MV29" s="65"/>
      <c r="MW29" s="65"/>
      <c r="MX29" s="65"/>
      <c r="MY29" s="65"/>
      <c r="MZ29" s="65"/>
      <c r="NA29" s="65"/>
      <c r="NB29" s="65"/>
      <c r="NC29" s="65"/>
      <c r="ND29" s="65"/>
      <c r="NE29" s="65"/>
      <c r="NF29" s="65"/>
      <c r="NG29" s="65"/>
    </row>
    <row r="30">
      <c r="A30" s="65"/>
      <c r="B30" s="65"/>
      <c r="C30" s="207"/>
      <c r="D30" s="207"/>
      <c r="E30" s="109"/>
      <c r="F30" s="107" t="s">
        <v>1353</v>
      </c>
      <c r="G30" s="115"/>
      <c r="H30" s="109"/>
      <c r="I30" s="107" t="s">
        <v>1354</v>
      </c>
      <c r="J30" s="111">
        <f>FIND("e",F30)</f>
        <v>2</v>
      </c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5"/>
      <c r="BQ30" s="65"/>
      <c r="BR30" s="65"/>
      <c r="BS30" s="65"/>
      <c r="BT30" s="65"/>
      <c r="BU30" s="65"/>
      <c r="BV30" s="65"/>
      <c r="BW30" s="65"/>
      <c r="BX30" s="65"/>
      <c r="BY30" s="65"/>
      <c r="BZ30" s="65"/>
      <c r="CA30" s="65"/>
      <c r="CB30" s="65"/>
      <c r="CC30" s="65"/>
      <c r="CD30" s="65"/>
      <c r="CE30" s="65"/>
      <c r="CF30" s="65"/>
      <c r="CG30" s="65"/>
      <c r="CH30" s="65"/>
      <c r="CI30" s="65"/>
      <c r="CJ30" s="65"/>
      <c r="CK30" s="65"/>
      <c r="CL30" s="65"/>
      <c r="CM30" s="65"/>
      <c r="CN30" s="65"/>
      <c r="CO30" s="65"/>
      <c r="CP30" s="65"/>
      <c r="CQ30" s="65"/>
      <c r="CR30" s="65"/>
      <c r="CS30" s="65"/>
      <c r="CT30" s="65"/>
      <c r="CU30" s="65"/>
      <c r="CV30" s="65"/>
      <c r="CW30" s="65"/>
      <c r="CX30" s="65"/>
      <c r="CY30" s="65"/>
      <c r="CZ30" s="65"/>
      <c r="DA30" s="65"/>
      <c r="DB30" s="65"/>
      <c r="DC30" s="65"/>
      <c r="DD30" s="65"/>
      <c r="DE30" s="65"/>
      <c r="DF30" s="65"/>
      <c r="DG30" s="65"/>
      <c r="DH30" s="65"/>
      <c r="DI30" s="65"/>
      <c r="DJ30" s="65"/>
      <c r="DK30" s="65"/>
      <c r="DL30" s="65"/>
      <c r="DM30" s="65"/>
      <c r="DN30" s="65"/>
      <c r="DO30" s="65"/>
      <c r="DP30" s="65"/>
      <c r="DQ30" s="65"/>
      <c r="DR30" s="65"/>
      <c r="DS30" s="65"/>
      <c r="DT30" s="65"/>
      <c r="DU30" s="65"/>
      <c r="DV30" s="65"/>
      <c r="DW30" s="65"/>
      <c r="DX30" s="65"/>
      <c r="DY30" s="65"/>
      <c r="DZ30" s="65"/>
      <c r="EA30" s="65"/>
      <c r="EB30" s="65"/>
      <c r="EC30" s="65"/>
      <c r="ED30" s="65"/>
      <c r="EE30" s="65"/>
      <c r="EF30" s="65"/>
      <c r="EG30" s="65"/>
      <c r="EH30" s="65"/>
      <c r="EI30" s="65"/>
      <c r="EJ30" s="65"/>
      <c r="EK30" s="65"/>
      <c r="EL30" s="65"/>
      <c r="EM30" s="65"/>
      <c r="EN30" s="65"/>
      <c r="EO30" s="65"/>
      <c r="EP30" s="65"/>
      <c r="EQ30" s="65"/>
      <c r="ER30" s="65"/>
      <c r="ES30" s="65"/>
      <c r="ET30" s="65"/>
      <c r="EU30" s="65"/>
      <c r="EV30" s="65"/>
      <c r="EW30" s="65"/>
      <c r="EX30" s="65"/>
      <c r="EY30" s="65"/>
      <c r="EZ30" s="65"/>
      <c r="FA30" s="65"/>
      <c r="FB30" s="65"/>
      <c r="FC30" s="65"/>
      <c r="FD30" s="65"/>
      <c r="FE30" s="65"/>
      <c r="FF30" s="65"/>
      <c r="FG30" s="65"/>
      <c r="FH30" s="65"/>
      <c r="FI30" s="65"/>
      <c r="FJ30" s="65"/>
      <c r="FK30" s="65"/>
      <c r="FL30" s="65"/>
      <c r="FM30" s="65"/>
      <c r="FN30" s="65"/>
      <c r="FO30" s="65"/>
      <c r="FP30" s="65"/>
      <c r="FQ30" s="65"/>
      <c r="FR30" s="65"/>
      <c r="FS30" s="65"/>
      <c r="FT30" s="65"/>
      <c r="FU30" s="65"/>
      <c r="FV30" s="65"/>
      <c r="FW30" s="65"/>
      <c r="FX30" s="65"/>
      <c r="FY30" s="65"/>
      <c r="FZ30" s="65"/>
      <c r="GA30" s="65"/>
      <c r="GB30" s="65"/>
      <c r="GC30" s="65"/>
      <c r="GD30" s="65"/>
      <c r="GE30" s="65"/>
      <c r="GF30" s="65"/>
      <c r="GG30" s="65"/>
      <c r="GH30" s="65"/>
      <c r="GI30" s="65"/>
      <c r="GJ30" s="65"/>
      <c r="GK30" s="65"/>
      <c r="GL30" s="65"/>
      <c r="GM30" s="65"/>
      <c r="GN30" s="65"/>
      <c r="GO30" s="65"/>
      <c r="GP30" s="65"/>
      <c r="GQ30" s="65"/>
      <c r="GR30" s="65"/>
      <c r="GS30" s="65"/>
      <c r="GT30" s="65"/>
      <c r="GU30" s="65"/>
      <c r="GV30" s="65"/>
      <c r="GW30" s="65"/>
      <c r="GX30" s="65"/>
      <c r="GY30" s="65"/>
      <c r="GZ30" s="65"/>
      <c r="HA30" s="65"/>
      <c r="HB30" s="65"/>
      <c r="HC30" s="65"/>
      <c r="HD30" s="65"/>
      <c r="HE30" s="65"/>
      <c r="HF30" s="65"/>
      <c r="HG30" s="65"/>
      <c r="HH30" s="65"/>
      <c r="HI30" s="65"/>
      <c r="HJ30" s="65"/>
      <c r="HK30" s="65"/>
      <c r="HL30" s="65"/>
      <c r="HM30" s="65"/>
      <c r="HN30" s="65"/>
      <c r="HO30" s="65"/>
      <c r="HP30" s="65"/>
      <c r="HQ30" s="65"/>
      <c r="HR30" s="65"/>
      <c r="HS30" s="65"/>
      <c r="HT30" s="65"/>
      <c r="HU30" s="65"/>
      <c r="HV30" s="65"/>
      <c r="HW30" s="65"/>
      <c r="HX30" s="65"/>
      <c r="HY30" s="65"/>
      <c r="HZ30" s="65"/>
      <c r="IA30" s="65"/>
      <c r="IB30" s="65"/>
      <c r="IC30" s="65"/>
      <c r="ID30" s="65"/>
      <c r="IE30" s="65"/>
      <c r="IF30" s="65"/>
      <c r="IG30" s="65"/>
      <c r="IH30" s="65"/>
      <c r="II30" s="65"/>
      <c r="IJ30" s="65"/>
      <c r="IK30" s="65"/>
      <c r="IL30" s="65"/>
      <c r="IM30" s="65"/>
      <c r="IN30" s="65"/>
      <c r="IO30" s="65"/>
      <c r="IP30" s="65"/>
      <c r="IQ30" s="65"/>
      <c r="IR30" s="65"/>
      <c r="IS30" s="65"/>
      <c r="IT30" s="65"/>
      <c r="IU30" s="65"/>
      <c r="IV30" s="65"/>
      <c r="IW30" s="65"/>
      <c r="IX30" s="65"/>
      <c r="IY30" s="65"/>
      <c r="IZ30" s="65"/>
      <c r="JA30" s="65"/>
      <c r="JB30" s="65"/>
      <c r="JC30" s="65"/>
      <c r="JD30" s="65"/>
      <c r="JE30" s="65"/>
      <c r="JF30" s="65"/>
      <c r="JG30" s="65"/>
      <c r="JH30" s="65"/>
      <c r="JI30" s="65"/>
      <c r="JJ30" s="65"/>
      <c r="JK30" s="65"/>
      <c r="JL30" s="65"/>
      <c r="JM30" s="65"/>
      <c r="JN30" s="65"/>
      <c r="JO30" s="65"/>
      <c r="JP30" s="65"/>
      <c r="JQ30" s="65"/>
      <c r="JR30" s="65"/>
      <c r="JS30" s="65"/>
      <c r="JT30" s="65"/>
      <c r="JU30" s="65"/>
      <c r="JV30" s="65"/>
      <c r="JW30" s="65"/>
      <c r="JX30" s="65"/>
      <c r="JY30" s="65"/>
      <c r="JZ30" s="65"/>
      <c r="KA30" s="65"/>
      <c r="KB30" s="65"/>
      <c r="KC30" s="65"/>
      <c r="KD30" s="65"/>
      <c r="KE30" s="65"/>
      <c r="KF30" s="65"/>
      <c r="KG30" s="65"/>
      <c r="KH30" s="65"/>
      <c r="KI30" s="65"/>
      <c r="KJ30" s="65"/>
      <c r="KK30" s="65"/>
      <c r="KL30" s="65"/>
      <c r="KM30" s="65"/>
      <c r="KN30" s="65"/>
      <c r="KO30" s="65"/>
      <c r="KP30" s="65"/>
      <c r="KQ30" s="65"/>
      <c r="KR30" s="65"/>
      <c r="KS30" s="65"/>
      <c r="KT30" s="65"/>
      <c r="KU30" s="65"/>
      <c r="KV30" s="65"/>
      <c r="KW30" s="65"/>
      <c r="KX30" s="65"/>
      <c r="KY30" s="65"/>
      <c r="KZ30" s="65"/>
      <c r="LA30" s="65"/>
      <c r="LB30" s="65"/>
      <c r="LC30" s="65"/>
      <c r="LD30" s="65"/>
      <c r="LE30" s="65"/>
      <c r="LF30" s="65"/>
      <c r="LG30" s="65"/>
      <c r="LH30" s="65"/>
      <c r="LI30" s="65"/>
      <c r="LJ30" s="65"/>
      <c r="LK30" s="65"/>
      <c r="LL30" s="65"/>
      <c r="LM30" s="65"/>
      <c r="LN30" s="65"/>
      <c r="LO30" s="65"/>
      <c r="LP30" s="65"/>
      <c r="LQ30" s="65"/>
      <c r="LR30" s="65"/>
      <c r="LS30" s="65"/>
      <c r="LT30" s="65"/>
      <c r="LU30" s="65"/>
      <c r="LV30" s="65"/>
      <c r="LW30" s="65"/>
      <c r="LX30" s="65"/>
      <c r="LY30" s="65"/>
      <c r="LZ30" s="65"/>
      <c r="MA30" s="65"/>
      <c r="MB30" s="65"/>
      <c r="MC30" s="65"/>
      <c r="MD30" s="65"/>
      <c r="ME30" s="65"/>
      <c r="MF30" s="65"/>
      <c r="MG30" s="65"/>
      <c r="MH30" s="65"/>
      <c r="MI30" s="65"/>
      <c r="MJ30" s="65"/>
      <c r="MK30" s="65"/>
      <c r="ML30" s="65"/>
      <c r="MM30" s="65"/>
      <c r="MN30" s="65"/>
      <c r="MO30" s="65"/>
      <c r="MP30" s="65"/>
      <c r="MQ30" s="65"/>
      <c r="MR30" s="65"/>
      <c r="MS30" s="65"/>
      <c r="MT30" s="65"/>
      <c r="MU30" s="65"/>
      <c r="MV30" s="65"/>
      <c r="MW30" s="65"/>
      <c r="MX30" s="65"/>
      <c r="MY30" s="65"/>
      <c r="MZ30" s="65"/>
      <c r="NA30" s="65"/>
      <c r="NB30" s="65"/>
      <c r="NC30" s="65"/>
      <c r="ND30" s="65"/>
      <c r="NE30" s="65"/>
      <c r="NF30" s="65"/>
      <c r="NG30" s="65"/>
    </row>
    <row r="31">
      <c r="A31" s="65"/>
      <c r="B31" s="65"/>
      <c r="C31" s="207"/>
      <c r="D31" s="207"/>
      <c r="E31" s="109"/>
      <c r="F31" s="107" t="s">
        <v>1355</v>
      </c>
      <c r="G31" s="109"/>
      <c r="H31" s="109"/>
      <c r="I31" s="107" t="s">
        <v>1356</v>
      </c>
      <c r="J31" s="111">
        <f>FIND("a",F31)</f>
        <v>2</v>
      </c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5"/>
      <c r="BQ31" s="65"/>
      <c r="BR31" s="65"/>
      <c r="BS31" s="65"/>
      <c r="BT31" s="65"/>
      <c r="BU31" s="65"/>
      <c r="BV31" s="65"/>
      <c r="BW31" s="65"/>
      <c r="BX31" s="65"/>
      <c r="BY31" s="65"/>
      <c r="BZ31" s="65"/>
      <c r="CA31" s="65"/>
      <c r="CB31" s="65"/>
      <c r="CC31" s="65"/>
      <c r="CD31" s="65"/>
      <c r="CE31" s="65"/>
      <c r="CF31" s="65"/>
      <c r="CG31" s="65"/>
      <c r="CH31" s="65"/>
      <c r="CI31" s="65"/>
      <c r="CJ31" s="65"/>
      <c r="CK31" s="65"/>
      <c r="CL31" s="65"/>
      <c r="CM31" s="65"/>
      <c r="CN31" s="65"/>
      <c r="CO31" s="65"/>
      <c r="CP31" s="65"/>
      <c r="CQ31" s="65"/>
      <c r="CR31" s="65"/>
      <c r="CS31" s="65"/>
      <c r="CT31" s="65"/>
      <c r="CU31" s="65"/>
      <c r="CV31" s="65"/>
      <c r="CW31" s="65"/>
      <c r="CX31" s="65"/>
      <c r="CY31" s="65"/>
      <c r="CZ31" s="65"/>
      <c r="DA31" s="65"/>
      <c r="DB31" s="65"/>
      <c r="DC31" s="65"/>
      <c r="DD31" s="65"/>
      <c r="DE31" s="65"/>
      <c r="DF31" s="65"/>
      <c r="DG31" s="65"/>
      <c r="DH31" s="65"/>
      <c r="DI31" s="65"/>
      <c r="DJ31" s="65"/>
      <c r="DK31" s="65"/>
      <c r="DL31" s="65"/>
      <c r="DM31" s="65"/>
      <c r="DN31" s="65"/>
      <c r="DO31" s="65"/>
      <c r="DP31" s="65"/>
      <c r="DQ31" s="65"/>
      <c r="DR31" s="65"/>
      <c r="DS31" s="65"/>
      <c r="DT31" s="65"/>
      <c r="DU31" s="65"/>
      <c r="DV31" s="65"/>
      <c r="DW31" s="65"/>
      <c r="DX31" s="65"/>
      <c r="DY31" s="65"/>
      <c r="DZ31" s="65"/>
      <c r="EA31" s="65"/>
      <c r="EB31" s="65"/>
      <c r="EC31" s="65"/>
      <c r="ED31" s="65"/>
      <c r="EE31" s="65"/>
      <c r="EF31" s="65"/>
      <c r="EG31" s="65"/>
      <c r="EH31" s="65"/>
      <c r="EI31" s="65"/>
      <c r="EJ31" s="65"/>
      <c r="EK31" s="65"/>
      <c r="EL31" s="65"/>
      <c r="EM31" s="65"/>
      <c r="EN31" s="65"/>
      <c r="EO31" s="65"/>
      <c r="EP31" s="65"/>
      <c r="EQ31" s="65"/>
      <c r="ER31" s="65"/>
      <c r="ES31" s="65"/>
      <c r="ET31" s="65"/>
      <c r="EU31" s="65"/>
      <c r="EV31" s="65"/>
      <c r="EW31" s="65"/>
      <c r="EX31" s="65"/>
      <c r="EY31" s="65"/>
      <c r="EZ31" s="65"/>
      <c r="FA31" s="65"/>
      <c r="FB31" s="65"/>
      <c r="FC31" s="65"/>
      <c r="FD31" s="65"/>
      <c r="FE31" s="65"/>
      <c r="FF31" s="65"/>
      <c r="FG31" s="65"/>
      <c r="FH31" s="65"/>
      <c r="FI31" s="65"/>
      <c r="FJ31" s="65"/>
      <c r="FK31" s="65"/>
      <c r="FL31" s="65"/>
      <c r="FM31" s="65"/>
      <c r="FN31" s="65"/>
      <c r="FO31" s="65"/>
      <c r="FP31" s="65"/>
      <c r="FQ31" s="65"/>
      <c r="FR31" s="65"/>
      <c r="FS31" s="65"/>
      <c r="FT31" s="65"/>
      <c r="FU31" s="65"/>
      <c r="FV31" s="65"/>
      <c r="FW31" s="65"/>
      <c r="FX31" s="65"/>
      <c r="FY31" s="65"/>
      <c r="FZ31" s="65"/>
      <c r="GA31" s="65"/>
      <c r="GB31" s="65"/>
      <c r="GC31" s="65"/>
      <c r="GD31" s="65"/>
      <c r="GE31" s="65"/>
      <c r="GF31" s="65"/>
      <c r="GG31" s="65"/>
      <c r="GH31" s="65"/>
      <c r="GI31" s="65"/>
      <c r="GJ31" s="65"/>
      <c r="GK31" s="65"/>
      <c r="GL31" s="65"/>
      <c r="GM31" s="65"/>
      <c r="GN31" s="65"/>
      <c r="GO31" s="65"/>
      <c r="GP31" s="65"/>
      <c r="GQ31" s="65"/>
      <c r="GR31" s="65"/>
      <c r="GS31" s="65"/>
      <c r="GT31" s="65"/>
      <c r="GU31" s="65"/>
      <c r="GV31" s="65"/>
      <c r="GW31" s="65"/>
      <c r="GX31" s="65"/>
      <c r="GY31" s="65"/>
      <c r="GZ31" s="65"/>
      <c r="HA31" s="65"/>
      <c r="HB31" s="65"/>
      <c r="HC31" s="65"/>
      <c r="HD31" s="65"/>
      <c r="HE31" s="65"/>
      <c r="HF31" s="65"/>
      <c r="HG31" s="65"/>
      <c r="HH31" s="65"/>
      <c r="HI31" s="65"/>
      <c r="HJ31" s="65"/>
      <c r="HK31" s="65"/>
      <c r="HL31" s="65"/>
      <c r="HM31" s="65"/>
      <c r="HN31" s="65"/>
      <c r="HO31" s="65"/>
      <c r="HP31" s="65"/>
      <c r="HQ31" s="65"/>
      <c r="HR31" s="65"/>
      <c r="HS31" s="65"/>
      <c r="HT31" s="65"/>
      <c r="HU31" s="65"/>
      <c r="HV31" s="65"/>
      <c r="HW31" s="65"/>
      <c r="HX31" s="65"/>
      <c r="HY31" s="65"/>
      <c r="HZ31" s="65"/>
      <c r="IA31" s="65"/>
      <c r="IB31" s="65"/>
      <c r="IC31" s="65"/>
      <c r="ID31" s="65"/>
      <c r="IE31" s="65"/>
      <c r="IF31" s="65"/>
      <c r="IG31" s="65"/>
      <c r="IH31" s="65"/>
      <c r="II31" s="65"/>
      <c r="IJ31" s="65"/>
      <c r="IK31" s="65"/>
      <c r="IL31" s="65"/>
      <c r="IM31" s="65"/>
      <c r="IN31" s="65"/>
      <c r="IO31" s="65"/>
      <c r="IP31" s="65"/>
      <c r="IQ31" s="65"/>
      <c r="IR31" s="65"/>
      <c r="IS31" s="65"/>
      <c r="IT31" s="65"/>
      <c r="IU31" s="65"/>
      <c r="IV31" s="65"/>
      <c r="IW31" s="65"/>
      <c r="IX31" s="65"/>
      <c r="IY31" s="65"/>
      <c r="IZ31" s="65"/>
      <c r="JA31" s="65"/>
      <c r="JB31" s="65"/>
      <c r="JC31" s="65"/>
      <c r="JD31" s="65"/>
      <c r="JE31" s="65"/>
      <c r="JF31" s="65"/>
      <c r="JG31" s="65"/>
      <c r="JH31" s="65"/>
      <c r="JI31" s="65"/>
      <c r="JJ31" s="65"/>
      <c r="JK31" s="65"/>
      <c r="JL31" s="65"/>
      <c r="JM31" s="65"/>
      <c r="JN31" s="65"/>
      <c r="JO31" s="65"/>
      <c r="JP31" s="65"/>
      <c r="JQ31" s="65"/>
      <c r="JR31" s="65"/>
      <c r="JS31" s="65"/>
      <c r="JT31" s="65"/>
      <c r="JU31" s="65"/>
      <c r="JV31" s="65"/>
      <c r="JW31" s="65"/>
      <c r="JX31" s="65"/>
      <c r="JY31" s="65"/>
      <c r="JZ31" s="65"/>
      <c r="KA31" s="65"/>
      <c r="KB31" s="65"/>
      <c r="KC31" s="65"/>
      <c r="KD31" s="65"/>
      <c r="KE31" s="65"/>
      <c r="KF31" s="65"/>
      <c r="KG31" s="65"/>
      <c r="KH31" s="65"/>
      <c r="KI31" s="65"/>
      <c r="KJ31" s="65"/>
      <c r="KK31" s="65"/>
      <c r="KL31" s="65"/>
      <c r="KM31" s="65"/>
      <c r="KN31" s="65"/>
      <c r="KO31" s="65"/>
      <c r="KP31" s="65"/>
      <c r="KQ31" s="65"/>
      <c r="KR31" s="65"/>
      <c r="KS31" s="65"/>
      <c r="KT31" s="65"/>
      <c r="KU31" s="65"/>
      <c r="KV31" s="65"/>
      <c r="KW31" s="65"/>
      <c r="KX31" s="65"/>
      <c r="KY31" s="65"/>
      <c r="KZ31" s="65"/>
      <c r="LA31" s="65"/>
      <c r="LB31" s="65"/>
      <c r="LC31" s="65"/>
      <c r="LD31" s="65"/>
      <c r="LE31" s="65"/>
      <c r="LF31" s="65"/>
      <c r="LG31" s="65"/>
      <c r="LH31" s="65"/>
      <c r="LI31" s="65"/>
      <c r="LJ31" s="65"/>
      <c r="LK31" s="65"/>
      <c r="LL31" s="65"/>
      <c r="LM31" s="65"/>
      <c r="LN31" s="65"/>
      <c r="LO31" s="65"/>
      <c r="LP31" s="65"/>
      <c r="LQ31" s="65"/>
      <c r="LR31" s="65"/>
      <c r="LS31" s="65"/>
      <c r="LT31" s="65"/>
      <c r="LU31" s="65"/>
      <c r="LV31" s="65"/>
      <c r="LW31" s="65"/>
      <c r="LX31" s="65"/>
      <c r="LY31" s="65"/>
      <c r="LZ31" s="65"/>
      <c r="MA31" s="65"/>
      <c r="MB31" s="65"/>
      <c r="MC31" s="65"/>
      <c r="MD31" s="65"/>
      <c r="ME31" s="65"/>
      <c r="MF31" s="65"/>
      <c r="MG31" s="65"/>
      <c r="MH31" s="65"/>
      <c r="MI31" s="65"/>
      <c r="MJ31" s="65"/>
      <c r="MK31" s="65"/>
      <c r="ML31" s="65"/>
      <c r="MM31" s="65"/>
      <c r="MN31" s="65"/>
      <c r="MO31" s="65"/>
      <c r="MP31" s="65"/>
      <c r="MQ31" s="65"/>
      <c r="MR31" s="65"/>
      <c r="MS31" s="65"/>
      <c r="MT31" s="65"/>
      <c r="MU31" s="65"/>
      <c r="MV31" s="65"/>
      <c r="MW31" s="65"/>
      <c r="MX31" s="65"/>
      <c r="MY31" s="65"/>
      <c r="MZ31" s="65"/>
      <c r="NA31" s="65"/>
      <c r="NB31" s="65"/>
      <c r="NC31" s="65"/>
      <c r="ND31" s="65"/>
      <c r="NE31" s="65"/>
      <c r="NF31" s="65"/>
      <c r="NG31" s="65"/>
    </row>
    <row r="32">
      <c r="A32" s="65"/>
      <c r="B32" s="65"/>
      <c r="C32" s="207"/>
      <c r="D32" s="207"/>
      <c r="E32" s="109"/>
      <c r="F32" s="107" t="s">
        <v>1357</v>
      </c>
      <c r="G32" s="109"/>
      <c r="H32" s="109"/>
      <c r="I32" s="107" t="s">
        <v>1358</v>
      </c>
      <c r="J32" s="111">
        <f>FIND("u",F32)</f>
        <v>3</v>
      </c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5"/>
      <c r="BQ32" s="65"/>
      <c r="BR32" s="65"/>
      <c r="BS32" s="65"/>
      <c r="BT32" s="65"/>
      <c r="BU32" s="65"/>
      <c r="BV32" s="65"/>
      <c r="BW32" s="65"/>
      <c r="BX32" s="65"/>
      <c r="BY32" s="65"/>
      <c r="BZ32" s="65"/>
      <c r="CA32" s="65"/>
      <c r="CB32" s="65"/>
      <c r="CC32" s="65"/>
      <c r="CD32" s="65"/>
      <c r="CE32" s="65"/>
      <c r="CF32" s="65"/>
      <c r="CG32" s="65"/>
      <c r="CH32" s="65"/>
      <c r="CI32" s="65"/>
      <c r="CJ32" s="65"/>
      <c r="CK32" s="65"/>
      <c r="CL32" s="65"/>
      <c r="CM32" s="65"/>
      <c r="CN32" s="65"/>
      <c r="CO32" s="65"/>
      <c r="CP32" s="65"/>
      <c r="CQ32" s="65"/>
      <c r="CR32" s="65"/>
      <c r="CS32" s="65"/>
      <c r="CT32" s="65"/>
      <c r="CU32" s="65"/>
      <c r="CV32" s="65"/>
      <c r="CW32" s="65"/>
      <c r="CX32" s="65"/>
      <c r="CY32" s="65"/>
      <c r="CZ32" s="65"/>
      <c r="DA32" s="65"/>
      <c r="DB32" s="65"/>
      <c r="DC32" s="65"/>
      <c r="DD32" s="65"/>
      <c r="DE32" s="65"/>
      <c r="DF32" s="65"/>
      <c r="DG32" s="65"/>
      <c r="DH32" s="65"/>
      <c r="DI32" s="65"/>
      <c r="DJ32" s="65"/>
      <c r="DK32" s="65"/>
      <c r="DL32" s="65"/>
      <c r="DM32" s="65"/>
      <c r="DN32" s="65"/>
      <c r="DO32" s="65"/>
      <c r="DP32" s="65"/>
      <c r="DQ32" s="65"/>
      <c r="DR32" s="65"/>
      <c r="DS32" s="65"/>
      <c r="DT32" s="65"/>
      <c r="DU32" s="65"/>
      <c r="DV32" s="65"/>
      <c r="DW32" s="65"/>
      <c r="DX32" s="65"/>
      <c r="DY32" s="65"/>
      <c r="DZ32" s="65"/>
      <c r="EA32" s="65"/>
      <c r="EB32" s="65"/>
      <c r="EC32" s="65"/>
      <c r="ED32" s="65"/>
      <c r="EE32" s="65"/>
      <c r="EF32" s="65"/>
      <c r="EG32" s="65"/>
      <c r="EH32" s="65"/>
      <c r="EI32" s="65"/>
      <c r="EJ32" s="65"/>
      <c r="EK32" s="65"/>
      <c r="EL32" s="65"/>
      <c r="EM32" s="65"/>
      <c r="EN32" s="65"/>
      <c r="EO32" s="65"/>
      <c r="EP32" s="65"/>
      <c r="EQ32" s="65"/>
      <c r="ER32" s="65"/>
      <c r="ES32" s="65"/>
      <c r="ET32" s="65"/>
      <c r="EU32" s="65"/>
      <c r="EV32" s="65"/>
      <c r="EW32" s="65"/>
      <c r="EX32" s="65"/>
      <c r="EY32" s="65"/>
      <c r="EZ32" s="65"/>
      <c r="FA32" s="65"/>
      <c r="FB32" s="65"/>
      <c r="FC32" s="65"/>
      <c r="FD32" s="65"/>
      <c r="FE32" s="65"/>
      <c r="FF32" s="65"/>
      <c r="FG32" s="65"/>
      <c r="FH32" s="65"/>
      <c r="FI32" s="65"/>
      <c r="FJ32" s="65"/>
      <c r="FK32" s="65"/>
      <c r="FL32" s="65"/>
      <c r="FM32" s="65"/>
      <c r="FN32" s="65"/>
      <c r="FO32" s="65"/>
      <c r="FP32" s="65"/>
      <c r="FQ32" s="65"/>
      <c r="FR32" s="65"/>
      <c r="FS32" s="65"/>
      <c r="FT32" s="65"/>
      <c r="FU32" s="65"/>
      <c r="FV32" s="65"/>
      <c r="FW32" s="65"/>
      <c r="FX32" s="65"/>
      <c r="FY32" s="65"/>
      <c r="FZ32" s="65"/>
      <c r="GA32" s="65"/>
      <c r="GB32" s="65"/>
      <c r="GC32" s="65"/>
      <c r="GD32" s="65"/>
      <c r="GE32" s="65"/>
      <c r="GF32" s="65"/>
      <c r="GG32" s="65"/>
      <c r="GH32" s="65"/>
      <c r="GI32" s="65"/>
      <c r="GJ32" s="65"/>
      <c r="GK32" s="65"/>
      <c r="GL32" s="65"/>
      <c r="GM32" s="65"/>
      <c r="GN32" s="65"/>
      <c r="GO32" s="65"/>
      <c r="GP32" s="65"/>
      <c r="GQ32" s="65"/>
      <c r="GR32" s="65"/>
      <c r="GS32" s="65"/>
      <c r="GT32" s="65"/>
      <c r="GU32" s="65"/>
      <c r="GV32" s="65"/>
      <c r="GW32" s="65"/>
      <c r="GX32" s="65"/>
      <c r="GY32" s="65"/>
      <c r="GZ32" s="65"/>
      <c r="HA32" s="65"/>
      <c r="HB32" s="65"/>
      <c r="HC32" s="65"/>
      <c r="HD32" s="65"/>
      <c r="HE32" s="65"/>
      <c r="HF32" s="65"/>
      <c r="HG32" s="65"/>
      <c r="HH32" s="65"/>
      <c r="HI32" s="65"/>
      <c r="HJ32" s="65"/>
      <c r="HK32" s="65"/>
      <c r="HL32" s="65"/>
      <c r="HM32" s="65"/>
      <c r="HN32" s="65"/>
      <c r="HO32" s="65"/>
      <c r="HP32" s="65"/>
      <c r="HQ32" s="65"/>
      <c r="HR32" s="65"/>
      <c r="HS32" s="65"/>
      <c r="HT32" s="65"/>
      <c r="HU32" s="65"/>
      <c r="HV32" s="65"/>
      <c r="HW32" s="65"/>
      <c r="HX32" s="65"/>
      <c r="HY32" s="65"/>
      <c r="HZ32" s="65"/>
      <c r="IA32" s="65"/>
      <c r="IB32" s="65"/>
      <c r="IC32" s="65"/>
      <c r="ID32" s="65"/>
      <c r="IE32" s="65"/>
      <c r="IF32" s="65"/>
      <c r="IG32" s="65"/>
      <c r="IH32" s="65"/>
      <c r="II32" s="65"/>
      <c r="IJ32" s="65"/>
      <c r="IK32" s="65"/>
      <c r="IL32" s="65"/>
      <c r="IM32" s="65"/>
      <c r="IN32" s="65"/>
      <c r="IO32" s="65"/>
      <c r="IP32" s="65"/>
      <c r="IQ32" s="65"/>
      <c r="IR32" s="65"/>
      <c r="IS32" s="65"/>
      <c r="IT32" s="65"/>
      <c r="IU32" s="65"/>
      <c r="IV32" s="65"/>
      <c r="IW32" s="65"/>
      <c r="IX32" s="65"/>
      <c r="IY32" s="65"/>
      <c r="IZ32" s="65"/>
      <c r="JA32" s="65"/>
      <c r="JB32" s="65"/>
      <c r="JC32" s="65"/>
      <c r="JD32" s="65"/>
      <c r="JE32" s="65"/>
      <c r="JF32" s="65"/>
      <c r="JG32" s="65"/>
      <c r="JH32" s="65"/>
      <c r="JI32" s="65"/>
      <c r="JJ32" s="65"/>
      <c r="JK32" s="65"/>
      <c r="JL32" s="65"/>
      <c r="JM32" s="65"/>
      <c r="JN32" s="65"/>
      <c r="JO32" s="65"/>
      <c r="JP32" s="65"/>
      <c r="JQ32" s="65"/>
      <c r="JR32" s="65"/>
      <c r="JS32" s="65"/>
      <c r="JT32" s="65"/>
      <c r="JU32" s="65"/>
      <c r="JV32" s="65"/>
      <c r="JW32" s="65"/>
      <c r="JX32" s="65"/>
      <c r="JY32" s="65"/>
      <c r="JZ32" s="65"/>
      <c r="KA32" s="65"/>
      <c r="KB32" s="65"/>
      <c r="KC32" s="65"/>
      <c r="KD32" s="65"/>
      <c r="KE32" s="65"/>
      <c r="KF32" s="65"/>
      <c r="KG32" s="65"/>
      <c r="KH32" s="65"/>
      <c r="KI32" s="65"/>
      <c r="KJ32" s="65"/>
      <c r="KK32" s="65"/>
      <c r="KL32" s="65"/>
      <c r="KM32" s="65"/>
      <c r="KN32" s="65"/>
      <c r="KO32" s="65"/>
      <c r="KP32" s="65"/>
      <c r="KQ32" s="65"/>
      <c r="KR32" s="65"/>
      <c r="KS32" s="65"/>
      <c r="KT32" s="65"/>
      <c r="KU32" s="65"/>
      <c r="KV32" s="65"/>
      <c r="KW32" s="65"/>
      <c r="KX32" s="65"/>
      <c r="KY32" s="65"/>
      <c r="KZ32" s="65"/>
      <c r="LA32" s="65"/>
      <c r="LB32" s="65"/>
      <c r="LC32" s="65"/>
      <c r="LD32" s="65"/>
      <c r="LE32" s="65"/>
      <c r="LF32" s="65"/>
      <c r="LG32" s="65"/>
      <c r="LH32" s="65"/>
      <c r="LI32" s="65"/>
      <c r="LJ32" s="65"/>
      <c r="LK32" s="65"/>
      <c r="LL32" s="65"/>
      <c r="LM32" s="65"/>
      <c r="LN32" s="65"/>
      <c r="LO32" s="65"/>
      <c r="LP32" s="65"/>
      <c r="LQ32" s="65"/>
      <c r="LR32" s="65"/>
      <c r="LS32" s="65"/>
      <c r="LT32" s="65"/>
      <c r="LU32" s="65"/>
      <c r="LV32" s="65"/>
      <c r="LW32" s="65"/>
      <c r="LX32" s="65"/>
      <c r="LY32" s="65"/>
      <c r="LZ32" s="65"/>
      <c r="MA32" s="65"/>
      <c r="MB32" s="65"/>
      <c r="MC32" s="65"/>
      <c r="MD32" s="65"/>
      <c r="ME32" s="65"/>
      <c r="MF32" s="65"/>
      <c r="MG32" s="65"/>
      <c r="MH32" s="65"/>
      <c r="MI32" s="65"/>
      <c r="MJ32" s="65"/>
      <c r="MK32" s="65"/>
      <c r="ML32" s="65"/>
      <c r="MM32" s="65"/>
      <c r="MN32" s="65"/>
      <c r="MO32" s="65"/>
      <c r="MP32" s="65"/>
      <c r="MQ32" s="65"/>
      <c r="MR32" s="65"/>
      <c r="MS32" s="65"/>
      <c r="MT32" s="65"/>
      <c r="MU32" s="65"/>
      <c r="MV32" s="65"/>
      <c r="MW32" s="65"/>
      <c r="MX32" s="65"/>
      <c r="MY32" s="65"/>
      <c r="MZ32" s="65"/>
      <c r="NA32" s="65"/>
      <c r="NB32" s="65"/>
      <c r="NC32" s="65"/>
      <c r="ND32" s="65"/>
      <c r="NE32" s="65"/>
      <c r="NF32" s="65"/>
      <c r="NG32" s="65"/>
    </row>
    <row r="33">
      <c r="A33" s="65"/>
      <c r="B33" s="65"/>
      <c r="C33" s="201"/>
      <c r="D33" s="201"/>
      <c r="E33" s="109"/>
      <c r="F33" s="107" t="s">
        <v>1359</v>
      </c>
      <c r="G33" s="109"/>
      <c r="H33" s="109"/>
      <c r="I33" s="107" t="s">
        <v>1360</v>
      </c>
      <c r="J33" s="111">
        <f>FIND("e",F33)</f>
        <v>3</v>
      </c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5"/>
      <c r="BW33" s="65"/>
      <c r="BX33" s="65"/>
      <c r="BY33" s="65"/>
      <c r="BZ33" s="65"/>
      <c r="CA33" s="65"/>
      <c r="CB33" s="65"/>
      <c r="CC33" s="65"/>
      <c r="CD33" s="65"/>
      <c r="CE33" s="65"/>
      <c r="CF33" s="65"/>
      <c r="CG33" s="65"/>
      <c r="CH33" s="65"/>
      <c r="CI33" s="65"/>
      <c r="CJ33" s="65"/>
      <c r="CK33" s="65"/>
      <c r="CL33" s="65"/>
      <c r="CM33" s="65"/>
      <c r="CN33" s="65"/>
      <c r="CO33" s="65"/>
      <c r="CP33" s="65"/>
      <c r="CQ33" s="65"/>
      <c r="CR33" s="65"/>
      <c r="CS33" s="65"/>
      <c r="CT33" s="65"/>
      <c r="CU33" s="65"/>
      <c r="CV33" s="65"/>
      <c r="CW33" s="65"/>
      <c r="CX33" s="65"/>
      <c r="CY33" s="65"/>
      <c r="CZ33" s="65"/>
      <c r="DA33" s="65"/>
      <c r="DB33" s="65"/>
      <c r="DC33" s="65"/>
      <c r="DD33" s="65"/>
      <c r="DE33" s="65"/>
      <c r="DF33" s="65"/>
      <c r="DG33" s="65"/>
      <c r="DH33" s="65"/>
      <c r="DI33" s="65"/>
      <c r="DJ33" s="65"/>
      <c r="DK33" s="65"/>
      <c r="DL33" s="65"/>
      <c r="DM33" s="65"/>
      <c r="DN33" s="65"/>
      <c r="DO33" s="65"/>
      <c r="DP33" s="65"/>
      <c r="DQ33" s="65"/>
      <c r="DR33" s="65"/>
      <c r="DS33" s="65"/>
      <c r="DT33" s="65"/>
      <c r="DU33" s="65"/>
      <c r="DV33" s="65"/>
      <c r="DW33" s="65"/>
      <c r="DX33" s="65"/>
      <c r="DY33" s="65"/>
      <c r="DZ33" s="65"/>
      <c r="EA33" s="65"/>
      <c r="EB33" s="65"/>
      <c r="EC33" s="65"/>
      <c r="ED33" s="65"/>
      <c r="EE33" s="65"/>
      <c r="EF33" s="65"/>
      <c r="EG33" s="65"/>
      <c r="EH33" s="65"/>
      <c r="EI33" s="65"/>
      <c r="EJ33" s="65"/>
      <c r="EK33" s="65"/>
      <c r="EL33" s="65"/>
      <c r="EM33" s="65"/>
      <c r="EN33" s="65"/>
      <c r="EO33" s="65"/>
      <c r="EP33" s="65"/>
      <c r="EQ33" s="65"/>
      <c r="ER33" s="65"/>
      <c r="ES33" s="65"/>
      <c r="ET33" s="65"/>
      <c r="EU33" s="65"/>
      <c r="EV33" s="65"/>
      <c r="EW33" s="65"/>
      <c r="EX33" s="65"/>
      <c r="EY33" s="65"/>
      <c r="EZ33" s="65"/>
      <c r="FA33" s="65"/>
      <c r="FB33" s="65"/>
      <c r="FC33" s="65"/>
      <c r="FD33" s="65"/>
      <c r="FE33" s="65"/>
      <c r="FF33" s="65"/>
      <c r="FG33" s="65"/>
      <c r="FH33" s="65"/>
      <c r="FI33" s="65"/>
      <c r="FJ33" s="65"/>
      <c r="FK33" s="65"/>
      <c r="FL33" s="65"/>
      <c r="FM33" s="65"/>
      <c r="FN33" s="65"/>
      <c r="FO33" s="65"/>
      <c r="FP33" s="65"/>
      <c r="FQ33" s="65"/>
      <c r="FR33" s="65"/>
      <c r="FS33" s="65"/>
      <c r="FT33" s="65"/>
      <c r="FU33" s="65"/>
      <c r="FV33" s="65"/>
      <c r="FW33" s="65"/>
      <c r="FX33" s="65"/>
      <c r="FY33" s="65"/>
      <c r="FZ33" s="65"/>
      <c r="GA33" s="65"/>
      <c r="GB33" s="65"/>
      <c r="GC33" s="65"/>
      <c r="GD33" s="65"/>
      <c r="GE33" s="65"/>
      <c r="GF33" s="65"/>
      <c r="GG33" s="65"/>
      <c r="GH33" s="65"/>
      <c r="GI33" s="65"/>
      <c r="GJ33" s="65"/>
      <c r="GK33" s="65"/>
      <c r="GL33" s="65"/>
      <c r="GM33" s="65"/>
      <c r="GN33" s="65"/>
      <c r="GO33" s="65"/>
      <c r="GP33" s="65"/>
      <c r="GQ33" s="65"/>
      <c r="GR33" s="65"/>
      <c r="GS33" s="65"/>
      <c r="GT33" s="65"/>
      <c r="GU33" s="65"/>
      <c r="GV33" s="65"/>
      <c r="GW33" s="65"/>
      <c r="GX33" s="65"/>
      <c r="GY33" s="65"/>
      <c r="GZ33" s="65"/>
      <c r="HA33" s="65"/>
      <c r="HB33" s="65"/>
      <c r="HC33" s="65"/>
      <c r="HD33" s="65"/>
      <c r="HE33" s="65"/>
      <c r="HF33" s="65"/>
      <c r="HG33" s="65"/>
      <c r="HH33" s="65"/>
      <c r="HI33" s="65"/>
      <c r="HJ33" s="65"/>
      <c r="HK33" s="65"/>
      <c r="HL33" s="65"/>
      <c r="HM33" s="65"/>
      <c r="HN33" s="65"/>
      <c r="HO33" s="65"/>
      <c r="HP33" s="65"/>
      <c r="HQ33" s="65"/>
      <c r="HR33" s="65"/>
      <c r="HS33" s="65"/>
      <c r="HT33" s="65"/>
      <c r="HU33" s="65"/>
      <c r="HV33" s="65"/>
      <c r="HW33" s="65"/>
      <c r="HX33" s="65"/>
      <c r="HY33" s="65"/>
      <c r="HZ33" s="65"/>
      <c r="IA33" s="65"/>
      <c r="IB33" s="65"/>
      <c r="IC33" s="65"/>
      <c r="ID33" s="65"/>
      <c r="IE33" s="65"/>
      <c r="IF33" s="65"/>
      <c r="IG33" s="65"/>
      <c r="IH33" s="65"/>
      <c r="II33" s="65"/>
      <c r="IJ33" s="65"/>
      <c r="IK33" s="65"/>
      <c r="IL33" s="65"/>
      <c r="IM33" s="65"/>
      <c r="IN33" s="65"/>
      <c r="IO33" s="65"/>
      <c r="IP33" s="65"/>
      <c r="IQ33" s="65"/>
      <c r="IR33" s="65"/>
      <c r="IS33" s="65"/>
      <c r="IT33" s="65"/>
      <c r="IU33" s="65"/>
      <c r="IV33" s="65"/>
      <c r="IW33" s="65"/>
      <c r="IX33" s="65"/>
      <c r="IY33" s="65"/>
      <c r="IZ33" s="65"/>
      <c r="JA33" s="65"/>
      <c r="JB33" s="65"/>
      <c r="JC33" s="65"/>
      <c r="JD33" s="65"/>
      <c r="JE33" s="65"/>
      <c r="JF33" s="65"/>
      <c r="JG33" s="65"/>
      <c r="JH33" s="65"/>
      <c r="JI33" s="65"/>
      <c r="JJ33" s="65"/>
      <c r="JK33" s="65"/>
      <c r="JL33" s="65"/>
      <c r="JM33" s="65"/>
      <c r="JN33" s="65"/>
      <c r="JO33" s="65"/>
      <c r="JP33" s="65"/>
      <c r="JQ33" s="65"/>
      <c r="JR33" s="65"/>
      <c r="JS33" s="65"/>
      <c r="JT33" s="65"/>
      <c r="JU33" s="65"/>
      <c r="JV33" s="65"/>
      <c r="JW33" s="65"/>
      <c r="JX33" s="65"/>
      <c r="JY33" s="65"/>
      <c r="JZ33" s="65"/>
      <c r="KA33" s="65"/>
      <c r="KB33" s="65"/>
      <c r="KC33" s="65"/>
      <c r="KD33" s="65"/>
      <c r="KE33" s="65"/>
      <c r="KF33" s="65"/>
      <c r="KG33" s="65"/>
      <c r="KH33" s="65"/>
      <c r="KI33" s="65"/>
      <c r="KJ33" s="65"/>
      <c r="KK33" s="65"/>
      <c r="KL33" s="65"/>
      <c r="KM33" s="65"/>
      <c r="KN33" s="65"/>
      <c r="KO33" s="65"/>
      <c r="KP33" s="65"/>
      <c r="KQ33" s="65"/>
      <c r="KR33" s="65"/>
      <c r="KS33" s="65"/>
      <c r="KT33" s="65"/>
      <c r="KU33" s="65"/>
      <c r="KV33" s="65"/>
      <c r="KW33" s="65"/>
      <c r="KX33" s="65"/>
      <c r="KY33" s="65"/>
      <c r="KZ33" s="65"/>
      <c r="LA33" s="65"/>
      <c r="LB33" s="65"/>
      <c r="LC33" s="65"/>
      <c r="LD33" s="65"/>
      <c r="LE33" s="65"/>
      <c r="LF33" s="65"/>
      <c r="LG33" s="65"/>
      <c r="LH33" s="65"/>
      <c r="LI33" s="65"/>
      <c r="LJ33" s="65"/>
      <c r="LK33" s="65"/>
      <c r="LL33" s="65"/>
      <c r="LM33" s="65"/>
      <c r="LN33" s="65"/>
      <c r="LO33" s="65"/>
      <c r="LP33" s="65"/>
      <c r="LQ33" s="65"/>
      <c r="LR33" s="65"/>
      <c r="LS33" s="65"/>
      <c r="LT33" s="65"/>
      <c r="LU33" s="65"/>
      <c r="LV33" s="65"/>
      <c r="LW33" s="65"/>
      <c r="LX33" s="65"/>
      <c r="LY33" s="65"/>
      <c r="LZ33" s="65"/>
      <c r="MA33" s="65"/>
      <c r="MB33" s="65"/>
      <c r="MC33" s="65"/>
      <c r="MD33" s="65"/>
      <c r="ME33" s="65"/>
      <c r="MF33" s="65"/>
      <c r="MG33" s="65"/>
      <c r="MH33" s="65"/>
      <c r="MI33" s="65"/>
      <c r="MJ33" s="65"/>
      <c r="MK33" s="65"/>
      <c r="ML33" s="65"/>
      <c r="MM33" s="65"/>
      <c r="MN33" s="65"/>
      <c r="MO33" s="65"/>
      <c r="MP33" s="65"/>
      <c r="MQ33" s="65"/>
      <c r="MR33" s="65"/>
      <c r="MS33" s="65"/>
      <c r="MT33" s="65"/>
      <c r="MU33" s="65"/>
      <c r="MV33" s="65"/>
      <c r="MW33" s="65"/>
      <c r="MX33" s="65"/>
      <c r="MY33" s="65"/>
      <c r="MZ33" s="65"/>
      <c r="NA33" s="65"/>
      <c r="NB33" s="65"/>
      <c r="NC33" s="65"/>
      <c r="ND33" s="65"/>
      <c r="NE33" s="65"/>
      <c r="NF33" s="65"/>
      <c r="NG33" s="65"/>
    </row>
    <row r="34">
      <c r="A34" s="65"/>
      <c r="B34" s="65"/>
      <c r="C34" s="65"/>
      <c r="D34" s="65"/>
      <c r="E34" s="65"/>
      <c r="F34" s="210"/>
      <c r="G34" s="65"/>
      <c r="H34" s="65"/>
      <c r="I34" s="210"/>
      <c r="J34" s="210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5"/>
      <c r="BW34" s="65"/>
      <c r="BX34" s="65"/>
      <c r="BY34" s="65"/>
      <c r="BZ34" s="65"/>
      <c r="CA34" s="65"/>
      <c r="CB34" s="65"/>
      <c r="CC34" s="65"/>
      <c r="CD34" s="65"/>
      <c r="CE34" s="65"/>
      <c r="CF34" s="65"/>
      <c r="CG34" s="65"/>
      <c r="CH34" s="65"/>
      <c r="CI34" s="65"/>
      <c r="CJ34" s="65"/>
      <c r="CK34" s="65"/>
      <c r="CL34" s="65"/>
      <c r="CM34" s="65"/>
      <c r="CN34" s="65"/>
      <c r="CO34" s="65"/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5"/>
      <c r="DC34" s="65"/>
      <c r="DD34" s="65"/>
      <c r="DE34" s="65"/>
      <c r="DF34" s="65"/>
      <c r="DG34" s="65"/>
      <c r="DH34" s="65"/>
      <c r="DI34" s="65"/>
      <c r="DJ34" s="65"/>
      <c r="DK34" s="65"/>
      <c r="DL34" s="65"/>
      <c r="DM34" s="65"/>
      <c r="DN34" s="65"/>
      <c r="DO34" s="65"/>
      <c r="DP34" s="65"/>
      <c r="DQ34" s="65"/>
      <c r="DR34" s="65"/>
      <c r="DS34" s="65"/>
      <c r="DT34" s="65"/>
      <c r="DU34" s="65"/>
      <c r="DV34" s="65"/>
      <c r="DW34" s="65"/>
      <c r="DX34" s="65"/>
      <c r="DY34" s="65"/>
      <c r="DZ34" s="65"/>
      <c r="EA34" s="65"/>
      <c r="EB34" s="65"/>
      <c r="EC34" s="65"/>
      <c r="ED34" s="65"/>
      <c r="EE34" s="65"/>
      <c r="EF34" s="65"/>
      <c r="EG34" s="65"/>
      <c r="EH34" s="65"/>
      <c r="EI34" s="65"/>
      <c r="EJ34" s="65"/>
      <c r="EK34" s="65"/>
      <c r="EL34" s="65"/>
      <c r="EM34" s="65"/>
      <c r="EN34" s="65"/>
      <c r="EO34" s="65"/>
      <c r="EP34" s="65"/>
      <c r="EQ34" s="65"/>
      <c r="ER34" s="65"/>
      <c r="ES34" s="65"/>
      <c r="ET34" s="65"/>
      <c r="EU34" s="65"/>
      <c r="EV34" s="65"/>
      <c r="EW34" s="65"/>
      <c r="EX34" s="65"/>
      <c r="EY34" s="65"/>
      <c r="EZ34" s="65"/>
      <c r="FA34" s="65"/>
      <c r="FB34" s="65"/>
      <c r="FC34" s="65"/>
      <c r="FD34" s="65"/>
      <c r="FE34" s="65"/>
      <c r="FF34" s="65"/>
      <c r="FG34" s="65"/>
      <c r="FH34" s="65"/>
      <c r="FI34" s="65"/>
      <c r="FJ34" s="65"/>
      <c r="FK34" s="65"/>
      <c r="FL34" s="65"/>
      <c r="FM34" s="65"/>
      <c r="FN34" s="65"/>
      <c r="FO34" s="65"/>
      <c r="FP34" s="65"/>
      <c r="FQ34" s="65"/>
      <c r="FR34" s="65"/>
      <c r="FS34" s="65"/>
      <c r="FT34" s="65"/>
      <c r="FU34" s="65"/>
      <c r="FV34" s="65"/>
      <c r="FW34" s="65"/>
      <c r="FX34" s="65"/>
      <c r="FY34" s="65"/>
      <c r="FZ34" s="65"/>
      <c r="GA34" s="65"/>
      <c r="GB34" s="65"/>
      <c r="GC34" s="65"/>
      <c r="GD34" s="65"/>
      <c r="GE34" s="65"/>
      <c r="GF34" s="65"/>
      <c r="GG34" s="65"/>
      <c r="GH34" s="65"/>
      <c r="GI34" s="65"/>
      <c r="GJ34" s="65"/>
      <c r="GK34" s="65"/>
      <c r="GL34" s="65"/>
      <c r="GM34" s="65"/>
      <c r="GN34" s="65"/>
      <c r="GO34" s="65"/>
      <c r="GP34" s="65"/>
      <c r="GQ34" s="65"/>
      <c r="GR34" s="65"/>
      <c r="GS34" s="65"/>
      <c r="GT34" s="65"/>
      <c r="GU34" s="65"/>
      <c r="GV34" s="65"/>
      <c r="GW34" s="65"/>
      <c r="GX34" s="65"/>
      <c r="GY34" s="65"/>
      <c r="GZ34" s="65"/>
      <c r="HA34" s="65"/>
      <c r="HB34" s="65"/>
      <c r="HC34" s="65"/>
      <c r="HD34" s="65"/>
      <c r="HE34" s="65"/>
      <c r="HF34" s="65"/>
      <c r="HG34" s="65"/>
      <c r="HH34" s="65"/>
      <c r="HI34" s="65"/>
      <c r="HJ34" s="65"/>
      <c r="HK34" s="65"/>
      <c r="HL34" s="65"/>
      <c r="HM34" s="65"/>
      <c r="HN34" s="65"/>
      <c r="HO34" s="65"/>
      <c r="HP34" s="65"/>
      <c r="HQ34" s="65"/>
      <c r="HR34" s="65"/>
      <c r="HS34" s="65"/>
      <c r="HT34" s="65"/>
      <c r="HU34" s="65"/>
      <c r="HV34" s="65"/>
      <c r="HW34" s="65"/>
      <c r="HX34" s="65"/>
      <c r="HY34" s="65"/>
      <c r="HZ34" s="65"/>
      <c r="IA34" s="65"/>
      <c r="IB34" s="65"/>
      <c r="IC34" s="65"/>
      <c r="ID34" s="65"/>
      <c r="IE34" s="65"/>
      <c r="IF34" s="65"/>
      <c r="IG34" s="65"/>
      <c r="IH34" s="65"/>
      <c r="II34" s="65"/>
      <c r="IJ34" s="65"/>
      <c r="IK34" s="65"/>
      <c r="IL34" s="65"/>
      <c r="IM34" s="65"/>
      <c r="IN34" s="65"/>
      <c r="IO34" s="65"/>
      <c r="IP34" s="65"/>
      <c r="IQ34" s="65"/>
      <c r="IR34" s="65"/>
      <c r="IS34" s="65"/>
      <c r="IT34" s="65"/>
      <c r="IU34" s="65"/>
      <c r="IV34" s="65"/>
      <c r="IW34" s="65"/>
      <c r="IX34" s="65"/>
      <c r="IY34" s="65"/>
      <c r="IZ34" s="65"/>
      <c r="JA34" s="65"/>
      <c r="JB34" s="65"/>
      <c r="JC34" s="65"/>
      <c r="JD34" s="65"/>
      <c r="JE34" s="65"/>
      <c r="JF34" s="65"/>
      <c r="JG34" s="65"/>
      <c r="JH34" s="65"/>
      <c r="JI34" s="65"/>
      <c r="JJ34" s="65"/>
      <c r="JK34" s="65"/>
      <c r="JL34" s="65"/>
      <c r="JM34" s="65"/>
      <c r="JN34" s="65"/>
      <c r="JO34" s="65"/>
      <c r="JP34" s="65"/>
      <c r="JQ34" s="65"/>
      <c r="JR34" s="65"/>
      <c r="JS34" s="65"/>
      <c r="JT34" s="65"/>
      <c r="JU34" s="65"/>
      <c r="JV34" s="65"/>
      <c r="JW34" s="65"/>
      <c r="JX34" s="65"/>
      <c r="JY34" s="65"/>
      <c r="JZ34" s="65"/>
      <c r="KA34" s="65"/>
      <c r="KB34" s="65"/>
      <c r="KC34" s="65"/>
      <c r="KD34" s="65"/>
      <c r="KE34" s="65"/>
      <c r="KF34" s="65"/>
      <c r="KG34" s="65"/>
      <c r="KH34" s="65"/>
      <c r="KI34" s="65"/>
      <c r="KJ34" s="65"/>
      <c r="KK34" s="65"/>
      <c r="KL34" s="65"/>
      <c r="KM34" s="65"/>
      <c r="KN34" s="65"/>
      <c r="KO34" s="65"/>
      <c r="KP34" s="65"/>
      <c r="KQ34" s="65"/>
      <c r="KR34" s="65"/>
      <c r="KS34" s="65"/>
      <c r="KT34" s="65"/>
      <c r="KU34" s="65"/>
      <c r="KV34" s="65"/>
      <c r="KW34" s="65"/>
      <c r="KX34" s="65"/>
      <c r="KY34" s="65"/>
      <c r="KZ34" s="65"/>
      <c r="LA34" s="65"/>
      <c r="LB34" s="65"/>
      <c r="LC34" s="65"/>
      <c r="LD34" s="65"/>
      <c r="LE34" s="65"/>
      <c r="LF34" s="65"/>
      <c r="LG34" s="65"/>
      <c r="LH34" s="65"/>
      <c r="LI34" s="65"/>
      <c r="LJ34" s="65"/>
      <c r="LK34" s="65"/>
      <c r="LL34" s="65"/>
      <c r="LM34" s="65"/>
      <c r="LN34" s="65"/>
      <c r="LO34" s="65"/>
      <c r="LP34" s="65"/>
      <c r="LQ34" s="65"/>
      <c r="LR34" s="65"/>
      <c r="LS34" s="65"/>
      <c r="LT34" s="65"/>
      <c r="LU34" s="65"/>
      <c r="LV34" s="65"/>
      <c r="LW34" s="65"/>
      <c r="LX34" s="65"/>
      <c r="LY34" s="65"/>
      <c r="LZ34" s="65"/>
      <c r="MA34" s="65"/>
      <c r="MB34" s="65"/>
      <c r="MC34" s="65"/>
      <c r="MD34" s="65"/>
      <c r="ME34" s="65"/>
      <c r="MF34" s="65"/>
      <c r="MG34" s="65"/>
      <c r="MH34" s="65"/>
      <c r="MI34" s="65"/>
      <c r="MJ34" s="65"/>
      <c r="MK34" s="65"/>
      <c r="ML34" s="65"/>
      <c r="MM34" s="65"/>
      <c r="MN34" s="65"/>
      <c r="MO34" s="65"/>
      <c r="MP34" s="65"/>
      <c r="MQ34" s="65"/>
      <c r="MR34" s="65"/>
      <c r="MS34" s="65"/>
      <c r="MT34" s="65"/>
      <c r="MU34" s="65"/>
      <c r="MV34" s="65"/>
      <c r="MW34" s="65"/>
      <c r="MX34" s="65"/>
      <c r="MY34" s="65"/>
      <c r="MZ34" s="65"/>
      <c r="NA34" s="65"/>
      <c r="NB34" s="65"/>
      <c r="NC34" s="65"/>
      <c r="ND34" s="65"/>
      <c r="NE34" s="65"/>
      <c r="NF34" s="65"/>
      <c r="NG34" s="65"/>
    </row>
    <row r="35">
      <c r="A35" s="65"/>
      <c r="B35" s="65"/>
      <c r="C35" s="205">
        <v>7.0</v>
      </c>
      <c r="D35" s="205" t="s">
        <v>57</v>
      </c>
      <c r="E35" s="109"/>
      <c r="F35" s="107" t="s">
        <v>1361</v>
      </c>
      <c r="G35" s="109"/>
      <c r="H35" s="109"/>
      <c r="I35" s="107" t="s">
        <v>1362</v>
      </c>
      <c r="J35" s="107" t="str">
        <f>LEFT(F35,3)</f>
        <v>Sao</v>
      </c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5"/>
      <c r="BW35" s="65"/>
      <c r="BX35" s="65"/>
      <c r="BY35" s="65"/>
      <c r="BZ35" s="65"/>
      <c r="CA35" s="65"/>
      <c r="CB35" s="65"/>
      <c r="CC35" s="65"/>
      <c r="CD35" s="65"/>
      <c r="CE35" s="65"/>
      <c r="CF35" s="65"/>
      <c r="CG35" s="65"/>
      <c r="CH35" s="65"/>
      <c r="CI35" s="65"/>
      <c r="CJ35" s="65"/>
      <c r="CK35" s="65"/>
      <c r="CL35" s="65"/>
      <c r="CM35" s="65"/>
      <c r="CN35" s="65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5"/>
      <c r="DC35" s="65"/>
      <c r="DD35" s="65"/>
      <c r="DE35" s="65"/>
      <c r="DF35" s="65"/>
      <c r="DG35" s="65"/>
      <c r="DH35" s="65"/>
      <c r="DI35" s="65"/>
      <c r="DJ35" s="65"/>
      <c r="DK35" s="65"/>
      <c r="DL35" s="65"/>
      <c r="DM35" s="65"/>
      <c r="DN35" s="65"/>
      <c r="DO35" s="65"/>
      <c r="DP35" s="65"/>
      <c r="DQ35" s="65"/>
      <c r="DR35" s="65"/>
      <c r="DS35" s="65"/>
      <c r="DT35" s="65"/>
      <c r="DU35" s="65"/>
      <c r="DV35" s="65"/>
      <c r="DW35" s="65"/>
      <c r="DX35" s="65"/>
      <c r="DY35" s="65"/>
      <c r="DZ35" s="65"/>
      <c r="EA35" s="65"/>
      <c r="EB35" s="65"/>
      <c r="EC35" s="65"/>
      <c r="ED35" s="65"/>
      <c r="EE35" s="65"/>
      <c r="EF35" s="65"/>
      <c r="EG35" s="65"/>
      <c r="EH35" s="65"/>
      <c r="EI35" s="65"/>
      <c r="EJ35" s="65"/>
      <c r="EK35" s="65"/>
      <c r="EL35" s="65"/>
      <c r="EM35" s="65"/>
      <c r="EN35" s="65"/>
      <c r="EO35" s="65"/>
      <c r="EP35" s="65"/>
      <c r="EQ35" s="65"/>
      <c r="ER35" s="65"/>
      <c r="ES35" s="65"/>
      <c r="ET35" s="65"/>
      <c r="EU35" s="65"/>
      <c r="EV35" s="65"/>
      <c r="EW35" s="65"/>
      <c r="EX35" s="65"/>
      <c r="EY35" s="65"/>
      <c r="EZ35" s="65"/>
      <c r="FA35" s="65"/>
      <c r="FB35" s="65"/>
      <c r="FC35" s="65"/>
      <c r="FD35" s="65"/>
      <c r="FE35" s="65"/>
      <c r="FF35" s="65"/>
      <c r="FG35" s="65"/>
      <c r="FH35" s="65"/>
      <c r="FI35" s="65"/>
      <c r="FJ35" s="65"/>
      <c r="FK35" s="65"/>
      <c r="FL35" s="65"/>
      <c r="FM35" s="65"/>
      <c r="FN35" s="65"/>
      <c r="FO35" s="65"/>
      <c r="FP35" s="65"/>
      <c r="FQ35" s="65"/>
      <c r="FR35" s="65"/>
      <c r="FS35" s="65"/>
      <c r="FT35" s="65"/>
      <c r="FU35" s="65"/>
      <c r="FV35" s="65"/>
      <c r="FW35" s="65"/>
      <c r="FX35" s="65"/>
      <c r="FY35" s="65"/>
      <c r="FZ35" s="65"/>
      <c r="GA35" s="65"/>
      <c r="GB35" s="65"/>
      <c r="GC35" s="65"/>
      <c r="GD35" s="65"/>
      <c r="GE35" s="65"/>
      <c r="GF35" s="65"/>
      <c r="GG35" s="65"/>
      <c r="GH35" s="65"/>
      <c r="GI35" s="65"/>
      <c r="GJ35" s="65"/>
      <c r="GK35" s="65"/>
      <c r="GL35" s="65"/>
      <c r="GM35" s="65"/>
      <c r="GN35" s="65"/>
      <c r="GO35" s="65"/>
      <c r="GP35" s="65"/>
      <c r="GQ35" s="65"/>
      <c r="GR35" s="65"/>
      <c r="GS35" s="65"/>
      <c r="GT35" s="65"/>
      <c r="GU35" s="65"/>
      <c r="GV35" s="65"/>
      <c r="GW35" s="65"/>
      <c r="GX35" s="65"/>
      <c r="GY35" s="65"/>
      <c r="GZ35" s="65"/>
      <c r="HA35" s="65"/>
      <c r="HB35" s="65"/>
      <c r="HC35" s="65"/>
      <c r="HD35" s="65"/>
      <c r="HE35" s="65"/>
      <c r="HF35" s="65"/>
      <c r="HG35" s="65"/>
      <c r="HH35" s="65"/>
      <c r="HI35" s="65"/>
      <c r="HJ35" s="65"/>
      <c r="HK35" s="65"/>
      <c r="HL35" s="65"/>
      <c r="HM35" s="65"/>
      <c r="HN35" s="65"/>
      <c r="HO35" s="65"/>
      <c r="HP35" s="65"/>
      <c r="HQ35" s="65"/>
      <c r="HR35" s="65"/>
      <c r="HS35" s="65"/>
      <c r="HT35" s="65"/>
      <c r="HU35" s="65"/>
      <c r="HV35" s="65"/>
      <c r="HW35" s="65"/>
      <c r="HX35" s="65"/>
      <c r="HY35" s="65"/>
      <c r="HZ35" s="65"/>
      <c r="IA35" s="65"/>
      <c r="IB35" s="65"/>
      <c r="IC35" s="65"/>
      <c r="ID35" s="65"/>
      <c r="IE35" s="65"/>
      <c r="IF35" s="65"/>
      <c r="IG35" s="65"/>
      <c r="IH35" s="65"/>
      <c r="II35" s="65"/>
      <c r="IJ35" s="65"/>
      <c r="IK35" s="65"/>
      <c r="IL35" s="65"/>
      <c r="IM35" s="65"/>
      <c r="IN35" s="65"/>
      <c r="IO35" s="65"/>
      <c r="IP35" s="65"/>
      <c r="IQ35" s="65"/>
      <c r="IR35" s="65"/>
      <c r="IS35" s="65"/>
      <c r="IT35" s="65"/>
      <c r="IU35" s="65"/>
      <c r="IV35" s="65"/>
      <c r="IW35" s="65"/>
      <c r="IX35" s="65"/>
      <c r="IY35" s="65"/>
      <c r="IZ35" s="65"/>
      <c r="JA35" s="65"/>
      <c r="JB35" s="65"/>
      <c r="JC35" s="65"/>
      <c r="JD35" s="65"/>
      <c r="JE35" s="65"/>
      <c r="JF35" s="65"/>
      <c r="JG35" s="65"/>
      <c r="JH35" s="65"/>
      <c r="JI35" s="65"/>
      <c r="JJ35" s="65"/>
      <c r="JK35" s="65"/>
      <c r="JL35" s="65"/>
      <c r="JM35" s="65"/>
      <c r="JN35" s="65"/>
      <c r="JO35" s="65"/>
      <c r="JP35" s="65"/>
      <c r="JQ35" s="65"/>
      <c r="JR35" s="65"/>
      <c r="JS35" s="65"/>
      <c r="JT35" s="65"/>
      <c r="JU35" s="65"/>
      <c r="JV35" s="65"/>
      <c r="JW35" s="65"/>
      <c r="JX35" s="65"/>
      <c r="JY35" s="65"/>
      <c r="JZ35" s="65"/>
      <c r="KA35" s="65"/>
      <c r="KB35" s="65"/>
      <c r="KC35" s="65"/>
      <c r="KD35" s="65"/>
      <c r="KE35" s="65"/>
      <c r="KF35" s="65"/>
      <c r="KG35" s="65"/>
      <c r="KH35" s="65"/>
      <c r="KI35" s="65"/>
      <c r="KJ35" s="65"/>
      <c r="KK35" s="65"/>
      <c r="KL35" s="65"/>
      <c r="KM35" s="65"/>
      <c r="KN35" s="65"/>
      <c r="KO35" s="65"/>
      <c r="KP35" s="65"/>
      <c r="KQ35" s="65"/>
      <c r="KR35" s="65"/>
      <c r="KS35" s="65"/>
      <c r="KT35" s="65"/>
      <c r="KU35" s="65"/>
      <c r="KV35" s="65"/>
      <c r="KW35" s="65"/>
      <c r="KX35" s="65"/>
      <c r="KY35" s="65"/>
      <c r="KZ35" s="65"/>
      <c r="LA35" s="65"/>
      <c r="LB35" s="65"/>
      <c r="LC35" s="65"/>
      <c r="LD35" s="65"/>
      <c r="LE35" s="65"/>
      <c r="LF35" s="65"/>
      <c r="LG35" s="65"/>
      <c r="LH35" s="65"/>
      <c r="LI35" s="65"/>
      <c r="LJ35" s="65"/>
      <c r="LK35" s="65"/>
      <c r="LL35" s="65"/>
      <c r="LM35" s="65"/>
      <c r="LN35" s="65"/>
      <c r="LO35" s="65"/>
      <c r="LP35" s="65"/>
      <c r="LQ35" s="65"/>
      <c r="LR35" s="65"/>
      <c r="LS35" s="65"/>
      <c r="LT35" s="65"/>
      <c r="LU35" s="65"/>
      <c r="LV35" s="65"/>
      <c r="LW35" s="65"/>
      <c r="LX35" s="65"/>
      <c r="LY35" s="65"/>
      <c r="LZ35" s="65"/>
      <c r="MA35" s="65"/>
      <c r="MB35" s="65"/>
      <c r="MC35" s="65"/>
      <c r="MD35" s="65"/>
      <c r="ME35" s="65"/>
      <c r="MF35" s="65"/>
      <c r="MG35" s="65"/>
      <c r="MH35" s="65"/>
      <c r="MI35" s="65"/>
      <c r="MJ35" s="65"/>
      <c r="MK35" s="65"/>
      <c r="ML35" s="65"/>
      <c r="MM35" s="65"/>
      <c r="MN35" s="65"/>
      <c r="MO35" s="65"/>
      <c r="MP35" s="65"/>
      <c r="MQ35" s="65"/>
      <c r="MR35" s="65"/>
      <c r="MS35" s="65"/>
      <c r="MT35" s="65"/>
      <c r="MU35" s="65"/>
      <c r="MV35" s="65"/>
      <c r="MW35" s="65"/>
      <c r="MX35" s="65"/>
      <c r="MY35" s="65"/>
      <c r="MZ35" s="65"/>
      <c r="NA35" s="65"/>
      <c r="NB35" s="65"/>
      <c r="NC35" s="65"/>
      <c r="ND35" s="65"/>
      <c r="NE35" s="65"/>
      <c r="NF35" s="65"/>
      <c r="NG35" s="65"/>
    </row>
    <row r="36">
      <c r="A36" s="65"/>
      <c r="B36" s="65"/>
      <c r="C36" s="207"/>
      <c r="D36" s="207"/>
      <c r="E36" s="109"/>
      <c r="F36" s="107" t="s">
        <v>259</v>
      </c>
      <c r="G36" s="109"/>
      <c r="H36" s="109"/>
      <c r="I36" s="107" t="s">
        <v>1363</v>
      </c>
      <c r="J36" s="107" t="str">
        <f>LEFT(F36,4)</f>
        <v>Exce</v>
      </c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  <c r="CE36" s="65"/>
      <c r="CF36" s="65"/>
      <c r="CG36" s="65"/>
      <c r="CH36" s="65"/>
      <c r="CI36" s="65"/>
      <c r="CJ36" s="65"/>
      <c r="CK36" s="65"/>
      <c r="CL36" s="65"/>
      <c r="CM36" s="65"/>
      <c r="CN36" s="65"/>
      <c r="CO36" s="65"/>
      <c r="CP36" s="65"/>
      <c r="CQ36" s="65"/>
      <c r="CR36" s="65"/>
      <c r="CS36" s="65"/>
      <c r="CT36" s="65"/>
      <c r="CU36" s="65"/>
      <c r="CV36" s="65"/>
      <c r="CW36" s="65"/>
      <c r="CX36" s="65"/>
      <c r="CY36" s="65"/>
      <c r="CZ36" s="65"/>
      <c r="DA36" s="65"/>
      <c r="DB36" s="65"/>
      <c r="DC36" s="65"/>
      <c r="DD36" s="65"/>
      <c r="DE36" s="65"/>
      <c r="DF36" s="65"/>
      <c r="DG36" s="65"/>
      <c r="DH36" s="65"/>
      <c r="DI36" s="65"/>
      <c r="DJ36" s="65"/>
      <c r="DK36" s="65"/>
      <c r="DL36" s="65"/>
      <c r="DM36" s="65"/>
      <c r="DN36" s="65"/>
      <c r="DO36" s="65"/>
      <c r="DP36" s="65"/>
      <c r="DQ36" s="65"/>
      <c r="DR36" s="65"/>
      <c r="DS36" s="65"/>
      <c r="DT36" s="65"/>
      <c r="DU36" s="65"/>
      <c r="DV36" s="65"/>
      <c r="DW36" s="65"/>
      <c r="DX36" s="65"/>
      <c r="DY36" s="65"/>
      <c r="DZ36" s="65"/>
      <c r="EA36" s="65"/>
      <c r="EB36" s="65"/>
      <c r="EC36" s="65"/>
      <c r="ED36" s="65"/>
      <c r="EE36" s="65"/>
      <c r="EF36" s="65"/>
      <c r="EG36" s="65"/>
      <c r="EH36" s="65"/>
      <c r="EI36" s="65"/>
      <c r="EJ36" s="65"/>
      <c r="EK36" s="65"/>
      <c r="EL36" s="65"/>
      <c r="EM36" s="65"/>
      <c r="EN36" s="65"/>
      <c r="EO36" s="65"/>
      <c r="EP36" s="65"/>
      <c r="EQ36" s="65"/>
      <c r="ER36" s="65"/>
      <c r="ES36" s="65"/>
      <c r="ET36" s="65"/>
      <c r="EU36" s="65"/>
      <c r="EV36" s="65"/>
      <c r="EW36" s="65"/>
      <c r="EX36" s="65"/>
      <c r="EY36" s="65"/>
      <c r="EZ36" s="65"/>
      <c r="FA36" s="65"/>
      <c r="FB36" s="65"/>
      <c r="FC36" s="65"/>
      <c r="FD36" s="65"/>
      <c r="FE36" s="65"/>
      <c r="FF36" s="65"/>
      <c r="FG36" s="65"/>
      <c r="FH36" s="65"/>
      <c r="FI36" s="65"/>
      <c r="FJ36" s="65"/>
      <c r="FK36" s="65"/>
      <c r="FL36" s="65"/>
      <c r="FM36" s="65"/>
      <c r="FN36" s="65"/>
      <c r="FO36" s="65"/>
      <c r="FP36" s="65"/>
      <c r="FQ36" s="65"/>
      <c r="FR36" s="65"/>
      <c r="FS36" s="65"/>
      <c r="FT36" s="65"/>
      <c r="FU36" s="65"/>
      <c r="FV36" s="65"/>
      <c r="FW36" s="65"/>
      <c r="FX36" s="65"/>
      <c r="FY36" s="65"/>
      <c r="FZ36" s="65"/>
      <c r="GA36" s="65"/>
      <c r="GB36" s="65"/>
      <c r="GC36" s="65"/>
      <c r="GD36" s="65"/>
      <c r="GE36" s="65"/>
      <c r="GF36" s="65"/>
      <c r="GG36" s="65"/>
      <c r="GH36" s="65"/>
      <c r="GI36" s="65"/>
      <c r="GJ36" s="65"/>
      <c r="GK36" s="65"/>
      <c r="GL36" s="65"/>
      <c r="GM36" s="65"/>
      <c r="GN36" s="65"/>
      <c r="GO36" s="65"/>
      <c r="GP36" s="65"/>
      <c r="GQ36" s="65"/>
      <c r="GR36" s="65"/>
      <c r="GS36" s="65"/>
      <c r="GT36" s="65"/>
      <c r="GU36" s="65"/>
      <c r="GV36" s="65"/>
      <c r="GW36" s="65"/>
      <c r="GX36" s="65"/>
      <c r="GY36" s="65"/>
      <c r="GZ36" s="65"/>
      <c r="HA36" s="65"/>
      <c r="HB36" s="65"/>
      <c r="HC36" s="65"/>
      <c r="HD36" s="65"/>
      <c r="HE36" s="65"/>
      <c r="HF36" s="65"/>
      <c r="HG36" s="65"/>
      <c r="HH36" s="65"/>
      <c r="HI36" s="65"/>
      <c r="HJ36" s="65"/>
      <c r="HK36" s="65"/>
      <c r="HL36" s="65"/>
      <c r="HM36" s="65"/>
      <c r="HN36" s="65"/>
      <c r="HO36" s="65"/>
      <c r="HP36" s="65"/>
      <c r="HQ36" s="65"/>
      <c r="HR36" s="65"/>
      <c r="HS36" s="65"/>
      <c r="HT36" s="65"/>
      <c r="HU36" s="65"/>
      <c r="HV36" s="65"/>
      <c r="HW36" s="65"/>
      <c r="HX36" s="65"/>
      <c r="HY36" s="65"/>
      <c r="HZ36" s="65"/>
      <c r="IA36" s="65"/>
      <c r="IB36" s="65"/>
      <c r="IC36" s="65"/>
      <c r="ID36" s="65"/>
      <c r="IE36" s="65"/>
      <c r="IF36" s="65"/>
      <c r="IG36" s="65"/>
      <c r="IH36" s="65"/>
      <c r="II36" s="65"/>
      <c r="IJ36" s="65"/>
      <c r="IK36" s="65"/>
      <c r="IL36" s="65"/>
      <c r="IM36" s="65"/>
      <c r="IN36" s="65"/>
      <c r="IO36" s="65"/>
      <c r="IP36" s="65"/>
      <c r="IQ36" s="65"/>
      <c r="IR36" s="65"/>
      <c r="IS36" s="65"/>
      <c r="IT36" s="65"/>
      <c r="IU36" s="65"/>
      <c r="IV36" s="65"/>
      <c r="IW36" s="65"/>
      <c r="IX36" s="65"/>
      <c r="IY36" s="65"/>
      <c r="IZ36" s="65"/>
      <c r="JA36" s="65"/>
      <c r="JB36" s="65"/>
      <c r="JC36" s="65"/>
      <c r="JD36" s="65"/>
      <c r="JE36" s="65"/>
      <c r="JF36" s="65"/>
      <c r="JG36" s="65"/>
      <c r="JH36" s="65"/>
      <c r="JI36" s="65"/>
      <c r="JJ36" s="65"/>
      <c r="JK36" s="65"/>
      <c r="JL36" s="65"/>
      <c r="JM36" s="65"/>
      <c r="JN36" s="65"/>
      <c r="JO36" s="65"/>
      <c r="JP36" s="65"/>
      <c r="JQ36" s="65"/>
      <c r="JR36" s="65"/>
      <c r="JS36" s="65"/>
      <c r="JT36" s="65"/>
      <c r="JU36" s="65"/>
      <c r="JV36" s="65"/>
      <c r="JW36" s="65"/>
      <c r="JX36" s="65"/>
      <c r="JY36" s="65"/>
      <c r="JZ36" s="65"/>
      <c r="KA36" s="65"/>
      <c r="KB36" s="65"/>
      <c r="KC36" s="65"/>
      <c r="KD36" s="65"/>
      <c r="KE36" s="65"/>
      <c r="KF36" s="65"/>
      <c r="KG36" s="65"/>
      <c r="KH36" s="65"/>
      <c r="KI36" s="65"/>
      <c r="KJ36" s="65"/>
      <c r="KK36" s="65"/>
      <c r="KL36" s="65"/>
      <c r="KM36" s="65"/>
      <c r="KN36" s="65"/>
      <c r="KO36" s="65"/>
      <c r="KP36" s="65"/>
      <c r="KQ36" s="65"/>
      <c r="KR36" s="65"/>
      <c r="KS36" s="65"/>
      <c r="KT36" s="65"/>
      <c r="KU36" s="65"/>
      <c r="KV36" s="65"/>
      <c r="KW36" s="65"/>
      <c r="KX36" s="65"/>
      <c r="KY36" s="65"/>
      <c r="KZ36" s="65"/>
      <c r="LA36" s="65"/>
      <c r="LB36" s="65"/>
      <c r="LC36" s="65"/>
      <c r="LD36" s="65"/>
      <c r="LE36" s="65"/>
      <c r="LF36" s="65"/>
      <c r="LG36" s="65"/>
      <c r="LH36" s="65"/>
      <c r="LI36" s="65"/>
      <c r="LJ36" s="65"/>
      <c r="LK36" s="65"/>
      <c r="LL36" s="65"/>
      <c r="LM36" s="65"/>
      <c r="LN36" s="65"/>
      <c r="LO36" s="65"/>
      <c r="LP36" s="65"/>
      <c r="LQ36" s="65"/>
      <c r="LR36" s="65"/>
      <c r="LS36" s="65"/>
      <c r="LT36" s="65"/>
      <c r="LU36" s="65"/>
      <c r="LV36" s="65"/>
      <c r="LW36" s="65"/>
      <c r="LX36" s="65"/>
      <c r="LY36" s="65"/>
      <c r="LZ36" s="65"/>
      <c r="MA36" s="65"/>
      <c r="MB36" s="65"/>
      <c r="MC36" s="65"/>
      <c r="MD36" s="65"/>
      <c r="ME36" s="65"/>
      <c r="MF36" s="65"/>
      <c r="MG36" s="65"/>
      <c r="MH36" s="65"/>
      <c r="MI36" s="65"/>
      <c r="MJ36" s="65"/>
      <c r="MK36" s="65"/>
      <c r="ML36" s="65"/>
      <c r="MM36" s="65"/>
      <c r="MN36" s="65"/>
      <c r="MO36" s="65"/>
      <c r="MP36" s="65"/>
      <c r="MQ36" s="65"/>
      <c r="MR36" s="65"/>
      <c r="MS36" s="65"/>
      <c r="MT36" s="65"/>
      <c r="MU36" s="65"/>
      <c r="MV36" s="65"/>
      <c r="MW36" s="65"/>
      <c r="MX36" s="65"/>
      <c r="MY36" s="65"/>
      <c r="MZ36" s="65"/>
      <c r="NA36" s="65"/>
      <c r="NB36" s="65"/>
      <c r="NC36" s="65"/>
      <c r="ND36" s="65"/>
      <c r="NE36" s="65"/>
      <c r="NF36" s="65"/>
      <c r="NG36" s="65"/>
    </row>
    <row r="37">
      <c r="A37" s="65"/>
      <c r="B37" s="65"/>
      <c r="C37" s="207"/>
      <c r="D37" s="207"/>
      <c r="E37" s="109"/>
      <c r="F37" s="107" t="s">
        <v>1364</v>
      </c>
      <c r="G37" s="109"/>
      <c r="H37" s="109"/>
      <c r="I37" s="107" t="s">
        <v>1365</v>
      </c>
      <c r="J37" s="107" t="str">
        <f>LEFT(F37,2)</f>
        <v>Fo</v>
      </c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5"/>
      <c r="BW37" s="65"/>
      <c r="BX37" s="65"/>
      <c r="BY37" s="65"/>
      <c r="BZ37" s="65"/>
      <c r="CA37" s="65"/>
      <c r="CB37" s="65"/>
      <c r="CC37" s="65"/>
      <c r="CD37" s="65"/>
      <c r="CE37" s="65"/>
      <c r="CF37" s="65"/>
      <c r="CG37" s="65"/>
      <c r="CH37" s="65"/>
      <c r="CI37" s="65"/>
      <c r="CJ37" s="65"/>
      <c r="CK37" s="65"/>
      <c r="CL37" s="65"/>
      <c r="CM37" s="65"/>
      <c r="CN37" s="65"/>
      <c r="CO37" s="65"/>
      <c r="CP37" s="65"/>
      <c r="CQ37" s="65"/>
      <c r="CR37" s="65"/>
      <c r="CS37" s="65"/>
      <c r="CT37" s="65"/>
      <c r="CU37" s="65"/>
      <c r="CV37" s="65"/>
      <c r="CW37" s="65"/>
      <c r="CX37" s="65"/>
      <c r="CY37" s="65"/>
      <c r="CZ37" s="65"/>
      <c r="DA37" s="65"/>
      <c r="DB37" s="65"/>
      <c r="DC37" s="65"/>
      <c r="DD37" s="65"/>
      <c r="DE37" s="65"/>
      <c r="DF37" s="65"/>
      <c r="DG37" s="65"/>
      <c r="DH37" s="65"/>
      <c r="DI37" s="65"/>
      <c r="DJ37" s="65"/>
      <c r="DK37" s="65"/>
      <c r="DL37" s="65"/>
      <c r="DM37" s="65"/>
      <c r="DN37" s="65"/>
      <c r="DO37" s="65"/>
      <c r="DP37" s="65"/>
      <c r="DQ37" s="65"/>
      <c r="DR37" s="65"/>
      <c r="DS37" s="65"/>
      <c r="DT37" s="65"/>
      <c r="DU37" s="65"/>
      <c r="DV37" s="65"/>
      <c r="DW37" s="65"/>
      <c r="DX37" s="65"/>
      <c r="DY37" s="65"/>
      <c r="DZ37" s="65"/>
      <c r="EA37" s="65"/>
      <c r="EB37" s="65"/>
      <c r="EC37" s="65"/>
      <c r="ED37" s="65"/>
      <c r="EE37" s="65"/>
      <c r="EF37" s="65"/>
      <c r="EG37" s="65"/>
      <c r="EH37" s="65"/>
      <c r="EI37" s="65"/>
      <c r="EJ37" s="65"/>
      <c r="EK37" s="65"/>
      <c r="EL37" s="65"/>
      <c r="EM37" s="65"/>
      <c r="EN37" s="65"/>
      <c r="EO37" s="65"/>
      <c r="EP37" s="65"/>
      <c r="EQ37" s="65"/>
      <c r="ER37" s="65"/>
      <c r="ES37" s="65"/>
      <c r="ET37" s="65"/>
      <c r="EU37" s="65"/>
      <c r="EV37" s="65"/>
      <c r="EW37" s="65"/>
      <c r="EX37" s="65"/>
      <c r="EY37" s="65"/>
      <c r="EZ37" s="65"/>
      <c r="FA37" s="65"/>
      <c r="FB37" s="65"/>
      <c r="FC37" s="65"/>
      <c r="FD37" s="65"/>
      <c r="FE37" s="65"/>
      <c r="FF37" s="65"/>
      <c r="FG37" s="65"/>
      <c r="FH37" s="65"/>
      <c r="FI37" s="65"/>
      <c r="FJ37" s="65"/>
      <c r="FK37" s="65"/>
      <c r="FL37" s="65"/>
      <c r="FM37" s="65"/>
      <c r="FN37" s="65"/>
      <c r="FO37" s="65"/>
      <c r="FP37" s="65"/>
      <c r="FQ37" s="65"/>
      <c r="FR37" s="65"/>
      <c r="FS37" s="65"/>
      <c r="FT37" s="65"/>
      <c r="FU37" s="65"/>
      <c r="FV37" s="65"/>
      <c r="FW37" s="65"/>
      <c r="FX37" s="65"/>
      <c r="FY37" s="65"/>
      <c r="FZ37" s="65"/>
      <c r="GA37" s="65"/>
      <c r="GB37" s="65"/>
      <c r="GC37" s="65"/>
      <c r="GD37" s="65"/>
      <c r="GE37" s="65"/>
      <c r="GF37" s="65"/>
      <c r="GG37" s="65"/>
      <c r="GH37" s="65"/>
      <c r="GI37" s="65"/>
      <c r="GJ37" s="65"/>
      <c r="GK37" s="65"/>
      <c r="GL37" s="65"/>
      <c r="GM37" s="65"/>
      <c r="GN37" s="65"/>
      <c r="GO37" s="65"/>
      <c r="GP37" s="65"/>
      <c r="GQ37" s="65"/>
      <c r="GR37" s="65"/>
      <c r="GS37" s="65"/>
      <c r="GT37" s="65"/>
      <c r="GU37" s="65"/>
      <c r="GV37" s="65"/>
      <c r="GW37" s="65"/>
      <c r="GX37" s="65"/>
      <c r="GY37" s="65"/>
      <c r="GZ37" s="65"/>
      <c r="HA37" s="65"/>
      <c r="HB37" s="65"/>
      <c r="HC37" s="65"/>
      <c r="HD37" s="65"/>
      <c r="HE37" s="65"/>
      <c r="HF37" s="65"/>
      <c r="HG37" s="65"/>
      <c r="HH37" s="65"/>
      <c r="HI37" s="65"/>
      <c r="HJ37" s="65"/>
      <c r="HK37" s="65"/>
      <c r="HL37" s="65"/>
      <c r="HM37" s="65"/>
      <c r="HN37" s="65"/>
      <c r="HO37" s="65"/>
      <c r="HP37" s="65"/>
      <c r="HQ37" s="65"/>
      <c r="HR37" s="65"/>
      <c r="HS37" s="65"/>
      <c r="HT37" s="65"/>
      <c r="HU37" s="65"/>
      <c r="HV37" s="65"/>
      <c r="HW37" s="65"/>
      <c r="HX37" s="65"/>
      <c r="HY37" s="65"/>
      <c r="HZ37" s="65"/>
      <c r="IA37" s="65"/>
      <c r="IB37" s="65"/>
      <c r="IC37" s="65"/>
      <c r="ID37" s="65"/>
      <c r="IE37" s="65"/>
      <c r="IF37" s="65"/>
      <c r="IG37" s="65"/>
      <c r="IH37" s="65"/>
      <c r="II37" s="65"/>
      <c r="IJ37" s="65"/>
      <c r="IK37" s="65"/>
      <c r="IL37" s="65"/>
      <c r="IM37" s="65"/>
      <c r="IN37" s="65"/>
      <c r="IO37" s="65"/>
      <c r="IP37" s="65"/>
      <c r="IQ37" s="65"/>
      <c r="IR37" s="65"/>
      <c r="IS37" s="65"/>
      <c r="IT37" s="65"/>
      <c r="IU37" s="65"/>
      <c r="IV37" s="65"/>
      <c r="IW37" s="65"/>
      <c r="IX37" s="65"/>
      <c r="IY37" s="65"/>
      <c r="IZ37" s="65"/>
      <c r="JA37" s="65"/>
      <c r="JB37" s="65"/>
      <c r="JC37" s="65"/>
      <c r="JD37" s="65"/>
      <c r="JE37" s="65"/>
      <c r="JF37" s="65"/>
      <c r="JG37" s="65"/>
      <c r="JH37" s="65"/>
      <c r="JI37" s="65"/>
      <c r="JJ37" s="65"/>
      <c r="JK37" s="65"/>
      <c r="JL37" s="65"/>
      <c r="JM37" s="65"/>
      <c r="JN37" s="65"/>
      <c r="JO37" s="65"/>
      <c r="JP37" s="65"/>
      <c r="JQ37" s="65"/>
      <c r="JR37" s="65"/>
      <c r="JS37" s="65"/>
      <c r="JT37" s="65"/>
      <c r="JU37" s="65"/>
      <c r="JV37" s="65"/>
      <c r="JW37" s="65"/>
      <c r="JX37" s="65"/>
      <c r="JY37" s="65"/>
      <c r="JZ37" s="65"/>
      <c r="KA37" s="65"/>
      <c r="KB37" s="65"/>
      <c r="KC37" s="65"/>
      <c r="KD37" s="65"/>
      <c r="KE37" s="65"/>
      <c r="KF37" s="65"/>
      <c r="KG37" s="65"/>
      <c r="KH37" s="65"/>
      <c r="KI37" s="65"/>
      <c r="KJ37" s="65"/>
      <c r="KK37" s="65"/>
      <c r="KL37" s="65"/>
      <c r="KM37" s="65"/>
      <c r="KN37" s="65"/>
      <c r="KO37" s="65"/>
      <c r="KP37" s="65"/>
      <c r="KQ37" s="65"/>
      <c r="KR37" s="65"/>
      <c r="KS37" s="65"/>
      <c r="KT37" s="65"/>
      <c r="KU37" s="65"/>
      <c r="KV37" s="65"/>
      <c r="KW37" s="65"/>
      <c r="KX37" s="65"/>
      <c r="KY37" s="65"/>
      <c r="KZ37" s="65"/>
      <c r="LA37" s="65"/>
      <c r="LB37" s="65"/>
      <c r="LC37" s="65"/>
      <c r="LD37" s="65"/>
      <c r="LE37" s="65"/>
      <c r="LF37" s="65"/>
      <c r="LG37" s="65"/>
      <c r="LH37" s="65"/>
      <c r="LI37" s="65"/>
      <c r="LJ37" s="65"/>
      <c r="LK37" s="65"/>
      <c r="LL37" s="65"/>
      <c r="LM37" s="65"/>
      <c r="LN37" s="65"/>
      <c r="LO37" s="65"/>
      <c r="LP37" s="65"/>
      <c r="LQ37" s="65"/>
      <c r="LR37" s="65"/>
      <c r="LS37" s="65"/>
      <c r="LT37" s="65"/>
      <c r="LU37" s="65"/>
      <c r="LV37" s="65"/>
      <c r="LW37" s="65"/>
      <c r="LX37" s="65"/>
      <c r="LY37" s="65"/>
      <c r="LZ37" s="65"/>
      <c r="MA37" s="65"/>
      <c r="MB37" s="65"/>
      <c r="MC37" s="65"/>
      <c r="MD37" s="65"/>
      <c r="ME37" s="65"/>
      <c r="MF37" s="65"/>
      <c r="MG37" s="65"/>
      <c r="MH37" s="65"/>
      <c r="MI37" s="65"/>
      <c r="MJ37" s="65"/>
      <c r="MK37" s="65"/>
      <c r="ML37" s="65"/>
      <c r="MM37" s="65"/>
      <c r="MN37" s="65"/>
      <c r="MO37" s="65"/>
      <c r="MP37" s="65"/>
      <c r="MQ37" s="65"/>
      <c r="MR37" s="65"/>
      <c r="MS37" s="65"/>
      <c r="MT37" s="65"/>
      <c r="MU37" s="65"/>
      <c r="MV37" s="65"/>
      <c r="MW37" s="65"/>
      <c r="MX37" s="65"/>
      <c r="MY37" s="65"/>
      <c r="MZ37" s="65"/>
      <c r="NA37" s="65"/>
      <c r="NB37" s="65"/>
      <c r="NC37" s="65"/>
      <c r="ND37" s="65"/>
      <c r="NE37" s="65"/>
      <c r="NF37" s="65"/>
      <c r="NG37" s="65"/>
    </row>
    <row r="38">
      <c r="A38" s="65"/>
      <c r="B38" s="65"/>
      <c r="C38" s="207"/>
      <c r="D38" s="207"/>
      <c r="E38" s="109"/>
      <c r="F38" s="107" t="s">
        <v>1366</v>
      </c>
      <c r="G38" s="109"/>
      <c r="H38" s="109"/>
      <c r="I38" s="107" t="s">
        <v>1367</v>
      </c>
      <c r="J38" s="107" t="str">
        <f>LEFT(F38,3)</f>
        <v>Sho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65"/>
      <c r="BX38" s="65"/>
      <c r="BY38" s="65"/>
      <c r="BZ38" s="65"/>
      <c r="CA38" s="65"/>
      <c r="CB38" s="65"/>
      <c r="CC38" s="65"/>
      <c r="CD38" s="65"/>
      <c r="CE38" s="65"/>
      <c r="CF38" s="65"/>
      <c r="CG38" s="65"/>
      <c r="CH38" s="65"/>
      <c r="CI38" s="65"/>
      <c r="CJ38" s="65"/>
      <c r="CK38" s="65"/>
      <c r="CL38" s="65"/>
      <c r="CM38" s="65"/>
      <c r="CN38" s="65"/>
      <c r="CO38" s="65"/>
      <c r="CP38" s="65"/>
      <c r="CQ38" s="65"/>
      <c r="CR38" s="65"/>
      <c r="CS38" s="65"/>
      <c r="CT38" s="65"/>
      <c r="CU38" s="65"/>
      <c r="CV38" s="65"/>
      <c r="CW38" s="65"/>
      <c r="CX38" s="65"/>
      <c r="CY38" s="65"/>
      <c r="CZ38" s="65"/>
      <c r="DA38" s="65"/>
      <c r="DB38" s="65"/>
      <c r="DC38" s="65"/>
      <c r="DD38" s="65"/>
      <c r="DE38" s="65"/>
      <c r="DF38" s="65"/>
      <c r="DG38" s="65"/>
      <c r="DH38" s="65"/>
      <c r="DI38" s="65"/>
      <c r="DJ38" s="65"/>
      <c r="DK38" s="65"/>
      <c r="DL38" s="65"/>
      <c r="DM38" s="65"/>
      <c r="DN38" s="65"/>
      <c r="DO38" s="65"/>
      <c r="DP38" s="65"/>
      <c r="DQ38" s="65"/>
      <c r="DR38" s="65"/>
      <c r="DS38" s="65"/>
      <c r="DT38" s="65"/>
      <c r="DU38" s="65"/>
      <c r="DV38" s="65"/>
      <c r="DW38" s="65"/>
      <c r="DX38" s="65"/>
      <c r="DY38" s="65"/>
      <c r="DZ38" s="65"/>
      <c r="EA38" s="65"/>
      <c r="EB38" s="65"/>
      <c r="EC38" s="65"/>
      <c r="ED38" s="65"/>
      <c r="EE38" s="65"/>
      <c r="EF38" s="65"/>
      <c r="EG38" s="65"/>
      <c r="EH38" s="65"/>
      <c r="EI38" s="65"/>
      <c r="EJ38" s="65"/>
      <c r="EK38" s="65"/>
      <c r="EL38" s="65"/>
      <c r="EM38" s="65"/>
      <c r="EN38" s="65"/>
      <c r="EO38" s="65"/>
      <c r="EP38" s="65"/>
      <c r="EQ38" s="65"/>
      <c r="ER38" s="65"/>
      <c r="ES38" s="65"/>
      <c r="ET38" s="65"/>
      <c r="EU38" s="65"/>
      <c r="EV38" s="65"/>
      <c r="EW38" s="65"/>
      <c r="EX38" s="65"/>
      <c r="EY38" s="65"/>
      <c r="EZ38" s="65"/>
      <c r="FA38" s="65"/>
      <c r="FB38" s="65"/>
      <c r="FC38" s="65"/>
      <c r="FD38" s="65"/>
      <c r="FE38" s="65"/>
      <c r="FF38" s="65"/>
      <c r="FG38" s="65"/>
      <c r="FH38" s="65"/>
      <c r="FI38" s="65"/>
      <c r="FJ38" s="65"/>
      <c r="FK38" s="65"/>
      <c r="FL38" s="65"/>
      <c r="FM38" s="65"/>
      <c r="FN38" s="65"/>
      <c r="FO38" s="65"/>
      <c r="FP38" s="65"/>
      <c r="FQ38" s="65"/>
      <c r="FR38" s="65"/>
      <c r="FS38" s="65"/>
      <c r="FT38" s="65"/>
      <c r="FU38" s="65"/>
      <c r="FV38" s="65"/>
      <c r="FW38" s="65"/>
      <c r="FX38" s="65"/>
      <c r="FY38" s="65"/>
      <c r="FZ38" s="65"/>
      <c r="GA38" s="65"/>
      <c r="GB38" s="65"/>
      <c r="GC38" s="65"/>
      <c r="GD38" s="65"/>
      <c r="GE38" s="65"/>
      <c r="GF38" s="65"/>
      <c r="GG38" s="65"/>
      <c r="GH38" s="65"/>
      <c r="GI38" s="65"/>
      <c r="GJ38" s="65"/>
      <c r="GK38" s="65"/>
      <c r="GL38" s="65"/>
      <c r="GM38" s="65"/>
      <c r="GN38" s="65"/>
      <c r="GO38" s="65"/>
      <c r="GP38" s="65"/>
      <c r="GQ38" s="65"/>
      <c r="GR38" s="65"/>
      <c r="GS38" s="65"/>
      <c r="GT38" s="65"/>
      <c r="GU38" s="65"/>
      <c r="GV38" s="65"/>
      <c r="GW38" s="65"/>
      <c r="GX38" s="65"/>
      <c r="GY38" s="65"/>
      <c r="GZ38" s="65"/>
      <c r="HA38" s="65"/>
      <c r="HB38" s="65"/>
      <c r="HC38" s="65"/>
      <c r="HD38" s="65"/>
      <c r="HE38" s="65"/>
      <c r="HF38" s="65"/>
      <c r="HG38" s="65"/>
      <c r="HH38" s="65"/>
      <c r="HI38" s="65"/>
      <c r="HJ38" s="65"/>
      <c r="HK38" s="65"/>
      <c r="HL38" s="65"/>
      <c r="HM38" s="65"/>
      <c r="HN38" s="65"/>
      <c r="HO38" s="65"/>
      <c r="HP38" s="65"/>
      <c r="HQ38" s="65"/>
      <c r="HR38" s="65"/>
      <c r="HS38" s="65"/>
      <c r="HT38" s="65"/>
      <c r="HU38" s="65"/>
      <c r="HV38" s="65"/>
      <c r="HW38" s="65"/>
      <c r="HX38" s="65"/>
      <c r="HY38" s="65"/>
      <c r="HZ38" s="65"/>
      <c r="IA38" s="65"/>
      <c r="IB38" s="65"/>
      <c r="IC38" s="65"/>
      <c r="ID38" s="65"/>
      <c r="IE38" s="65"/>
      <c r="IF38" s="65"/>
      <c r="IG38" s="65"/>
      <c r="IH38" s="65"/>
      <c r="II38" s="65"/>
      <c r="IJ38" s="65"/>
      <c r="IK38" s="65"/>
      <c r="IL38" s="65"/>
      <c r="IM38" s="65"/>
      <c r="IN38" s="65"/>
      <c r="IO38" s="65"/>
      <c r="IP38" s="65"/>
      <c r="IQ38" s="65"/>
      <c r="IR38" s="65"/>
      <c r="IS38" s="65"/>
      <c r="IT38" s="65"/>
      <c r="IU38" s="65"/>
      <c r="IV38" s="65"/>
      <c r="IW38" s="65"/>
      <c r="IX38" s="65"/>
      <c r="IY38" s="65"/>
      <c r="IZ38" s="65"/>
      <c r="JA38" s="65"/>
      <c r="JB38" s="65"/>
      <c r="JC38" s="65"/>
      <c r="JD38" s="65"/>
      <c r="JE38" s="65"/>
      <c r="JF38" s="65"/>
      <c r="JG38" s="65"/>
      <c r="JH38" s="65"/>
      <c r="JI38" s="65"/>
      <c r="JJ38" s="65"/>
      <c r="JK38" s="65"/>
      <c r="JL38" s="65"/>
      <c r="JM38" s="65"/>
      <c r="JN38" s="65"/>
      <c r="JO38" s="65"/>
      <c r="JP38" s="65"/>
      <c r="JQ38" s="65"/>
      <c r="JR38" s="65"/>
      <c r="JS38" s="65"/>
      <c r="JT38" s="65"/>
      <c r="JU38" s="65"/>
      <c r="JV38" s="65"/>
      <c r="JW38" s="65"/>
      <c r="JX38" s="65"/>
      <c r="JY38" s="65"/>
      <c r="JZ38" s="65"/>
      <c r="KA38" s="65"/>
      <c r="KB38" s="65"/>
      <c r="KC38" s="65"/>
      <c r="KD38" s="65"/>
      <c r="KE38" s="65"/>
      <c r="KF38" s="65"/>
      <c r="KG38" s="65"/>
      <c r="KH38" s="65"/>
      <c r="KI38" s="65"/>
      <c r="KJ38" s="65"/>
      <c r="KK38" s="65"/>
      <c r="KL38" s="65"/>
      <c r="KM38" s="65"/>
      <c r="KN38" s="65"/>
      <c r="KO38" s="65"/>
      <c r="KP38" s="65"/>
      <c r="KQ38" s="65"/>
      <c r="KR38" s="65"/>
      <c r="KS38" s="65"/>
      <c r="KT38" s="65"/>
      <c r="KU38" s="65"/>
      <c r="KV38" s="65"/>
      <c r="KW38" s="65"/>
      <c r="KX38" s="65"/>
      <c r="KY38" s="65"/>
      <c r="KZ38" s="65"/>
      <c r="LA38" s="65"/>
      <c r="LB38" s="65"/>
      <c r="LC38" s="65"/>
      <c r="LD38" s="65"/>
      <c r="LE38" s="65"/>
      <c r="LF38" s="65"/>
      <c r="LG38" s="65"/>
      <c r="LH38" s="65"/>
      <c r="LI38" s="65"/>
      <c r="LJ38" s="65"/>
      <c r="LK38" s="65"/>
      <c r="LL38" s="65"/>
      <c r="LM38" s="65"/>
      <c r="LN38" s="65"/>
      <c r="LO38" s="65"/>
      <c r="LP38" s="65"/>
      <c r="LQ38" s="65"/>
      <c r="LR38" s="65"/>
      <c r="LS38" s="65"/>
      <c r="LT38" s="65"/>
      <c r="LU38" s="65"/>
      <c r="LV38" s="65"/>
      <c r="LW38" s="65"/>
      <c r="LX38" s="65"/>
      <c r="LY38" s="65"/>
      <c r="LZ38" s="65"/>
      <c r="MA38" s="65"/>
      <c r="MB38" s="65"/>
      <c r="MC38" s="65"/>
      <c r="MD38" s="65"/>
      <c r="ME38" s="65"/>
      <c r="MF38" s="65"/>
      <c r="MG38" s="65"/>
      <c r="MH38" s="65"/>
      <c r="MI38" s="65"/>
      <c r="MJ38" s="65"/>
      <c r="MK38" s="65"/>
      <c r="ML38" s="65"/>
      <c r="MM38" s="65"/>
      <c r="MN38" s="65"/>
      <c r="MO38" s="65"/>
      <c r="MP38" s="65"/>
      <c r="MQ38" s="65"/>
      <c r="MR38" s="65"/>
      <c r="MS38" s="65"/>
      <c r="MT38" s="65"/>
      <c r="MU38" s="65"/>
      <c r="MV38" s="65"/>
      <c r="MW38" s="65"/>
      <c r="MX38" s="65"/>
      <c r="MY38" s="65"/>
      <c r="MZ38" s="65"/>
      <c r="NA38" s="65"/>
      <c r="NB38" s="65"/>
      <c r="NC38" s="65"/>
      <c r="ND38" s="65"/>
      <c r="NE38" s="65"/>
      <c r="NF38" s="65"/>
      <c r="NG38" s="65"/>
    </row>
    <row r="39">
      <c r="A39" s="65"/>
      <c r="B39" s="65"/>
      <c r="C39" s="201"/>
      <c r="D39" s="201"/>
      <c r="E39" s="109"/>
      <c r="F39" s="107" t="s">
        <v>1368</v>
      </c>
      <c r="G39" s="109"/>
      <c r="H39" s="109"/>
      <c r="I39" s="107" t="s">
        <v>1369</v>
      </c>
      <c r="J39" s="107" t="str">
        <f>LEFT(F39,4)</f>
        <v>P-Tr</v>
      </c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5"/>
      <c r="BW39" s="65"/>
      <c r="BX39" s="65"/>
      <c r="BY39" s="65"/>
      <c r="BZ39" s="65"/>
      <c r="CA39" s="65"/>
      <c r="CB39" s="65"/>
      <c r="CC39" s="65"/>
      <c r="CD39" s="65"/>
      <c r="CE39" s="65"/>
      <c r="CF39" s="65"/>
      <c r="CG39" s="65"/>
      <c r="CH39" s="65"/>
      <c r="CI39" s="65"/>
      <c r="CJ39" s="65"/>
      <c r="CK39" s="65"/>
      <c r="CL39" s="65"/>
      <c r="CM39" s="65"/>
      <c r="CN39" s="65"/>
      <c r="CO39" s="65"/>
      <c r="CP39" s="65"/>
      <c r="CQ39" s="65"/>
      <c r="CR39" s="65"/>
      <c r="CS39" s="65"/>
      <c r="CT39" s="65"/>
      <c r="CU39" s="65"/>
      <c r="CV39" s="65"/>
      <c r="CW39" s="65"/>
      <c r="CX39" s="65"/>
      <c r="CY39" s="65"/>
      <c r="CZ39" s="65"/>
      <c r="DA39" s="65"/>
      <c r="DB39" s="65"/>
      <c r="DC39" s="65"/>
      <c r="DD39" s="65"/>
      <c r="DE39" s="65"/>
      <c r="DF39" s="65"/>
      <c r="DG39" s="65"/>
      <c r="DH39" s="65"/>
      <c r="DI39" s="65"/>
      <c r="DJ39" s="65"/>
      <c r="DK39" s="65"/>
      <c r="DL39" s="65"/>
      <c r="DM39" s="65"/>
      <c r="DN39" s="65"/>
      <c r="DO39" s="65"/>
      <c r="DP39" s="65"/>
      <c r="DQ39" s="65"/>
      <c r="DR39" s="65"/>
      <c r="DS39" s="65"/>
      <c r="DT39" s="65"/>
      <c r="DU39" s="65"/>
      <c r="DV39" s="65"/>
      <c r="DW39" s="65"/>
      <c r="DX39" s="65"/>
      <c r="DY39" s="65"/>
      <c r="DZ39" s="65"/>
      <c r="EA39" s="65"/>
      <c r="EB39" s="65"/>
      <c r="EC39" s="65"/>
      <c r="ED39" s="65"/>
      <c r="EE39" s="65"/>
      <c r="EF39" s="65"/>
      <c r="EG39" s="65"/>
      <c r="EH39" s="65"/>
      <c r="EI39" s="65"/>
      <c r="EJ39" s="65"/>
      <c r="EK39" s="65"/>
      <c r="EL39" s="65"/>
      <c r="EM39" s="65"/>
      <c r="EN39" s="65"/>
      <c r="EO39" s="65"/>
      <c r="EP39" s="65"/>
      <c r="EQ39" s="65"/>
      <c r="ER39" s="65"/>
      <c r="ES39" s="65"/>
      <c r="ET39" s="65"/>
      <c r="EU39" s="65"/>
      <c r="EV39" s="65"/>
      <c r="EW39" s="65"/>
      <c r="EX39" s="65"/>
      <c r="EY39" s="65"/>
      <c r="EZ39" s="65"/>
      <c r="FA39" s="65"/>
      <c r="FB39" s="65"/>
      <c r="FC39" s="65"/>
      <c r="FD39" s="65"/>
      <c r="FE39" s="65"/>
      <c r="FF39" s="65"/>
      <c r="FG39" s="65"/>
      <c r="FH39" s="65"/>
      <c r="FI39" s="65"/>
      <c r="FJ39" s="65"/>
      <c r="FK39" s="65"/>
      <c r="FL39" s="65"/>
      <c r="FM39" s="65"/>
      <c r="FN39" s="65"/>
      <c r="FO39" s="65"/>
      <c r="FP39" s="65"/>
      <c r="FQ39" s="65"/>
      <c r="FR39" s="65"/>
      <c r="FS39" s="65"/>
      <c r="FT39" s="65"/>
      <c r="FU39" s="65"/>
      <c r="FV39" s="65"/>
      <c r="FW39" s="65"/>
      <c r="FX39" s="65"/>
      <c r="FY39" s="65"/>
      <c r="FZ39" s="65"/>
      <c r="GA39" s="65"/>
      <c r="GB39" s="65"/>
      <c r="GC39" s="65"/>
      <c r="GD39" s="65"/>
      <c r="GE39" s="65"/>
      <c r="GF39" s="65"/>
      <c r="GG39" s="65"/>
      <c r="GH39" s="65"/>
      <c r="GI39" s="65"/>
      <c r="GJ39" s="65"/>
      <c r="GK39" s="65"/>
      <c r="GL39" s="65"/>
      <c r="GM39" s="65"/>
      <c r="GN39" s="65"/>
      <c r="GO39" s="65"/>
      <c r="GP39" s="65"/>
      <c r="GQ39" s="65"/>
      <c r="GR39" s="65"/>
      <c r="GS39" s="65"/>
      <c r="GT39" s="65"/>
      <c r="GU39" s="65"/>
      <c r="GV39" s="65"/>
      <c r="GW39" s="65"/>
      <c r="GX39" s="65"/>
      <c r="GY39" s="65"/>
      <c r="GZ39" s="65"/>
      <c r="HA39" s="65"/>
      <c r="HB39" s="65"/>
      <c r="HC39" s="65"/>
      <c r="HD39" s="65"/>
      <c r="HE39" s="65"/>
      <c r="HF39" s="65"/>
      <c r="HG39" s="65"/>
      <c r="HH39" s="65"/>
      <c r="HI39" s="65"/>
      <c r="HJ39" s="65"/>
      <c r="HK39" s="65"/>
      <c r="HL39" s="65"/>
      <c r="HM39" s="65"/>
      <c r="HN39" s="65"/>
      <c r="HO39" s="65"/>
      <c r="HP39" s="65"/>
      <c r="HQ39" s="65"/>
      <c r="HR39" s="65"/>
      <c r="HS39" s="65"/>
      <c r="HT39" s="65"/>
      <c r="HU39" s="65"/>
      <c r="HV39" s="65"/>
      <c r="HW39" s="65"/>
      <c r="HX39" s="65"/>
      <c r="HY39" s="65"/>
      <c r="HZ39" s="65"/>
      <c r="IA39" s="65"/>
      <c r="IB39" s="65"/>
      <c r="IC39" s="65"/>
      <c r="ID39" s="65"/>
      <c r="IE39" s="65"/>
      <c r="IF39" s="65"/>
      <c r="IG39" s="65"/>
      <c r="IH39" s="65"/>
      <c r="II39" s="65"/>
      <c r="IJ39" s="65"/>
      <c r="IK39" s="65"/>
      <c r="IL39" s="65"/>
      <c r="IM39" s="65"/>
      <c r="IN39" s="65"/>
      <c r="IO39" s="65"/>
      <c r="IP39" s="65"/>
      <c r="IQ39" s="65"/>
      <c r="IR39" s="65"/>
      <c r="IS39" s="65"/>
      <c r="IT39" s="65"/>
      <c r="IU39" s="65"/>
      <c r="IV39" s="65"/>
      <c r="IW39" s="65"/>
      <c r="IX39" s="65"/>
      <c r="IY39" s="65"/>
      <c r="IZ39" s="65"/>
      <c r="JA39" s="65"/>
      <c r="JB39" s="65"/>
      <c r="JC39" s="65"/>
      <c r="JD39" s="65"/>
      <c r="JE39" s="65"/>
      <c r="JF39" s="65"/>
      <c r="JG39" s="65"/>
      <c r="JH39" s="65"/>
      <c r="JI39" s="65"/>
      <c r="JJ39" s="65"/>
      <c r="JK39" s="65"/>
      <c r="JL39" s="65"/>
      <c r="JM39" s="65"/>
      <c r="JN39" s="65"/>
      <c r="JO39" s="65"/>
      <c r="JP39" s="65"/>
      <c r="JQ39" s="65"/>
      <c r="JR39" s="65"/>
      <c r="JS39" s="65"/>
      <c r="JT39" s="65"/>
      <c r="JU39" s="65"/>
      <c r="JV39" s="65"/>
      <c r="JW39" s="65"/>
      <c r="JX39" s="65"/>
      <c r="JY39" s="65"/>
      <c r="JZ39" s="65"/>
      <c r="KA39" s="65"/>
      <c r="KB39" s="65"/>
      <c r="KC39" s="65"/>
      <c r="KD39" s="65"/>
      <c r="KE39" s="65"/>
      <c r="KF39" s="65"/>
      <c r="KG39" s="65"/>
      <c r="KH39" s="65"/>
      <c r="KI39" s="65"/>
      <c r="KJ39" s="65"/>
      <c r="KK39" s="65"/>
      <c r="KL39" s="65"/>
      <c r="KM39" s="65"/>
      <c r="KN39" s="65"/>
      <c r="KO39" s="65"/>
      <c r="KP39" s="65"/>
      <c r="KQ39" s="65"/>
      <c r="KR39" s="65"/>
      <c r="KS39" s="65"/>
      <c r="KT39" s="65"/>
      <c r="KU39" s="65"/>
      <c r="KV39" s="65"/>
      <c r="KW39" s="65"/>
      <c r="KX39" s="65"/>
      <c r="KY39" s="65"/>
      <c r="KZ39" s="65"/>
      <c r="LA39" s="65"/>
      <c r="LB39" s="65"/>
      <c r="LC39" s="65"/>
      <c r="LD39" s="65"/>
      <c r="LE39" s="65"/>
      <c r="LF39" s="65"/>
      <c r="LG39" s="65"/>
      <c r="LH39" s="65"/>
      <c r="LI39" s="65"/>
      <c r="LJ39" s="65"/>
      <c r="LK39" s="65"/>
      <c r="LL39" s="65"/>
      <c r="LM39" s="65"/>
      <c r="LN39" s="65"/>
      <c r="LO39" s="65"/>
      <c r="LP39" s="65"/>
      <c r="LQ39" s="65"/>
      <c r="LR39" s="65"/>
      <c r="LS39" s="65"/>
      <c r="LT39" s="65"/>
      <c r="LU39" s="65"/>
      <c r="LV39" s="65"/>
      <c r="LW39" s="65"/>
      <c r="LX39" s="65"/>
      <c r="LY39" s="65"/>
      <c r="LZ39" s="65"/>
      <c r="MA39" s="65"/>
      <c r="MB39" s="65"/>
      <c r="MC39" s="65"/>
      <c r="MD39" s="65"/>
      <c r="ME39" s="65"/>
      <c r="MF39" s="65"/>
      <c r="MG39" s="65"/>
      <c r="MH39" s="65"/>
      <c r="MI39" s="65"/>
      <c r="MJ39" s="65"/>
      <c r="MK39" s="65"/>
      <c r="ML39" s="65"/>
      <c r="MM39" s="65"/>
      <c r="MN39" s="65"/>
      <c r="MO39" s="65"/>
      <c r="MP39" s="65"/>
      <c r="MQ39" s="65"/>
      <c r="MR39" s="65"/>
      <c r="MS39" s="65"/>
      <c r="MT39" s="65"/>
      <c r="MU39" s="65"/>
      <c r="MV39" s="65"/>
      <c r="MW39" s="65"/>
      <c r="MX39" s="65"/>
      <c r="MY39" s="65"/>
      <c r="MZ39" s="65"/>
      <c r="NA39" s="65"/>
      <c r="NB39" s="65"/>
      <c r="NC39" s="65"/>
      <c r="ND39" s="65"/>
      <c r="NE39" s="65"/>
      <c r="NF39" s="65"/>
      <c r="NG39" s="65"/>
    </row>
    <row r="40">
      <c r="A40" s="65"/>
      <c r="B40" s="65"/>
      <c r="C40" s="211"/>
      <c r="D40" s="211"/>
      <c r="E40" s="65"/>
      <c r="F40" s="210"/>
      <c r="G40" s="65"/>
      <c r="H40" s="65"/>
      <c r="I40" s="210"/>
      <c r="J40" s="210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5"/>
      <c r="BW40" s="65"/>
      <c r="BX40" s="65"/>
      <c r="BY40" s="65"/>
      <c r="BZ40" s="65"/>
      <c r="CA40" s="65"/>
      <c r="CB40" s="65"/>
      <c r="CC40" s="65"/>
      <c r="CD40" s="65"/>
      <c r="CE40" s="65"/>
      <c r="CF40" s="65"/>
      <c r="CG40" s="65"/>
      <c r="CH40" s="65"/>
      <c r="CI40" s="65"/>
      <c r="CJ40" s="65"/>
      <c r="CK40" s="65"/>
      <c r="CL40" s="65"/>
      <c r="CM40" s="65"/>
      <c r="CN40" s="65"/>
      <c r="CO40" s="65"/>
      <c r="CP40" s="65"/>
      <c r="CQ40" s="65"/>
      <c r="CR40" s="65"/>
      <c r="CS40" s="65"/>
      <c r="CT40" s="65"/>
      <c r="CU40" s="65"/>
      <c r="CV40" s="65"/>
      <c r="CW40" s="65"/>
      <c r="CX40" s="65"/>
      <c r="CY40" s="65"/>
      <c r="CZ40" s="65"/>
      <c r="DA40" s="65"/>
      <c r="DB40" s="65"/>
      <c r="DC40" s="65"/>
      <c r="DD40" s="65"/>
      <c r="DE40" s="65"/>
      <c r="DF40" s="65"/>
      <c r="DG40" s="65"/>
      <c r="DH40" s="65"/>
      <c r="DI40" s="65"/>
      <c r="DJ40" s="65"/>
      <c r="DK40" s="65"/>
      <c r="DL40" s="65"/>
      <c r="DM40" s="65"/>
      <c r="DN40" s="65"/>
      <c r="DO40" s="65"/>
      <c r="DP40" s="65"/>
      <c r="DQ40" s="65"/>
      <c r="DR40" s="65"/>
      <c r="DS40" s="65"/>
      <c r="DT40" s="65"/>
      <c r="DU40" s="65"/>
      <c r="DV40" s="65"/>
      <c r="DW40" s="65"/>
      <c r="DX40" s="65"/>
      <c r="DY40" s="65"/>
      <c r="DZ40" s="65"/>
      <c r="EA40" s="65"/>
      <c r="EB40" s="65"/>
      <c r="EC40" s="65"/>
      <c r="ED40" s="65"/>
      <c r="EE40" s="65"/>
      <c r="EF40" s="65"/>
      <c r="EG40" s="65"/>
      <c r="EH40" s="65"/>
      <c r="EI40" s="65"/>
      <c r="EJ40" s="65"/>
      <c r="EK40" s="65"/>
      <c r="EL40" s="65"/>
      <c r="EM40" s="65"/>
      <c r="EN40" s="65"/>
      <c r="EO40" s="65"/>
      <c r="EP40" s="65"/>
      <c r="EQ40" s="65"/>
      <c r="ER40" s="65"/>
      <c r="ES40" s="65"/>
      <c r="ET40" s="65"/>
      <c r="EU40" s="65"/>
      <c r="EV40" s="65"/>
      <c r="EW40" s="65"/>
      <c r="EX40" s="65"/>
      <c r="EY40" s="65"/>
      <c r="EZ40" s="65"/>
      <c r="FA40" s="65"/>
      <c r="FB40" s="65"/>
      <c r="FC40" s="65"/>
      <c r="FD40" s="65"/>
      <c r="FE40" s="65"/>
      <c r="FF40" s="65"/>
      <c r="FG40" s="65"/>
      <c r="FH40" s="65"/>
      <c r="FI40" s="65"/>
      <c r="FJ40" s="65"/>
      <c r="FK40" s="65"/>
      <c r="FL40" s="65"/>
      <c r="FM40" s="65"/>
      <c r="FN40" s="65"/>
      <c r="FO40" s="65"/>
      <c r="FP40" s="65"/>
      <c r="FQ40" s="65"/>
      <c r="FR40" s="65"/>
      <c r="FS40" s="65"/>
      <c r="FT40" s="65"/>
      <c r="FU40" s="65"/>
      <c r="FV40" s="65"/>
      <c r="FW40" s="65"/>
      <c r="FX40" s="65"/>
      <c r="FY40" s="65"/>
      <c r="FZ40" s="65"/>
      <c r="GA40" s="65"/>
      <c r="GB40" s="65"/>
      <c r="GC40" s="65"/>
      <c r="GD40" s="65"/>
      <c r="GE40" s="65"/>
      <c r="GF40" s="65"/>
      <c r="GG40" s="65"/>
      <c r="GH40" s="65"/>
      <c r="GI40" s="65"/>
      <c r="GJ40" s="65"/>
      <c r="GK40" s="65"/>
      <c r="GL40" s="65"/>
      <c r="GM40" s="65"/>
      <c r="GN40" s="65"/>
      <c r="GO40" s="65"/>
      <c r="GP40" s="65"/>
      <c r="GQ40" s="65"/>
      <c r="GR40" s="65"/>
      <c r="GS40" s="65"/>
      <c r="GT40" s="65"/>
      <c r="GU40" s="65"/>
      <c r="GV40" s="65"/>
      <c r="GW40" s="65"/>
      <c r="GX40" s="65"/>
      <c r="GY40" s="65"/>
      <c r="GZ40" s="65"/>
      <c r="HA40" s="65"/>
      <c r="HB40" s="65"/>
      <c r="HC40" s="65"/>
      <c r="HD40" s="65"/>
      <c r="HE40" s="65"/>
      <c r="HF40" s="65"/>
      <c r="HG40" s="65"/>
      <c r="HH40" s="65"/>
      <c r="HI40" s="65"/>
      <c r="HJ40" s="65"/>
      <c r="HK40" s="65"/>
      <c r="HL40" s="65"/>
      <c r="HM40" s="65"/>
      <c r="HN40" s="65"/>
      <c r="HO40" s="65"/>
      <c r="HP40" s="65"/>
      <c r="HQ40" s="65"/>
      <c r="HR40" s="65"/>
      <c r="HS40" s="65"/>
      <c r="HT40" s="65"/>
      <c r="HU40" s="65"/>
      <c r="HV40" s="65"/>
      <c r="HW40" s="65"/>
      <c r="HX40" s="65"/>
      <c r="HY40" s="65"/>
      <c r="HZ40" s="65"/>
      <c r="IA40" s="65"/>
      <c r="IB40" s="65"/>
      <c r="IC40" s="65"/>
      <c r="ID40" s="65"/>
      <c r="IE40" s="65"/>
      <c r="IF40" s="65"/>
      <c r="IG40" s="65"/>
      <c r="IH40" s="65"/>
      <c r="II40" s="65"/>
      <c r="IJ40" s="65"/>
      <c r="IK40" s="65"/>
      <c r="IL40" s="65"/>
      <c r="IM40" s="65"/>
      <c r="IN40" s="65"/>
      <c r="IO40" s="65"/>
      <c r="IP40" s="65"/>
      <c r="IQ40" s="65"/>
      <c r="IR40" s="65"/>
      <c r="IS40" s="65"/>
      <c r="IT40" s="65"/>
      <c r="IU40" s="65"/>
      <c r="IV40" s="65"/>
      <c r="IW40" s="65"/>
      <c r="IX40" s="65"/>
      <c r="IY40" s="65"/>
      <c r="IZ40" s="65"/>
      <c r="JA40" s="65"/>
      <c r="JB40" s="65"/>
      <c r="JC40" s="65"/>
      <c r="JD40" s="65"/>
      <c r="JE40" s="65"/>
      <c r="JF40" s="65"/>
      <c r="JG40" s="65"/>
      <c r="JH40" s="65"/>
      <c r="JI40" s="65"/>
      <c r="JJ40" s="65"/>
      <c r="JK40" s="65"/>
      <c r="JL40" s="65"/>
      <c r="JM40" s="65"/>
      <c r="JN40" s="65"/>
      <c r="JO40" s="65"/>
      <c r="JP40" s="65"/>
      <c r="JQ40" s="65"/>
      <c r="JR40" s="65"/>
      <c r="JS40" s="65"/>
      <c r="JT40" s="65"/>
      <c r="JU40" s="65"/>
      <c r="JV40" s="65"/>
      <c r="JW40" s="65"/>
      <c r="JX40" s="65"/>
      <c r="JY40" s="65"/>
      <c r="JZ40" s="65"/>
      <c r="KA40" s="65"/>
      <c r="KB40" s="65"/>
      <c r="KC40" s="65"/>
      <c r="KD40" s="65"/>
      <c r="KE40" s="65"/>
      <c r="KF40" s="65"/>
      <c r="KG40" s="65"/>
      <c r="KH40" s="65"/>
      <c r="KI40" s="65"/>
      <c r="KJ40" s="65"/>
      <c r="KK40" s="65"/>
      <c r="KL40" s="65"/>
      <c r="KM40" s="65"/>
      <c r="KN40" s="65"/>
      <c r="KO40" s="65"/>
      <c r="KP40" s="65"/>
      <c r="KQ40" s="65"/>
      <c r="KR40" s="65"/>
      <c r="KS40" s="65"/>
      <c r="KT40" s="65"/>
      <c r="KU40" s="65"/>
      <c r="KV40" s="65"/>
      <c r="KW40" s="65"/>
      <c r="KX40" s="65"/>
      <c r="KY40" s="65"/>
      <c r="KZ40" s="65"/>
      <c r="LA40" s="65"/>
      <c r="LB40" s="65"/>
      <c r="LC40" s="65"/>
      <c r="LD40" s="65"/>
      <c r="LE40" s="65"/>
      <c r="LF40" s="65"/>
      <c r="LG40" s="65"/>
      <c r="LH40" s="65"/>
      <c r="LI40" s="65"/>
      <c r="LJ40" s="65"/>
      <c r="LK40" s="65"/>
      <c r="LL40" s="65"/>
      <c r="LM40" s="65"/>
      <c r="LN40" s="65"/>
      <c r="LO40" s="65"/>
      <c r="LP40" s="65"/>
      <c r="LQ40" s="65"/>
      <c r="LR40" s="65"/>
      <c r="LS40" s="65"/>
      <c r="LT40" s="65"/>
      <c r="LU40" s="65"/>
      <c r="LV40" s="65"/>
      <c r="LW40" s="65"/>
      <c r="LX40" s="65"/>
      <c r="LY40" s="65"/>
      <c r="LZ40" s="65"/>
      <c r="MA40" s="65"/>
      <c r="MB40" s="65"/>
      <c r="MC40" s="65"/>
      <c r="MD40" s="65"/>
      <c r="ME40" s="65"/>
      <c r="MF40" s="65"/>
      <c r="MG40" s="65"/>
      <c r="MH40" s="65"/>
      <c r="MI40" s="65"/>
      <c r="MJ40" s="65"/>
      <c r="MK40" s="65"/>
      <c r="ML40" s="65"/>
      <c r="MM40" s="65"/>
      <c r="MN40" s="65"/>
      <c r="MO40" s="65"/>
      <c r="MP40" s="65"/>
      <c r="MQ40" s="65"/>
      <c r="MR40" s="65"/>
      <c r="MS40" s="65"/>
      <c r="MT40" s="65"/>
      <c r="MU40" s="65"/>
      <c r="MV40" s="65"/>
      <c r="MW40" s="65"/>
      <c r="MX40" s="65"/>
      <c r="MY40" s="65"/>
      <c r="MZ40" s="65"/>
      <c r="NA40" s="65"/>
      <c r="NB40" s="65"/>
      <c r="NC40" s="65"/>
      <c r="ND40" s="65"/>
      <c r="NE40" s="65"/>
      <c r="NF40" s="65"/>
      <c r="NG40" s="65"/>
    </row>
    <row r="41">
      <c r="A41" s="65"/>
      <c r="B41" s="65"/>
      <c r="C41" s="205">
        <v>8.0</v>
      </c>
      <c r="D41" s="205" t="s">
        <v>123</v>
      </c>
      <c r="E41" s="109"/>
      <c r="F41" s="107" t="s">
        <v>1370</v>
      </c>
      <c r="G41" s="109"/>
      <c r="H41" s="109"/>
      <c r="I41" s="107" t="s">
        <v>1371</v>
      </c>
      <c r="J41" s="107" t="str">
        <f>RIGHT(F41,4)</f>
        <v>ePie</v>
      </c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5"/>
      <c r="BW41" s="65"/>
      <c r="BX41" s="65"/>
      <c r="BY41" s="65"/>
      <c r="BZ41" s="65"/>
      <c r="CA41" s="65"/>
      <c r="CB41" s="65"/>
      <c r="CC41" s="65"/>
      <c r="CD41" s="65"/>
      <c r="CE41" s="65"/>
      <c r="CF41" s="65"/>
      <c r="CG41" s="65"/>
      <c r="CH41" s="65"/>
      <c r="CI41" s="65"/>
      <c r="CJ41" s="65"/>
      <c r="CK41" s="65"/>
      <c r="CL41" s="65"/>
      <c r="CM41" s="65"/>
      <c r="CN41" s="65"/>
      <c r="CO41" s="65"/>
      <c r="CP41" s="65"/>
      <c r="CQ41" s="65"/>
      <c r="CR41" s="65"/>
      <c r="CS41" s="65"/>
      <c r="CT41" s="65"/>
      <c r="CU41" s="65"/>
      <c r="CV41" s="65"/>
      <c r="CW41" s="65"/>
      <c r="CX41" s="65"/>
      <c r="CY41" s="65"/>
      <c r="CZ41" s="65"/>
      <c r="DA41" s="65"/>
      <c r="DB41" s="65"/>
      <c r="DC41" s="65"/>
      <c r="DD41" s="65"/>
      <c r="DE41" s="65"/>
      <c r="DF41" s="65"/>
      <c r="DG41" s="65"/>
      <c r="DH41" s="65"/>
      <c r="DI41" s="65"/>
      <c r="DJ41" s="65"/>
      <c r="DK41" s="65"/>
      <c r="DL41" s="65"/>
      <c r="DM41" s="65"/>
      <c r="DN41" s="65"/>
      <c r="DO41" s="65"/>
      <c r="DP41" s="65"/>
      <c r="DQ41" s="65"/>
      <c r="DR41" s="65"/>
      <c r="DS41" s="65"/>
      <c r="DT41" s="65"/>
      <c r="DU41" s="65"/>
      <c r="DV41" s="65"/>
      <c r="DW41" s="65"/>
      <c r="DX41" s="65"/>
      <c r="DY41" s="65"/>
      <c r="DZ41" s="65"/>
      <c r="EA41" s="65"/>
      <c r="EB41" s="65"/>
      <c r="EC41" s="65"/>
      <c r="ED41" s="65"/>
      <c r="EE41" s="65"/>
      <c r="EF41" s="65"/>
      <c r="EG41" s="65"/>
      <c r="EH41" s="65"/>
      <c r="EI41" s="65"/>
      <c r="EJ41" s="65"/>
      <c r="EK41" s="65"/>
      <c r="EL41" s="65"/>
      <c r="EM41" s="65"/>
      <c r="EN41" s="65"/>
      <c r="EO41" s="65"/>
      <c r="EP41" s="65"/>
      <c r="EQ41" s="65"/>
      <c r="ER41" s="65"/>
      <c r="ES41" s="65"/>
      <c r="ET41" s="65"/>
      <c r="EU41" s="65"/>
      <c r="EV41" s="65"/>
      <c r="EW41" s="65"/>
      <c r="EX41" s="65"/>
      <c r="EY41" s="65"/>
      <c r="EZ41" s="65"/>
      <c r="FA41" s="65"/>
      <c r="FB41" s="65"/>
      <c r="FC41" s="65"/>
      <c r="FD41" s="65"/>
      <c r="FE41" s="65"/>
      <c r="FF41" s="65"/>
      <c r="FG41" s="65"/>
      <c r="FH41" s="65"/>
      <c r="FI41" s="65"/>
      <c r="FJ41" s="65"/>
      <c r="FK41" s="65"/>
      <c r="FL41" s="65"/>
      <c r="FM41" s="65"/>
      <c r="FN41" s="65"/>
      <c r="FO41" s="65"/>
      <c r="FP41" s="65"/>
      <c r="FQ41" s="65"/>
      <c r="FR41" s="65"/>
      <c r="FS41" s="65"/>
      <c r="FT41" s="65"/>
      <c r="FU41" s="65"/>
      <c r="FV41" s="65"/>
      <c r="FW41" s="65"/>
      <c r="FX41" s="65"/>
      <c r="FY41" s="65"/>
      <c r="FZ41" s="65"/>
      <c r="GA41" s="65"/>
      <c r="GB41" s="65"/>
      <c r="GC41" s="65"/>
      <c r="GD41" s="65"/>
      <c r="GE41" s="65"/>
      <c r="GF41" s="65"/>
      <c r="GG41" s="65"/>
      <c r="GH41" s="65"/>
      <c r="GI41" s="65"/>
      <c r="GJ41" s="65"/>
      <c r="GK41" s="65"/>
      <c r="GL41" s="65"/>
      <c r="GM41" s="65"/>
      <c r="GN41" s="65"/>
      <c r="GO41" s="65"/>
      <c r="GP41" s="65"/>
      <c r="GQ41" s="65"/>
      <c r="GR41" s="65"/>
      <c r="GS41" s="65"/>
      <c r="GT41" s="65"/>
      <c r="GU41" s="65"/>
      <c r="GV41" s="65"/>
      <c r="GW41" s="65"/>
      <c r="GX41" s="65"/>
      <c r="GY41" s="65"/>
      <c r="GZ41" s="65"/>
      <c r="HA41" s="65"/>
      <c r="HB41" s="65"/>
      <c r="HC41" s="65"/>
      <c r="HD41" s="65"/>
      <c r="HE41" s="65"/>
      <c r="HF41" s="65"/>
      <c r="HG41" s="65"/>
      <c r="HH41" s="65"/>
      <c r="HI41" s="65"/>
      <c r="HJ41" s="65"/>
      <c r="HK41" s="65"/>
      <c r="HL41" s="65"/>
      <c r="HM41" s="65"/>
      <c r="HN41" s="65"/>
      <c r="HO41" s="65"/>
      <c r="HP41" s="65"/>
      <c r="HQ41" s="65"/>
      <c r="HR41" s="65"/>
      <c r="HS41" s="65"/>
      <c r="HT41" s="65"/>
      <c r="HU41" s="65"/>
      <c r="HV41" s="65"/>
      <c r="HW41" s="65"/>
      <c r="HX41" s="65"/>
      <c r="HY41" s="65"/>
      <c r="HZ41" s="65"/>
      <c r="IA41" s="65"/>
      <c r="IB41" s="65"/>
      <c r="IC41" s="65"/>
      <c r="ID41" s="65"/>
      <c r="IE41" s="65"/>
      <c r="IF41" s="65"/>
      <c r="IG41" s="65"/>
      <c r="IH41" s="65"/>
      <c r="II41" s="65"/>
      <c r="IJ41" s="65"/>
      <c r="IK41" s="65"/>
      <c r="IL41" s="65"/>
      <c r="IM41" s="65"/>
      <c r="IN41" s="65"/>
      <c r="IO41" s="65"/>
      <c r="IP41" s="65"/>
      <c r="IQ41" s="65"/>
      <c r="IR41" s="65"/>
      <c r="IS41" s="65"/>
      <c r="IT41" s="65"/>
      <c r="IU41" s="65"/>
      <c r="IV41" s="65"/>
      <c r="IW41" s="65"/>
      <c r="IX41" s="65"/>
      <c r="IY41" s="65"/>
      <c r="IZ41" s="65"/>
      <c r="JA41" s="65"/>
      <c r="JB41" s="65"/>
      <c r="JC41" s="65"/>
      <c r="JD41" s="65"/>
      <c r="JE41" s="65"/>
      <c r="JF41" s="65"/>
      <c r="JG41" s="65"/>
      <c r="JH41" s="65"/>
      <c r="JI41" s="65"/>
      <c r="JJ41" s="65"/>
      <c r="JK41" s="65"/>
      <c r="JL41" s="65"/>
      <c r="JM41" s="65"/>
      <c r="JN41" s="65"/>
      <c r="JO41" s="65"/>
      <c r="JP41" s="65"/>
      <c r="JQ41" s="65"/>
      <c r="JR41" s="65"/>
      <c r="JS41" s="65"/>
      <c r="JT41" s="65"/>
      <c r="JU41" s="65"/>
      <c r="JV41" s="65"/>
      <c r="JW41" s="65"/>
      <c r="JX41" s="65"/>
      <c r="JY41" s="65"/>
      <c r="JZ41" s="65"/>
      <c r="KA41" s="65"/>
      <c r="KB41" s="65"/>
      <c r="KC41" s="65"/>
      <c r="KD41" s="65"/>
      <c r="KE41" s="65"/>
      <c r="KF41" s="65"/>
      <c r="KG41" s="65"/>
      <c r="KH41" s="65"/>
      <c r="KI41" s="65"/>
      <c r="KJ41" s="65"/>
      <c r="KK41" s="65"/>
      <c r="KL41" s="65"/>
      <c r="KM41" s="65"/>
      <c r="KN41" s="65"/>
      <c r="KO41" s="65"/>
      <c r="KP41" s="65"/>
      <c r="KQ41" s="65"/>
      <c r="KR41" s="65"/>
      <c r="KS41" s="65"/>
      <c r="KT41" s="65"/>
      <c r="KU41" s="65"/>
      <c r="KV41" s="65"/>
      <c r="KW41" s="65"/>
      <c r="KX41" s="65"/>
      <c r="KY41" s="65"/>
      <c r="KZ41" s="65"/>
      <c r="LA41" s="65"/>
      <c r="LB41" s="65"/>
      <c r="LC41" s="65"/>
      <c r="LD41" s="65"/>
      <c r="LE41" s="65"/>
      <c r="LF41" s="65"/>
      <c r="LG41" s="65"/>
      <c r="LH41" s="65"/>
      <c r="LI41" s="65"/>
      <c r="LJ41" s="65"/>
      <c r="LK41" s="65"/>
      <c r="LL41" s="65"/>
      <c r="LM41" s="65"/>
      <c r="LN41" s="65"/>
      <c r="LO41" s="65"/>
      <c r="LP41" s="65"/>
      <c r="LQ41" s="65"/>
      <c r="LR41" s="65"/>
      <c r="LS41" s="65"/>
      <c r="LT41" s="65"/>
      <c r="LU41" s="65"/>
      <c r="LV41" s="65"/>
      <c r="LW41" s="65"/>
      <c r="LX41" s="65"/>
      <c r="LY41" s="65"/>
      <c r="LZ41" s="65"/>
      <c r="MA41" s="65"/>
      <c r="MB41" s="65"/>
      <c r="MC41" s="65"/>
      <c r="MD41" s="65"/>
      <c r="ME41" s="65"/>
      <c r="MF41" s="65"/>
      <c r="MG41" s="65"/>
      <c r="MH41" s="65"/>
      <c r="MI41" s="65"/>
      <c r="MJ41" s="65"/>
      <c r="MK41" s="65"/>
      <c r="ML41" s="65"/>
      <c r="MM41" s="65"/>
      <c r="MN41" s="65"/>
      <c r="MO41" s="65"/>
      <c r="MP41" s="65"/>
      <c r="MQ41" s="65"/>
      <c r="MR41" s="65"/>
      <c r="MS41" s="65"/>
      <c r="MT41" s="65"/>
      <c r="MU41" s="65"/>
      <c r="MV41" s="65"/>
      <c r="MW41" s="65"/>
      <c r="MX41" s="65"/>
      <c r="MY41" s="65"/>
      <c r="MZ41" s="65"/>
      <c r="NA41" s="65"/>
      <c r="NB41" s="65"/>
      <c r="NC41" s="65"/>
      <c r="ND41" s="65"/>
      <c r="NE41" s="65"/>
      <c r="NF41" s="65"/>
      <c r="NG41" s="65"/>
    </row>
    <row r="42">
      <c r="A42" s="65"/>
      <c r="B42" s="65"/>
      <c r="C42" s="207"/>
      <c r="D42" s="207"/>
      <c r="E42" s="109"/>
      <c r="F42" s="107" t="s">
        <v>1372</v>
      </c>
      <c r="G42" s="109"/>
      <c r="H42" s="109"/>
      <c r="I42" s="107" t="s">
        <v>1373</v>
      </c>
      <c r="J42" s="107" t="str">
        <f>RIGHT(F42,6)</f>
        <v>Forest</v>
      </c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  <c r="CE42" s="65"/>
      <c r="CF42" s="65"/>
      <c r="CG42" s="65"/>
      <c r="CH42" s="65"/>
      <c r="CI42" s="65"/>
      <c r="CJ42" s="65"/>
      <c r="CK42" s="65"/>
      <c r="CL42" s="65"/>
      <c r="CM42" s="65"/>
      <c r="CN42" s="65"/>
      <c r="CO42" s="65"/>
      <c r="CP42" s="65"/>
      <c r="CQ42" s="65"/>
      <c r="CR42" s="65"/>
      <c r="CS42" s="65"/>
      <c r="CT42" s="65"/>
      <c r="CU42" s="65"/>
      <c r="CV42" s="65"/>
      <c r="CW42" s="65"/>
      <c r="CX42" s="65"/>
      <c r="CY42" s="65"/>
      <c r="CZ42" s="65"/>
      <c r="DA42" s="65"/>
      <c r="DB42" s="65"/>
      <c r="DC42" s="65"/>
      <c r="DD42" s="65"/>
      <c r="DE42" s="65"/>
      <c r="DF42" s="65"/>
      <c r="DG42" s="65"/>
      <c r="DH42" s="65"/>
      <c r="DI42" s="65"/>
      <c r="DJ42" s="65"/>
      <c r="DK42" s="65"/>
      <c r="DL42" s="65"/>
      <c r="DM42" s="65"/>
      <c r="DN42" s="65"/>
      <c r="DO42" s="65"/>
      <c r="DP42" s="65"/>
      <c r="DQ42" s="65"/>
      <c r="DR42" s="65"/>
      <c r="DS42" s="65"/>
      <c r="DT42" s="65"/>
      <c r="DU42" s="65"/>
      <c r="DV42" s="65"/>
      <c r="DW42" s="65"/>
      <c r="DX42" s="65"/>
      <c r="DY42" s="65"/>
      <c r="DZ42" s="65"/>
      <c r="EA42" s="65"/>
      <c r="EB42" s="65"/>
      <c r="EC42" s="65"/>
      <c r="ED42" s="65"/>
      <c r="EE42" s="65"/>
      <c r="EF42" s="65"/>
      <c r="EG42" s="65"/>
      <c r="EH42" s="65"/>
      <c r="EI42" s="65"/>
      <c r="EJ42" s="65"/>
      <c r="EK42" s="65"/>
      <c r="EL42" s="65"/>
      <c r="EM42" s="65"/>
      <c r="EN42" s="65"/>
      <c r="EO42" s="65"/>
      <c r="EP42" s="65"/>
      <c r="EQ42" s="65"/>
      <c r="ER42" s="65"/>
      <c r="ES42" s="65"/>
      <c r="ET42" s="65"/>
      <c r="EU42" s="65"/>
      <c r="EV42" s="65"/>
      <c r="EW42" s="65"/>
      <c r="EX42" s="65"/>
      <c r="EY42" s="65"/>
      <c r="EZ42" s="65"/>
      <c r="FA42" s="65"/>
      <c r="FB42" s="65"/>
      <c r="FC42" s="65"/>
      <c r="FD42" s="65"/>
      <c r="FE42" s="65"/>
      <c r="FF42" s="65"/>
      <c r="FG42" s="65"/>
      <c r="FH42" s="65"/>
      <c r="FI42" s="65"/>
      <c r="FJ42" s="65"/>
      <c r="FK42" s="65"/>
      <c r="FL42" s="65"/>
      <c r="FM42" s="65"/>
      <c r="FN42" s="65"/>
      <c r="FO42" s="65"/>
      <c r="FP42" s="65"/>
      <c r="FQ42" s="65"/>
      <c r="FR42" s="65"/>
      <c r="FS42" s="65"/>
      <c r="FT42" s="65"/>
      <c r="FU42" s="65"/>
      <c r="FV42" s="65"/>
      <c r="FW42" s="65"/>
      <c r="FX42" s="65"/>
      <c r="FY42" s="65"/>
      <c r="FZ42" s="65"/>
      <c r="GA42" s="65"/>
      <c r="GB42" s="65"/>
      <c r="GC42" s="65"/>
      <c r="GD42" s="65"/>
      <c r="GE42" s="65"/>
      <c r="GF42" s="65"/>
      <c r="GG42" s="65"/>
      <c r="GH42" s="65"/>
      <c r="GI42" s="65"/>
      <c r="GJ42" s="65"/>
      <c r="GK42" s="65"/>
      <c r="GL42" s="65"/>
      <c r="GM42" s="65"/>
      <c r="GN42" s="65"/>
      <c r="GO42" s="65"/>
      <c r="GP42" s="65"/>
      <c r="GQ42" s="65"/>
      <c r="GR42" s="65"/>
      <c r="GS42" s="65"/>
      <c r="GT42" s="65"/>
      <c r="GU42" s="65"/>
      <c r="GV42" s="65"/>
      <c r="GW42" s="65"/>
      <c r="GX42" s="65"/>
      <c r="GY42" s="65"/>
      <c r="GZ42" s="65"/>
      <c r="HA42" s="65"/>
      <c r="HB42" s="65"/>
      <c r="HC42" s="65"/>
      <c r="HD42" s="65"/>
      <c r="HE42" s="65"/>
      <c r="HF42" s="65"/>
      <c r="HG42" s="65"/>
      <c r="HH42" s="65"/>
      <c r="HI42" s="65"/>
      <c r="HJ42" s="65"/>
      <c r="HK42" s="65"/>
      <c r="HL42" s="65"/>
      <c r="HM42" s="65"/>
      <c r="HN42" s="65"/>
      <c r="HO42" s="65"/>
      <c r="HP42" s="65"/>
      <c r="HQ42" s="65"/>
      <c r="HR42" s="65"/>
      <c r="HS42" s="65"/>
      <c r="HT42" s="65"/>
      <c r="HU42" s="65"/>
      <c r="HV42" s="65"/>
      <c r="HW42" s="65"/>
      <c r="HX42" s="65"/>
      <c r="HY42" s="65"/>
      <c r="HZ42" s="65"/>
      <c r="IA42" s="65"/>
      <c r="IB42" s="65"/>
      <c r="IC42" s="65"/>
      <c r="ID42" s="65"/>
      <c r="IE42" s="65"/>
      <c r="IF42" s="65"/>
      <c r="IG42" s="65"/>
      <c r="IH42" s="65"/>
      <c r="II42" s="65"/>
      <c r="IJ42" s="65"/>
      <c r="IK42" s="65"/>
      <c r="IL42" s="65"/>
      <c r="IM42" s="65"/>
      <c r="IN42" s="65"/>
      <c r="IO42" s="65"/>
      <c r="IP42" s="65"/>
      <c r="IQ42" s="65"/>
      <c r="IR42" s="65"/>
      <c r="IS42" s="65"/>
      <c r="IT42" s="65"/>
      <c r="IU42" s="65"/>
      <c r="IV42" s="65"/>
      <c r="IW42" s="65"/>
      <c r="IX42" s="65"/>
      <c r="IY42" s="65"/>
      <c r="IZ42" s="65"/>
      <c r="JA42" s="65"/>
      <c r="JB42" s="65"/>
      <c r="JC42" s="65"/>
      <c r="JD42" s="65"/>
      <c r="JE42" s="65"/>
      <c r="JF42" s="65"/>
      <c r="JG42" s="65"/>
      <c r="JH42" s="65"/>
      <c r="JI42" s="65"/>
      <c r="JJ42" s="65"/>
      <c r="JK42" s="65"/>
      <c r="JL42" s="65"/>
      <c r="JM42" s="65"/>
      <c r="JN42" s="65"/>
      <c r="JO42" s="65"/>
      <c r="JP42" s="65"/>
      <c r="JQ42" s="65"/>
      <c r="JR42" s="65"/>
      <c r="JS42" s="65"/>
      <c r="JT42" s="65"/>
      <c r="JU42" s="65"/>
      <c r="JV42" s="65"/>
      <c r="JW42" s="65"/>
      <c r="JX42" s="65"/>
      <c r="JY42" s="65"/>
      <c r="JZ42" s="65"/>
      <c r="KA42" s="65"/>
      <c r="KB42" s="65"/>
      <c r="KC42" s="65"/>
      <c r="KD42" s="65"/>
      <c r="KE42" s="65"/>
      <c r="KF42" s="65"/>
      <c r="KG42" s="65"/>
      <c r="KH42" s="65"/>
      <c r="KI42" s="65"/>
      <c r="KJ42" s="65"/>
      <c r="KK42" s="65"/>
      <c r="KL42" s="65"/>
      <c r="KM42" s="65"/>
      <c r="KN42" s="65"/>
      <c r="KO42" s="65"/>
      <c r="KP42" s="65"/>
      <c r="KQ42" s="65"/>
      <c r="KR42" s="65"/>
      <c r="KS42" s="65"/>
      <c r="KT42" s="65"/>
      <c r="KU42" s="65"/>
      <c r="KV42" s="65"/>
      <c r="KW42" s="65"/>
      <c r="KX42" s="65"/>
      <c r="KY42" s="65"/>
      <c r="KZ42" s="65"/>
      <c r="LA42" s="65"/>
      <c r="LB42" s="65"/>
      <c r="LC42" s="65"/>
      <c r="LD42" s="65"/>
      <c r="LE42" s="65"/>
      <c r="LF42" s="65"/>
      <c r="LG42" s="65"/>
      <c r="LH42" s="65"/>
      <c r="LI42" s="65"/>
      <c r="LJ42" s="65"/>
      <c r="LK42" s="65"/>
      <c r="LL42" s="65"/>
      <c r="LM42" s="65"/>
      <c r="LN42" s="65"/>
      <c r="LO42" s="65"/>
      <c r="LP42" s="65"/>
      <c r="LQ42" s="65"/>
      <c r="LR42" s="65"/>
      <c r="LS42" s="65"/>
      <c r="LT42" s="65"/>
      <c r="LU42" s="65"/>
      <c r="LV42" s="65"/>
      <c r="LW42" s="65"/>
      <c r="LX42" s="65"/>
      <c r="LY42" s="65"/>
      <c r="LZ42" s="65"/>
      <c r="MA42" s="65"/>
      <c r="MB42" s="65"/>
      <c r="MC42" s="65"/>
      <c r="MD42" s="65"/>
      <c r="ME42" s="65"/>
      <c r="MF42" s="65"/>
      <c r="MG42" s="65"/>
      <c r="MH42" s="65"/>
      <c r="MI42" s="65"/>
      <c r="MJ42" s="65"/>
      <c r="MK42" s="65"/>
      <c r="ML42" s="65"/>
      <c r="MM42" s="65"/>
      <c r="MN42" s="65"/>
      <c r="MO42" s="65"/>
      <c r="MP42" s="65"/>
      <c r="MQ42" s="65"/>
      <c r="MR42" s="65"/>
      <c r="MS42" s="65"/>
      <c r="MT42" s="65"/>
      <c r="MU42" s="65"/>
      <c r="MV42" s="65"/>
      <c r="MW42" s="65"/>
      <c r="MX42" s="65"/>
      <c r="MY42" s="65"/>
      <c r="MZ42" s="65"/>
      <c r="NA42" s="65"/>
      <c r="NB42" s="65"/>
      <c r="NC42" s="65"/>
      <c r="ND42" s="65"/>
      <c r="NE42" s="65"/>
      <c r="NF42" s="65"/>
      <c r="NG42" s="65"/>
    </row>
    <row r="43">
      <c r="A43" s="65"/>
      <c r="B43" s="65"/>
      <c r="C43" s="207"/>
      <c r="D43" s="207"/>
      <c r="E43" s="109"/>
      <c r="F43" s="107" t="s">
        <v>1374</v>
      </c>
      <c r="G43" s="109"/>
      <c r="H43" s="109"/>
      <c r="I43" s="107" t="s">
        <v>1375</v>
      </c>
      <c r="J43" s="107" t="str">
        <f>RIGHT(F43,4)</f>
        <v>tion</v>
      </c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5"/>
      <c r="BW43" s="65"/>
      <c r="BX43" s="65"/>
      <c r="BY43" s="65"/>
      <c r="BZ43" s="65"/>
      <c r="CA43" s="65"/>
      <c r="CB43" s="65"/>
      <c r="CC43" s="65"/>
      <c r="CD43" s="65"/>
      <c r="CE43" s="65"/>
      <c r="CF43" s="65"/>
      <c r="CG43" s="65"/>
      <c r="CH43" s="65"/>
      <c r="CI43" s="65"/>
      <c r="CJ43" s="65"/>
      <c r="CK43" s="65"/>
      <c r="CL43" s="65"/>
      <c r="CM43" s="65"/>
      <c r="CN43" s="65"/>
      <c r="CO43" s="65"/>
      <c r="CP43" s="65"/>
      <c r="CQ43" s="65"/>
      <c r="CR43" s="65"/>
      <c r="CS43" s="65"/>
      <c r="CT43" s="65"/>
      <c r="CU43" s="65"/>
      <c r="CV43" s="65"/>
      <c r="CW43" s="65"/>
      <c r="CX43" s="65"/>
      <c r="CY43" s="65"/>
      <c r="CZ43" s="65"/>
      <c r="DA43" s="65"/>
      <c r="DB43" s="65"/>
      <c r="DC43" s="65"/>
      <c r="DD43" s="65"/>
      <c r="DE43" s="65"/>
      <c r="DF43" s="65"/>
      <c r="DG43" s="65"/>
      <c r="DH43" s="65"/>
      <c r="DI43" s="65"/>
      <c r="DJ43" s="65"/>
      <c r="DK43" s="65"/>
      <c r="DL43" s="65"/>
      <c r="DM43" s="65"/>
      <c r="DN43" s="65"/>
      <c r="DO43" s="65"/>
      <c r="DP43" s="65"/>
      <c r="DQ43" s="65"/>
      <c r="DR43" s="65"/>
      <c r="DS43" s="65"/>
      <c r="DT43" s="65"/>
      <c r="DU43" s="65"/>
      <c r="DV43" s="65"/>
      <c r="DW43" s="65"/>
      <c r="DX43" s="65"/>
      <c r="DY43" s="65"/>
      <c r="DZ43" s="65"/>
      <c r="EA43" s="65"/>
      <c r="EB43" s="65"/>
      <c r="EC43" s="65"/>
      <c r="ED43" s="65"/>
      <c r="EE43" s="65"/>
      <c r="EF43" s="65"/>
      <c r="EG43" s="65"/>
      <c r="EH43" s="65"/>
      <c r="EI43" s="65"/>
      <c r="EJ43" s="65"/>
      <c r="EK43" s="65"/>
      <c r="EL43" s="65"/>
      <c r="EM43" s="65"/>
      <c r="EN43" s="65"/>
      <c r="EO43" s="65"/>
      <c r="EP43" s="65"/>
      <c r="EQ43" s="65"/>
      <c r="ER43" s="65"/>
      <c r="ES43" s="65"/>
      <c r="ET43" s="65"/>
      <c r="EU43" s="65"/>
      <c r="EV43" s="65"/>
      <c r="EW43" s="65"/>
      <c r="EX43" s="65"/>
      <c r="EY43" s="65"/>
      <c r="EZ43" s="65"/>
      <c r="FA43" s="65"/>
      <c r="FB43" s="65"/>
      <c r="FC43" s="65"/>
      <c r="FD43" s="65"/>
      <c r="FE43" s="65"/>
      <c r="FF43" s="65"/>
      <c r="FG43" s="65"/>
      <c r="FH43" s="65"/>
      <c r="FI43" s="65"/>
      <c r="FJ43" s="65"/>
      <c r="FK43" s="65"/>
      <c r="FL43" s="65"/>
      <c r="FM43" s="65"/>
      <c r="FN43" s="65"/>
      <c r="FO43" s="65"/>
      <c r="FP43" s="65"/>
      <c r="FQ43" s="65"/>
      <c r="FR43" s="65"/>
      <c r="FS43" s="65"/>
      <c r="FT43" s="65"/>
      <c r="FU43" s="65"/>
      <c r="FV43" s="65"/>
      <c r="FW43" s="65"/>
      <c r="FX43" s="65"/>
      <c r="FY43" s="65"/>
      <c r="FZ43" s="65"/>
      <c r="GA43" s="65"/>
      <c r="GB43" s="65"/>
      <c r="GC43" s="65"/>
      <c r="GD43" s="65"/>
      <c r="GE43" s="65"/>
      <c r="GF43" s="65"/>
      <c r="GG43" s="65"/>
      <c r="GH43" s="65"/>
      <c r="GI43" s="65"/>
      <c r="GJ43" s="65"/>
      <c r="GK43" s="65"/>
      <c r="GL43" s="65"/>
      <c r="GM43" s="65"/>
      <c r="GN43" s="65"/>
      <c r="GO43" s="65"/>
      <c r="GP43" s="65"/>
      <c r="GQ43" s="65"/>
      <c r="GR43" s="65"/>
      <c r="GS43" s="65"/>
      <c r="GT43" s="65"/>
      <c r="GU43" s="65"/>
      <c r="GV43" s="65"/>
      <c r="GW43" s="65"/>
      <c r="GX43" s="65"/>
      <c r="GY43" s="65"/>
      <c r="GZ43" s="65"/>
      <c r="HA43" s="65"/>
      <c r="HB43" s="65"/>
      <c r="HC43" s="65"/>
      <c r="HD43" s="65"/>
      <c r="HE43" s="65"/>
      <c r="HF43" s="65"/>
      <c r="HG43" s="65"/>
      <c r="HH43" s="65"/>
      <c r="HI43" s="65"/>
      <c r="HJ43" s="65"/>
      <c r="HK43" s="65"/>
      <c r="HL43" s="65"/>
      <c r="HM43" s="65"/>
      <c r="HN43" s="65"/>
      <c r="HO43" s="65"/>
      <c r="HP43" s="65"/>
      <c r="HQ43" s="65"/>
      <c r="HR43" s="65"/>
      <c r="HS43" s="65"/>
      <c r="HT43" s="65"/>
      <c r="HU43" s="65"/>
      <c r="HV43" s="65"/>
      <c r="HW43" s="65"/>
      <c r="HX43" s="65"/>
      <c r="HY43" s="65"/>
      <c r="HZ43" s="65"/>
      <c r="IA43" s="65"/>
      <c r="IB43" s="65"/>
      <c r="IC43" s="65"/>
      <c r="ID43" s="65"/>
      <c r="IE43" s="65"/>
      <c r="IF43" s="65"/>
      <c r="IG43" s="65"/>
      <c r="IH43" s="65"/>
      <c r="II43" s="65"/>
      <c r="IJ43" s="65"/>
      <c r="IK43" s="65"/>
      <c r="IL43" s="65"/>
      <c r="IM43" s="65"/>
      <c r="IN43" s="65"/>
      <c r="IO43" s="65"/>
      <c r="IP43" s="65"/>
      <c r="IQ43" s="65"/>
      <c r="IR43" s="65"/>
      <c r="IS43" s="65"/>
      <c r="IT43" s="65"/>
      <c r="IU43" s="65"/>
      <c r="IV43" s="65"/>
      <c r="IW43" s="65"/>
      <c r="IX43" s="65"/>
      <c r="IY43" s="65"/>
      <c r="IZ43" s="65"/>
      <c r="JA43" s="65"/>
      <c r="JB43" s="65"/>
      <c r="JC43" s="65"/>
      <c r="JD43" s="65"/>
      <c r="JE43" s="65"/>
      <c r="JF43" s="65"/>
      <c r="JG43" s="65"/>
      <c r="JH43" s="65"/>
      <c r="JI43" s="65"/>
      <c r="JJ43" s="65"/>
      <c r="JK43" s="65"/>
      <c r="JL43" s="65"/>
      <c r="JM43" s="65"/>
      <c r="JN43" s="65"/>
      <c r="JO43" s="65"/>
      <c r="JP43" s="65"/>
      <c r="JQ43" s="65"/>
      <c r="JR43" s="65"/>
      <c r="JS43" s="65"/>
      <c r="JT43" s="65"/>
      <c r="JU43" s="65"/>
      <c r="JV43" s="65"/>
      <c r="JW43" s="65"/>
      <c r="JX43" s="65"/>
      <c r="JY43" s="65"/>
      <c r="JZ43" s="65"/>
      <c r="KA43" s="65"/>
      <c r="KB43" s="65"/>
      <c r="KC43" s="65"/>
      <c r="KD43" s="65"/>
      <c r="KE43" s="65"/>
      <c r="KF43" s="65"/>
      <c r="KG43" s="65"/>
      <c r="KH43" s="65"/>
      <c r="KI43" s="65"/>
      <c r="KJ43" s="65"/>
      <c r="KK43" s="65"/>
      <c r="KL43" s="65"/>
      <c r="KM43" s="65"/>
      <c r="KN43" s="65"/>
      <c r="KO43" s="65"/>
      <c r="KP43" s="65"/>
      <c r="KQ43" s="65"/>
      <c r="KR43" s="65"/>
      <c r="KS43" s="65"/>
      <c r="KT43" s="65"/>
      <c r="KU43" s="65"/>
      <c r="KV43" s="65"/>
      <c r="KW43" s="65"/>
      <c r="KX43" s="65"/>
      <c r="KY43" s="65"/>
      <c r="KZ43" s="65"/>
      <c r="LA43" s="65"/>
      <c r="LB43" s="65"/>
      <c r="LC43" s="65"/>
      <c r="LD43" s="65"/>
      <c r="LE43" s="65"/>
      <c r="LF43" s="65"/>
      <c r="LG43" s="65"/>
      <c r="LH43" s="65"/>
      <c r="LI43" s="65"/>
      <c r="LJ43" s="65"/>
      <c r="LK43" s="65"/>
      <c r="LL43" s="65"/>
      <c r="LM43" s="65"/>
      <c r="LN43" s="65"/>
      <c r="LO43" s="65"/>
      <c r="LP43" s="65"/>
      <c r="LQ43" s="65"/>
      <c r="LR43" s="65"/>
      <c r="LS43" s="65"/>
      <c r="LT43" s="65"/>
      <c r="LU43" s="65"/>
      <c r="LV43" s="65"/>
      <c r="LW43" s="65"/>
      <c r="LX43" s="65"/>
      <c r="LY43" s="65"/>
      <c r="LZ43" s="65"/>
      <c r="MA43" s="65"/>
      <c r="MB43" s="65"/>
      <c r="MC43" s="65"/>
      <c r="MD43" s="65"/>
      <c r="ME43" s="65"/>
      <c r="MF43" s="65"/>
      <c r="MG43" s="65"/>
      <c r="MH43" s="65"/>
      <c r="MI43" s="65"/>
      <c r="MJ43" s="65"/>
      <c r="MK43" s="65"/>
      <c r="ML43" s="65"/>
      <c r="MM43" s="65"/>
      <c r="MN43" s="65"/>
      <c r="MO43" s="65"/>
      <c r="MP43" s="65"/>
      <c r="MQ43" s="65"/>
      <c r="MR43" s="65"/>
      <c r="MS43" s="65"/>
      <c r="MT43" s="65"/>
      <c r="MU43" s="65"/>
      <c r="MV43" s="65"/>
      <c r="MW43" s="65"/>
      <c r="MX43" s="65"/>
      <c r="MY43" s="65"/>
      <c r="MZ43" s="65"/>
      <c r="NA43" s="65"/>
      <c r="NB43" s="65"/>
      <c r="NC43" s="65"/>
      <c r="ND43" s="65"/>
      <c r="NE43" s="65"/>
      <c r="NF43" s="65"/>
      <c r="NG43" s="65"/>
    </row>
    <row r="44">
      <c r="A44" s="65"/>
      <c r="B44" s="65"/>
      <c r="C44" s="207"/>
      <c r="D44" s="207"/>
      <c r="E44" s="109"/>
      <c r="F44" s="107" t="s">
        <v>1376</v>
      </c>
      <c r="G44" s="109"/>
      <c r="H44" s="109"/>
      <c r="I44" s="107" t="s">
        <v>1377</v>
      </c>
      <c r="J44" s="107" t="str">
        <f>RIGHT(F44,3)</f>
        <v>tum</v>
      </c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5"/>
      <c r="BW44" s="65"/>
      <c r="BX44" s="65"/>
      <c r="BY44" s="65"/>
      <c r="BZ44" s="65"/>
      <c r="CA44" s="65"/>
      <c r="CB44" s="65"/>
      <c r="CC44" s="65"/>
      <c r="CD44" s="65"/>
      <c r="CE44" s="65"/>
      <c r="CF44" s="65"/>
      <c r="CG44" s="65"/>
      <c r="CH44" s="65"/>
      <c r="CI44" s="65"/>
      <c r="CJ44" s="65"/>
      <c r="CK44" s="65"/>
      <c r="CL44" s="65"/>
      <c r="CM44" s="65"/>
      <c r="CN44" s="65"/>
      <c r="CO44" s="65"/>
      <c r="CP44" s="65"/>
      <c r="CQ44" s="65"/>
      <c r="CR44" s="65"/>
      <c r="CS44" s="65"/>
      <c r="CT44" s="65"/>
      <c r="CU44" s="65"/>
      <c r="CV44" s="65"/>
      <c r="CW44" s="65"/>
      <c r="CX44" s="65"/>
      <c r="CY44" s="65"/>
      <c r="CZ44" s="65"/>
      <c r="DA44" s="65"/>
      <c r="DB44" s="65"/>
      <c r="DC44" s="65"/>
      <c r="DD44" s="65"/>
      <c r="DE44" s="65"/>
      <c r="DF44" s="65"/>
      <c r="DG44" s="65"/>
      <c r="DH44" s="65"/>
      <c r="DI44" s="65"/>
      <c r="DJ44" s="65"/>
      <c r="DK44" s="65"/>
      <c r="DL44" s="65"/>
      <c r="DM44" s="65"/>
      <c r="DN44" s="65"/>
      <c r="DO44" s="65"/>
      <c r="DP44" s="65"/>
      <c r="DQ44" s="65"/>
      <c r="DR44" s="65"/>
      <c r="DS44" s="65"/>
      <c r="DT44" s="65"/>
      <c r="DU44" s="65"/>
      <c r="DV44" s="65"/>
      <c r="DW44" s="65"/>
      <c r="DX44" s="65"/>
      <c r="DY44" s="65"/>
      <c r="DZ44" s="65"/>
      <c r="EA44" s="65"/>
      <c r="EB44" s="65"/>
      <c r="EC44" s="65"/>
      <c r="ED44" s="65"/>
      <c r="EE44" s="65"/>
      <c r="EF44" s="65"/>
      <c r="EG44" s="65"/>
      <c r="EH44" s="65"/>
      <c r="EI44" s="65"/>
      <c r="EJ44" s="65"/>
      <c r="EK44" s="65"/>
      <c r="EL44" s="65"/>
      <c r="EM44" s="65"/>
      <c r="EN44" s="65"/>
      <c r="EO44" s="65"/>
      <c r="EP44" s="65"/>
      <c r="EQ44" s="65"/>
      <c r="ER44" s="65"/>
      <c r="ES44" s="65"/>
      <c r="ET44" s="65"/>
      <c r="EU44" s="65"/>
      <c r="EV44" s="65"/>
      <c r="EW44" s="65"/>
      <c r="EX44" s="65"/>
      <c r="EY44" s="65"/>
      <c r="EZ44" s="65"/>
      <c r="FA44" s="65"/>
      <c r="FB44" s="65"/>
      <c r="FC44" s="65"/>
      <c r="FD44" s="65"/>
      <c r="FE44" s="65"/>
      <c r="FF44" s="65"/>
      <c r="FG44" s="65"/>
      <c r="FH44" s="65"/>
      <c r="FI44" s="65"/>
      <c r="FJ44" s="65"/>
      <c r="FK44" s="65"/>
      <c r="FL44" s="65"/>
      <c r="FM44" s="65"/>
      <c r="FN44" s="65"/>
      <c r="FO44" s="65"/>
      <c r="FP44" s="65"/>
      <c r="FQ44" s="65"/>
      <c r="FR44" s="65"/>
      <c r="FS44" s="65"/>
      <c r="FT44" s="65"/>
      <c r="FU44" s="65"/>
      <c r="FV44" s="65"/>
      <c r="FW44" s="65"/>
      <c r="FX44" s="65"/>
      <c r="FY44" s="65"/>
      <c r="FZ44" s="65"/>
      <c r="GA44" s="65"/>
      <c r="GB44" s="65"/>
      <c r="GC44" s="65"/>
      <c r="GD44" s="65"/>
      <c r="GE44" s="65"/>
      <c r="GF44" s="65"/>
      <c r="GG44" s="65"/>
      <c r="GH44" s="65"/>
      <c r="GI44" s="65"/>
      <c r="GJ44" s="65"/>
      <c r="GK44" s="65"/>
      <c r="GL44" s="65"/>
      <c r="GM44" s="65"/>
      <c r="GN44" s="65"/>
      <c r="GO44" s="65"/>
      <c r="GP44" s="65"/>
      <c r="GQ44" s="65"/>
      <c r="GR44" s="65"/>
      <c r="GS44" s="65"/>
      <c r="GT44" s="65"/>
      <c r="GU44" s="65"/>
      <c r="GV44" s="65"/>
      <c r="GW44" s="65"/>
      <c r="GX44" s="65"/>
      <c r="GY44" s="65"/>
      <c r="GZ44" s="65"/>
      <c r="HA44" s="65"/>
      <c r="HB44" s="65"/>
      <c r="HC44" s="65"/>
      <c r="HD44" s="65"/>
      <c r="HE44" s="65"/>
      <c r="HF44" s="65"/>
      <c r="HG44" s="65"/>
      <c r="HH44" s="65"/>
      <c r="HI44" s="65"/>
      <c r="HJ44" s="65"/>
      <c r="HK44" s="65"/>
      <c r="HL44" s="65"/>
      <c r="HM44" s="65"/>
      <c r="HN44" s="65"/>
      <c r="HO44" s="65"/>
      <c r="HP44" s="65"/>
      <c r="HQ44" s="65"/>
      <c r="HR44" s="65"/>
      <c r="HS44" s="65"/>
      <c r="HT44" s="65"/>
      <c r="HU44" s="65"/>
      <c r="HV44" s="65"/>
      <c r="HW44" s="65"/>
      <c r="HX44" s="65"/>
      <c r="HY44" s="65"/>
      <c r="HZ44" s="65"/>
      <c r="IA44" s="65"/>
      <c r="IB44" s="65"/>
      <c r="IC44" s="65"/>
      <c r="ID44" s="65"/>
      <c r="IE44" s="65"/>
      <c r="IF44" s="65"/>
      <c r="IG44" s="65"/>
      <c r="IH44" s="65"/>
      <c r="II44" s="65"/>
      <c r="IJ44" s="65"/>
      <c r="IK44" s="65"/>
      <c r="IL44" s="65"/>
      <c r="IM44" s="65"/>
      <c r="IN44" s="65"/>
      <c r="IO44" s="65"/>
      <c r="IP44" s="65"/>
      <c r="IQ44" s="65"/>
      <c r="IR44" s="65"/>
      <c r="IS44" s="65"/>
      <c r="IT44" s="65"/>
      <c r="IU44" s="65"/>
      <c r="IV44" s="65"/>
      <c r="IW44" s="65"/>
      <c r="IX44" s="65"/>
      <c r="IY44" s="65"/>
      <c r="IZ44" s="65"/>
      <c r="JA44" s="65"/>
      <c r="JB44" s="65"/>
      <c r="JC44" s="65"/>
      <c r="JD44" s="65"/>
      <c r="JE44" s="65"/>
      <c r="JF44" s="65"/>
      <c r="JG44" s="65"/>
      <c r="JH44" s="65"/>
      <c r="JI44" s="65"/>
      <c r="JJ44" s="65"/>
      <c r="JK44" s="65"/>
      <c r="JL44" s="65"/>
      <c r="JM44" s="65"/>
      <c r="JN44" s="65"/>
      <c r="JO44" s="65"/>
      <c r="JP44" s="65"/>
      <c r="JQ44" s="65"/>
      <c r="JR44" s="65"/>
      <c r="JS44" s="65"/>
      <c r="JT44" s="65"/>
      <c r="JU44" s="65"/>
      <c r="JV44" s="65"/>
      <c r="JW44" s="65"/>
      <c r="JX44" s="65"/>
      <c r="JY44" s="65"/>
      <c r="JZ44" s="65"/>
      <c r="KA44" s="65"/>
      <c r="KB44" s="65"/>
      <c r="KC44" s="65"/>
      <c r="KD44" s="65"/>
      <c r="KE44" s="65"/>
      <c r="KF44" s="65"/>
      <c r="KG44" s="65"/>
      <c r="KH44" s="65"/>
      <c r="KI44" s="65"/>
      <c r="KJ44" s="65"/>
      <c r="KK44" s="65"/>
      <c r="KL44" s="65"/>
      <c r="KM44" s="65"/>
      <c r="KN44" s="65"/>
      <c r="KO44" s="65"/>
      <c r="KP44" s="65"/>
      <c r="KQ44" s="65"/>
      <c r="KR44" s="65"/>
      <c r="KS44" s="65"/>
      <c r="KT44" s="65"/>
      <c r="KU44" s="65"/>
      <c r="KV44" s="65"/>
      <c r="KW44" s="65"/>
      <c r="KX44" s="65"/>
      <c r="KY44" s="65"/>
      <c r="KZ44" s="65"/>
      <c r="LA44" s="65"/>
      <c r="LB44" s="65"/>
      <c r="LC44" s="65"/>
      <c r="LD44" s="65"/>
      <c r="LE44" s="65"/>
      <c r="LF44" s="65"/>
      <c r="LG44" s="65"/>
      <c r="LH44" s="65"/>
      <c r="LI44" s="65"/>
      <c r="LJ44" s="65"/>
      <c r="LK44" s="65"/>
      <c r="LL44" s="65"/>
      <c r="LM44" s="65"/>
      <c r="LN44" s="65"/>
      <c r="LO44" s="65"/>
      <c r="LP44" s="65"/>
      <c r="LQ44" s="65"/>
      <c r="LR44" s="65"/>
      <c r="LS44" s="65"/>
      <c r="LT44" s="65"/>
      <c r="LU44" s="65"/>
      <c r="LV44" s="65"/>
      <c r="LW44" s="65"/>
      <c r="LX44" s="65"/>
      <c r="LY44" s="65"/>
      <c r="LZ44" s="65"/>
      <c r="MA44" s="65"/>
      <c r="MB44" s="65"/>
      <c r="MC44" s="65"/>
      <c r="MD44" s="65"/>
      <c r="ME44" s="65"/>
      <c r="MF44" s="65"/>
      <c r="MG44" s="65"/>
      <c r="MH44" s="65"/>
      <c r="MI44" s="65"/>
      <c r="MJ44" s="65"/>
      <c r="MK44" s="65"/>
      <c r="ML44" s="65"/>
      <c r="MM44" s="65"/>
      <c r="MN44" s="65"/>
      <c r="MO44" s="65"/>
      <c r="MP44" s="65"/>
      <c r="MQ44" s="65"/>
      <c r="MR44" s="65"/>
      <c r="MS44" s="65"/>
      <c r="MT44" s="65"/>
      <c r="MU44" s="65"/>
      <c r="MV44" s="65"/>
      <c r="MW44" s="65"/>
      <c r="MX44" s="65"/>
      <c r="MY44" s="65"/>
      <c r="MZ44" s="65"/>
      <c r="NA44" s="65"/>
      <c r="NB44" s="65"/>
      <c r="NC44" s="65"/>
      <c r="ND44" s="65"/>
      <c r="NE44" s="65"/>
      <c r="NF44" s="65"/>
      <c r="NG44" s="65"/>
    </row>
    <row r="45">
      <c r="A45" s="65"/>
      <c r="B45" s="65"/>
      <c r="C45" s="201"/>
      <c r="D45" s="201"/>
      <c r="E45" s="109"/>
      <c r="F45" s="107" t="s">
        <v>1378</v>
      </c>
      <c r="G45" s="109"/>
      <c r="H45" s="109"/>
      <c r="I45" s="107" t="s">
        <v>1379</v>
      </c>
      <c r="J45" s="107" t="str">
        <f>RIGHT(F45,2)</f>
        <v>py</v>
      </c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5"/>
      <c r="BW45" s="65"/>
      <c r="BX45" s="65"/>
      <c r="BY45" s="65"/>
      <c r="BZ45" s="65"/>
      <c r="CA45" s="65"/>
      <c r="CB45" s="65"/>
      <c r="CC45" s="65"/>
      <c r="CD45" s="65"/>
      <c r="CE45" s="65"/>
      <c r="CF45" s="65"/>
      <c r="CG45" s="65"/>
      <c r="CH45" s="65"/>
      <c r="CI45" s="65"/>
      <c r="CJ45" s="65"/>
      <c r="CK45" s="65"/>
      <c r="CL45" s="65"/>
      <c r="CM45" s="65"/>
      <c r="CN45" s="65"/>
      <c r="CO45" s="65"/>
      <c r="CP45" s="65"/>
      <c r="CQ45" s="65"/>
      <c r="CR45" s="65"/>
      <c r="CS45" s="65"/>
      <c r="CT45" s="65"/>
      <c r="CU45" s="65"/>
      <c r="CV45" s="65"/>
      <c r="CW45" s="65"/>
      <c r="CX45" s="65"/>
      <c r="CY45" s="65"/>
      <c r="CZ45" s="65"/>
      <c r="DA45" s="65"/>
      <c r="DB45" s="65"/>
      <c r="DC45" s="65"/>
      <c r="DD45" s="65"/>
      <c r="DE45" s="65"/>
      <c r="DF45" s="65"/>
      <c r="DG45" s="65"/>
      <c r="DH45" s="65"/>
      <c r="DI45" s="65"/>
      <c r="DJ45" s="65"/>
      <c r="DK45" s="65"/>
      <c r="DL45" s="65"/>
      <c r="DM45" s="65"/>
      <c r="DN45" s="65"/>
      <c r="DO45" s="65"/>
      <c r="DP45" s="65"/>
      <c r="DQ45" s="65"/>
      <c r="DR45" s="65"/>
      <c r="DS45" s="65"/>
      <c r="DT45" s="65"/>
      <c r="DU45" s="65"/>
      <c r="DV45" s="65"/>
      <c r="DW45" s="65"/>
      <c r="DX45" s="65"/>
      <c r="DY45" s="65"/>
      <c r="DZ45" s="65"/>
      <c r="EA45" s="65"/>
      <c r="EB45" s="65"/>
      <c r="EC45" s="65"/>
      <c r="ED45" s="65"/>
      <c r="EE45" s="65"/>
      <c r="EF45" s="65"/>
      <c r="EG45" s="65"/>
      <c r="EH45" s="65"/>
      <c r="EI45" s="65"/>
      <c r="EJ45" s="65"/>
      <c r="EK45" s="65"/>
      <c r="EL45" s="65"/>
      <c r="EM45" s="65"/>
      <c r="EN45" s="65"/>
      <c r="EO45" s="65"/>
      <c r="EP45" s="65"/>
      <c r="EQ45" s="65"/>
      <c r="ER45" s="65"/>
      <c r="ES45" s="65"/>
      <c r="ET45" s="65"/>
      <c r="EU45" s="65"/>
      <c r="EV45" s="65"/>
      <c r="EW45" s="65"/>
      <c r="EX45" s="65"/>
      <c r="EY45" s="65"/>
      <c r="EZ45" s="65"/>
      <c r="FA45" s="65"/>
      <c r="FB45" s="65"/>
      <c r="FC45" s="65"/>
      <c r="FD45" s="65"/>
      <c r="FE45" s="65"/>
      <c r="FF45" s="65"/>
      <c r="FG45" s="65"/>
      <c r="FH45" s="65"/>
      <c r="FI45" s="65"/>
      <c r="FJ45" s="65"/>
      <c r="FK45" s="65"/>
      <c r="FL45" s="65"/>
      <c r="FM45" s="65"/>
      <c r="FN45" s="65"/>
      <c r="FO45" s="65"/>
      <c r="FP45" s="65"/>
      <c r="FQ45" s="65"/>
      <c r="FR45" s="65"/>
      <c r="FS45" s="65"/>
      <c r="FT45" s="65"/>
      <c r="FU45" s="65"/>
      <c r="FV45" s="65"/>
      <c r="FW45" s="65"/>
      <c r="FX45" s="65"/>
      <c r="FY45" s="65"/>
      <c r="FZ45" s="65"/>
      <c r="GA45" s="65"/>
      <c r="GB45" s="65"/>
      <c r="GC45" s="65"/>
      <c r="GD45" s="65"/>
      <c r="GE45" s="65"/>
      <c r="GF45" s="65"/>
      <c r="GG45" s="65"/>
      <c r="GH45" s="65"/>
      <c r="GI45" s="65"/>
      <c r="GJ45" s="65"/>
      <c r="GK45" s="65"/>
      <c r="GL45" s="65"/>
      <c r="GM45" s="65"/>
      <c r="GN45" s="65"/>
      <c r="GO45" s="65"/>
      <c r="GP45" s="65"/>
      <c r="GQ45" s="65"/>
      <c r="GR45" s="65"/>
      <c r="GS45" s="65"/>
      <c r="GT45" s="65"/>
      <c r="GU45" s="65"/>
      <c r="GV45" s="65"/>
      <c r="GW45" s="65"/>
      <c r="GX45" s="65"/>
      <c r="GY45" s="65"/>
      <c r="GZ45" s="65"/>
      <c r="HA45" s="65"/>
      <c r="HB45" s="65"/>
      <c r="HC45" s="65"/>
      <c r="HD45" s="65"/>
      <c r="HE45" s="65"/>
      <c r="HF45" s="65"/>
      <c r="HG45" s="65"/>
      <c r="HH45" s="65"/>
      <c r="HI45" s="65"/>
      <c r="HJ45" s="65"/>
      <c r="HK45" s="65"/>
      <c r="HL45" s="65"/>
      <c r="HM45" s="65"/>
      <c r="HN45" s="65"/>
      <c r="HO45" s="65"/>
      <c r="HP45" s="65"/>
      <c r="HQ45" s="65"/>
      <c r="HR45" s="65"/>
      <c r="HS45" s="65"/>
      <c r="HT45" s="65"/>
      <c r="HU45" s="65"/>
      <c r="HV45" s="65"/>
      <c r="HW45" s="65"/>
      <c r="HX45" s="65"/>
      <c r="HY45" s="65"/>
      <c r="HZ45" s="65"/>
      <c r="IA45" s="65"/>
      <c r="IB45" s="65"/>
      <c r="IC45" s="65"/>
      <c r="ID45" s="65"/>
      <c r="IE45" s="65"/>
      <c r="IF45" s="65"/>
      <c r="IG45" s="65"/>
      <c r="IH45" s="65"/>
      <c r="II45" s="65"/>
      <c r="IJ45" s="65"/>
      <c r="IK45" s="65"/>
      <c r="IL45" s="65"/>
      <c r="IM45" s="65"/>
      <c r="IN45" s="65"/>
      <c r="IO45" s="65"/>
      <c r="IP45" s="65"/>
      <c r="IQ45" s="65"/>
      <c r="IR45" s="65"/>
      <c r="IS45" s="65"/>
      <c r="IT45" s="65"/>
      <c r="IU45" s="65"/>
      <c r="IV45" s="65"/>
      <c r="IW45" s="65"/>
      <c r="IX45" s="65"/>
      <c r="IY45" s="65"/>
      <c r="IZ45" s="65"/>
      <c r="JA45" s="65"/>
      <c r="JB45" s="65"/>
      <c r="JC45" s="65"/>
      <c r="JD45" s="65"/>
      <c r="JE45" s="65"/>
      <c r="JF45" s="65"/>
      <c r="JG45" s="65"/>
      <c r="JH45" s="65"/>
      <c r="JI45" s="65"/>
      <c r="JJ45" s="65"/>
      <c r="JK45" s="65"/>
      <c r="JL45" s="65"/>
      <c r="JM45" s="65"/>
      <c r="JN45" s="65"/>
      <c r="JO45" s="65"/>
      <c r="JP45" s="65"/>
      <c r="JQ45" s="65"/>
      <c r="JR45" s="65"/>
      <c r="JS45" s="65"/>
      <c r="JT45" s="65"/>
      <c r="JU45" s="65"/>
      <c r="JV45" s="65"/>
      <c r="JW45" s="65"/>
      <c r="JX45" s="65"/>
      <c r="JY45" s="65"/>
      <c r="JZ45" s="65"/>
      <c r="KA45" s="65"/>
      <c r="KB45" s="65"/>
      <c r="KC45" s="65"/>
      <c r="KD45" s="65"/>
      <c r="KE45" s="65"/>
      <c r="KF45" s="65"/>
      <c r="KG45" s="65"/>
      <c r="KH45" s="65"/>
      <c r="KI45" s="65"/>
      <c r="KJ45" s="65"/>
      <c r="KK45" s="65"/>
      <c r="KL45" s="65"/>
      <c r="KM45" s="65"/>
      <c r="KN45" s="65"/>
      <c r="KO45" s="65"/>
      <c r="KP45" s="65"/>
      <c r="KQ45" s="65"/>
      <c r="KR45" s="65"/>
      <c r="KS45" s="65"/>
      <c r="KT45" s="65"/>
      <c r="KU45" s="65"/>
      <c r="KV45" s="65"/>
      <c r="KW45" s="65"/>
      <c r="KX45" s="65"/>
      <c r="KY45" s="65"/>
      <c r="KZ45" s="65"/>
      <c r="LA45" s="65"/>
      <c r="LB45" s="65"/>
      <c r="LC45" s="65"/>
      <c r="LD45" s="65"/>
      <c r="LE45" s="65"/>
      <c r="LF45" s="65"/>
      <c r="LG45" s="65"/>
      <c r="LH45" s="65"/>
      <c r="LI45" s="65"/>
      <c r="LJ45" s="65"/>
      <c r="LK45" s="65"/>
      <c r="LL45" s="65"/>
      <c r="LM45" s="65"/>
      <c r="LN45" s="65"/>
      <c r="LO45" s="65"/>
      <c r="LP45" s="65"/>
      <c r="LQ45" s="65"/>
      <c r="LR45" s="65"/>
      <c r="LS45" s="65"/>
      <c r="LT45" s="65"/>
      <c r="LU45" s="65"/>
      <c r="LV45" s="65"/>
      <c r="LW45" s="65"/>
      <c r="LX45" s="65"/>
      <c r="LY45" s="65"/>
      <c r="LZ45" s="65"/>
      <c r="MA45" s="65"/>
      <c r="MB45" s="65"/>
      <c r="MC45" s="65"/>
      <c r="MD45" s="65"/>
      <c r="ME45" s="65"/>
      <c r="MF45" s="65"/>
      <c r="MG45" s="65"/>
      <c r="MH45" s="65"/>
      <c r="MI45" s="65"/>
      <c r="MJ45" s="65"/>
      <c r="MK45" s="65"/>
      <c r="ML45" s="65"/>
      <c r="MM45" s="65"/>
      <c r="MN45" s="65"/>
      <c r="MO45" s="65"/>
      <c r="MP45" s="65"/>
      <c r="MQ45" s="65"/>
      <c r="MR45" s="65"/>
      <c r="MS45" s="65"/>
      <c r="MT45" s="65"/>
      <c r="MU45" s="65"/>
      <c r="MV45" s="65"/>
      <c r="MW45" s="65"/>
      <c r="MX45" s="65"/>
      <c r="MY45" s="65"/>
      <c r="MZ45" s="65"/>
      <c r="NA45" s="65"/>
      <c r="NB45" s="65"/>
      <c r="NC45" s="65"/>
      <c r="ND45" s="65"/>
      <c r="NE45" s="65"/>
      <c r="NF45" s="65"/>
      <c r="NG45" s="65"/>
    </row>
    <row r="46">
      <c r="A46" s="65"/>
      <c r="B46" s="65"/>
      <c r="C46" s="209"/>
      <c r="D46" s="209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  <c r="CC46" s="65"/>
      <c r="CD46" s="65"/>
      <c r="CE46" s="65"/>
      <c r="CF46" s="65"/>
      <c r="CG46" s="65"/>
      <c r="CH46" s="65"/>
      <c r="CI46" s="65"/>
      <c r="CJ46" s="65"/>
      <c r="CK46" s="65"/>
      <c r="CL46" s="65"/>
      <c r="CM46" s="65"/>
      <c r="CN46" s="65"/>
      <c r="CO46" s="65"/>
      <c r="CP46" s="65"/>
      <c r="CQ46" s="65"/>
      <c r="CR46" s="65"/>
      <c r="CS46" s="65"/>
      <c r="CT46" s="65"/>
      <c r="CU46" s="65"/>
      <c r="CV46" s="65"/>
      <c r="CW46" s="65"/>
      <c r="CX46" s="65"/>
      <c r="CY46" s="65"/>
      <c r="CZ46" s="65"/>
      <c r="DA46" s="65"/>
      <c r="DB46" s="65"/>
      <c r="DC46" s="65"/>
      <c r="DD46" s="65"/>
      <c r="DE46" s="65"/>
      <c r="DF46" s="65"/>
      <c r="DG46" s="65"/>
      <c r="DH46" s="65"/>
      <c r="DI46" s="65"/>
      <c r="DJ46" s="65"/>
      <c r="DK46" s="65"/>
      <c r="DL46" s="65"/>
      <c r="DM46" s="65"/>
      <c r="DN46" s="65"/>
      <c r="DO46" s="65"/>
      <c r="DP46" s="65"/>
      <c r="DQ46" s="65"/>
      <c r="DR46" s="65"/>
      <c r="DS46" s="65"/>
      <c r="DT46" s="65"/>
      <c r="DU46" s="65"/>
      <c r="DV46" s="65"/>
      <c r="DW46" s="65"/>
      <c r="DX46" s="65"/>
      <c r="DY46" s="65"/>
      <c r="DZ46" s="65"/>
      <c r="EA46" s="65"/>
      <c r="EB46" s="65"/>
      <c r="EC46" s="65"/>
      <c r="ED46" s="65"/>
      <c r="EE46" s="65"/>
      <c r="EF46" s="65"/>
      <c r="EG46" s="65"/>
      <c r="EH46" s="65"/>
      <c r="EI46" s="65"/>
      <c r="EJ46" s="65"/>
      <c r="EK46" s="65"/>
      <c r="EL46" s="65"/>
      <c r="EM46" s="65"/>
      <c r="EN46" s="65"/>
      <c r="EO46" s="65"/>
      <c r="EP46" s="65"/>
      <c r="EQ46" s="65"/>
      <c r="ER46" s="65"/>
      <c r="ES46" s="65"/>
      <c r="ET46" s="65"/>
      <c r="EU46" s="65"/>
      <c r="EV46" s="65"/>
      <c r="EW46" s="65"/>
      <c r="EX46" s="65"/>
      <c r="EY46" s="65"/>
      <c r="EZ46" s="65"/>
      <c r="FA46" s="65"/>
      <c r="FB46" s="65"/>
      <c r="FC46" s="65"/>
      <c r="FD46" s="65"/>
      <c r="FE46" s="65"/>
      <c r="FF46" s="65"/>
      <c r="FG46" s="65"/>
      <c r="FH46" s="65"/>
      <c r="FI46" s="65"/>
      <c r="FJ46" s="65"/>
      <c r="FK46" s="65"/>
      <c r="FL46" s="65"/>
      <c r="FM46" s="65"/>
      <c r="FN46" s="65"/>
      <c r="FO46" s="65"/>
      <c r="FP46" s="65"/>
      <c r="FQ46" s="65"/>
      <c r="FR46" s="65"/>
      <c r="FS46" s="65"/>
      <c r="FT46" s="65"/>
      <c r="FU46" s="65"/>
      <c r="FV46" s="65"/>
      <c r="FW46" s="65"/>
      <c r="FX46" s="65"/>
      <c r="FY46" s="65"/>
      <c r="FZ46" s="65"/>
      <c r="GA46" s="65"/>
      <c r="GB46" s="65"/>
      <c r="GC46" s="65"/>
      <c r="GD46" s="65"/>
      <c r="GE46" s="65"/>
      <c r="GF46" s="65"/>
      <c r="GG46" s="65"/>
      <c r="GH46" s="65"/>
      <c r="GI46" s="65"/>
      <c r="GJ46" s="65"/>
      <c r="GK46" s="65"/>
      <c r="GL46" s="65"/>
      <c r="GM46" s="65"/>
      <c r="GN46" s="65"/>
      <c r="GO46" s="65"/>
      <c r="GP46" s="65"/>
      <c r="GQ46" s="65"/>
      <c r="GR46" s="65"/>
      <c r="GS46" s="65"/>
      <c r="GT46" s="65"/>
      <c r="GU46" s="65"/>
      <c r="GV46" s="65"/>
      <c r="GW46" s="65"/>
      <c r="GX46" s="65"/>
      <c r="GY46" s="65"/>
      <c r="GZ46" s="65"/>
      <c r="HA46" s="65"/>
      <c r="HB46" s="65"/>
      <c r="HC46" s="65"/>
      <c r="HD46" s="65"/>
      <c r="HE46" s="65"/>
      <c r="HF46" s="65"/>
      <c r="HG46" s="65"/>
      <c r="HH46" s="65"/>
      <c r="HI46" s="65"/>
      <c r="HJ46" s="65"/>
      <c r="HK46" s="65"/>
      <c r="HL46" s="65"/>
      <c r="HM46" s="65"/>
      <c r="HN46" s="65"/>
      <c r="HO46" s="65"/>
      <c r="HP46" s="65"/>
      <c r="HQ46" s="65"/>
      <c r="HR46" s="65"/>
      <c r="HS46" s="65"/>
      <c r="HT46" s="65"/>
      <c r="HU46" s="65"/>
      <c r="HV46" s="65"/>
      <c r="HW46" s="65"/>
      <c r="HX46" s="65"/>
      <c r="HY46" s="65"/>
      <c r="HZ46" s="65"/>
      <c r="IA46" s="65"/>
      <c r="IB46" s="65"/>
      <c r="IC46" s="65"/>
      <c r="ID46" s="65"/>
      <c r="IE46" s="65"/>
      <c r="IF46" s="65"/>
      <c r="IG46" s="65"/>
      <c r="IH46" s="65"/>
      <c r="II46" s="65"/>
      <c r="IJ46" s="65"/>
      <c r="IK46" s="65"/>
      <c r="IL46" s="65"/>
      <c r="IM46" s="65"/>
      <c r="IN46" s="65"/>
      <c r="IO46" s="65"/>
      <c r="IP46" s="65"/>
      <c r="IQ46" s="65"/>
      <c r="IR46" s="65"/>
      <c r="IS46" s="65"/>
      <c r="IT46" s="65"/>
      <c r="IU46" s="65"/>
      <c r="IV46" s="65"/>
      <c r="IW46" s="65"/>
      <c r="IX46" s="65"/>
      <c r="IY46" s="65"/>
      <c r="IZ46" s="65"/>
      <c r="JA46" s="65"/>
      <c r="JB46" s="65"/>
      <c r="JC46" s="65"/>
      <c r="JD46" s="65"/>
      <c r="JE46" s="65"/>
      <c r="JF46" s="65"/>
      <c r="JG46" s="65"/>
      <c r="JH46" s="65"/>
      <c r="JI46" s="65"/>
      <c r="JJ46" s="65"/>
      <c r="JK46" s="65"/>
      <c r="JL46" s="65"/>
      <c r="JM46" s="65"/>
      <c r="JN46" s="65"/>
      <c r="JO46" s="65"/>
      <c r="JP46" s="65"/>
      <c r="JQ46" s="65"/>
      <c r="JR46" s="65"/>
      <c r="JS46" s="65"/>
      <c r="JT46" s="65"/>
      <c r="JU46" s="65"/>
      <c r="JV46" s="65"/>
      <c r="JW46" s="65"/>
      <c r="JX46" s="65"/>
      <c r="JY46" s="65"/>
      <c r="JZ46" s="65"/>
      <c r="KA46" s="65"/>
      <c r="KB46" s="65"/>
      <c r="KC46" s="65"/>
      <c r="KD46" s="65"/>
      <c r="KE46" s="65"/>
      <c r="KF46" s="65"/>
      <c r="KG46" s="65"/>
      <c r="KH46" s="65"/>
      <c r="KI46" s="65"/>
      <c r="KJ46" s="65"/>
      <c r="KK46" s="65"/>
      <c r="KL46" s="65"/>
      <c r="KM46" s="65"/>
      <c r="KN46" s="65"/>
      <c r="KO46" s="65"/>
      <c r="KP46" s="65"/>
      <c r="KQ46" s="65"/>
      <c r="KR46" s="65"/>
      <c r="KS46" s="65"/>
      <c r="KT46" s="65"/>
      <c r="KU46" s="65"/>
      <c r="KV46" s="65"/>
      <c r="KW46" s="65"/>
      <c r="KX46" s="65"/>
      <c r="KY46" s="65"/>
      <c r="KZ46" s="65"/>
      <c r="LA46" s="65"/>
      <c r="LB46" s="65"/>
      <c r="LC46" s="65"/>
      <c r="LD46" s="65"/>
      <c r="LE46" s="65"/>
      <c r="LF46" s="65"/>
      <c r="LG46" s="65"/>
      <c r="LH46" s="65"/>
      <c r="LI46" s="65"/>
      <c r="LJ46" s="65"/>
      <c r="LK46" s="65"/>
      <c r="LL46" s="65"/>
      <c r="LM46" s="65"/>
      <c r="LN46" s="65"/>
      <c r="LO46" s="65"/>
      <c r="LP46" s="65"/>
      <c r="LQ46" s="65"/>
      <c r="LR46" s="65"/>
      <c r="LS46" s="65"/>
      <c r="LT46" s="65"/>
      <c r="LU46" s="65"/>
      <c r="LV46" s="65"/>
      <c r="LW46" s="65"/>
      <c r="LX46" s="65"/>
      <c r="LY46" s="65"/>
      <c r="LZ46" s="65"/>
      <c r="MA46" s="65"/>
      <c r="MB46" s="65"/>
      <c r="MC46" s="65"/>
      <c r="MD46" s="65"/>
      <c r="ME46" s="65"/>
      <c r="MF46" s="65"/>
      <c r="MG46" s="65"/>
      <c r="MH46" s="65"/>
      <c r="MI46" s="65"/>
      <c r="MJ46" s="65"/>
      <c r="MK46" s="65"/>
      <c r="ML46" s="65"/>
      <c r="MM46" s="65"/>
      <c r="MN46" s="65"/>
      <c r="MO46" s="65"/>
      <c r="MP46" s="65"/>
      <c r="MQ46" s="65"/>
      <c r="MR46" s="65"/>
      <c r="MS46" s="65"/>
      <c r="MT46" s="65"/>
      <c r="MU46" s="65"/>
      <c r="MV46" s="65"/>
      <c r="MW46" s="65"/>
      <c r="MX46" s="65"/>
      <c r="MY46" s="65"/>
      <c r="MZ46" s="65"/>
      <c r="NA46" s="65"/>
      <c r="NB46" s="65"/>
      <c r="NC46" s="65"/>
      <c r="ND46" s="65"/>
      <c r="NE46" s="65"/>
      <c r="NF46" s="65"/>
      <c r="NG46" s="65"/>
    </row>
    <row r="47">
      <c r="A47" s="65"/>
      <c r="B47" s="65"/>
      <c r="C47" s="205">
        <v>9.0</v>
      </c>
      <c r="D47" s="205" t="s">
        <v>90</v>
      </c>
      <c r="E47" s="109"/>
      <c r="F47" s="107" t="s">
        <v>45</v>
      </c>
      <c r="G47" s="109"/>
      <c r="H47" s="109"/>
      <c r="I47" s="107" t="s">
        <v>1380</v>
      </c>
      <c r="J47" s="107" t="str">
        <f>MID(F47,1,3)</f>
        <v>Man</v>
      </c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5"/>
      <c r="CD47" s="65"/>
      <c r="CE47" s="65"/>
      <c r="CF47" s="65"/>
      <c r="CG47" s="65"/>
      <c r="CH47" s="65"/>
      <c r="CI47" s="65"/>
      <c r="CJ47" s="65"/>
      <c r="CK47" s="65"/>
      <c r="CL47" s="65"/>
      <c r="CM47" s="65"/>
      <c r="CN47" s="65"/>
      <c r="CO47" s="65"/>
      <c r="CP47" s="65"/>
      <c r="CQ47" s="65"/>
      <c r="CR47" s="65"/>
      <c r="CS47" s="65"/>
      <c r="CT47" s="65"/>
      <c r="CU47" s="65"/>
      <c r="CV47" s="65"/>
      <c r="CW47" s="65"/>
      <c r="CX47" s="65"/>
      <c r="CY47" s="65"/>
      <c r="CZ47" s="65"/>
      <c r="DA47" s="65"/>
      <c r="DB47" s="65"/>
      <c r="DC47" s="65"/>
      <c r="DD47" s="65"/>
      <c r="DE47" s="65"/>
      <c r="DF47" s="65"/>
      <c r="DG47" s="65"/>
      <c r="DH47" s="65"/>
      <c r="DI47" s="65"/>
      <c r="DJ47" s="65"/>
      <c r="DK47" s="65"/>
      <c r="DL47" s="65"/>
      <c r="DM47" s="65"/>
      <c r="DN47" s="65"/>
      <c r="DO47" s="65"/>
      <c r="DP47" s="65"/>
      <c r="DQ47" s="65"/>
      <c r="DR47" s="65"/>
      <c r="DS47" s="65"/>
      <c r="DT47" s="65"/>
      <c r="DU47" s="65"/>
      <c r="DV47" s="65"/>
      <c r="DW47" s="65"/>
      <c r="DX47" s="65"/>
      <c r="DY47" s="65"/>
      <c r="DZ47" s="65"/>
      <c r="EA47" s="65"/>
      <c r="EB47" s="65"/>
      <c r="EC47" s="65"/>
      <c r="ED47" s="65"/>
      <c r="EE47" s="65"/>
      <c r="EF47" s="65"/>
      <c r="EG47" s="65"/>
      <c r="EH47" s="65"/>
      <c r="EI47" s="65"/>
      <c r="EJ47" s="65"/>
      <c r="EK47" s="65"/>
      <c r="EL47" s="65"/>
      <c r="EM47" s="65"/>
      <c r="EN47" s="65"/>
      <c r="EO47" s="65"/>
      <c r="EP47" s="65"/>
      <c r="EQ47" s="65"/>
      <c r="ER47" s="65"/>
      <c r="ES47" s="65"/>
      <c r="ET47" s="65"/>
      <c r="EU47" s="65"/>
      <c r="EV47" s="65"/>
      <c r="EW47" s="65"/>
      <c r="EX47" s="65"/>
      <c r="EY47" s="65"/>
      <c r="EZ47" s="65"/>
      <c r="FA47" s="65"/>
      <c r="FB47" s="65"/>
      <c r="FC47" s="65"/>
      <c r="FD47" s="65"/>
      <c r="FE47" s="65"/>
      <c r="FF47" s="65"/>
      <c r="FG47" s="65"/>
      <c r="FH47" s="65"/>
      <c r="FI47" s="65"/>
      <c r="FJ47" s="65"/>
      <c r="FK47" s="65"/>
      <c r="FL47" s="65"/>
      <c r="FM47" s="65"/>
      <c r="FN47" s="65"/>
      <c r="FO47" s="65"/>
      <c r="FP47" s="65"/>
      <c r="FQ47" s="65"/>
      <c r="FR47" s="65"/>
      <c r="FS47" s="65"/>
      <c r="FT47" s="65"/>
      <c r="FU47" s="65"/>
      <c r="FV47" s="65"/>
      <c r="FW47" s="65"/>
      <c r="FX47" s="65"/>
      <c r="FY47" s="65"/>
      <c r="FZ47" s="65"/>
      <c r="GA47" s="65"/>
      <c r="GB47" s="65"/>
      <c r="GC47" s="65"/>
      <c r="GD47" s="65"/>
      <c r="GE47" s="65"/>
      <c r="GF47" s="65"/>
      <c r="GG47" s="65"/>
      <c r="GH47" s="65"/>
      <c r="GI47" s="65"/>
      <c r="GJ47" s="65"/>
      <c r="GK47" s="65"/>
      <c r="GL47" s="65"/>
      <c r="GM47" s="65"/>
      <c r="GN47" s="65"/>
      <c r="GO47" s="65"/>
      <c r="GP47" s="65"/>
      <c r="GQ47" s="65"/>
      <c r="GR47" s="65"/>
      <c r="GS47" s="65"/>
      <c r="GT47" s="65"/>
      <c r="GU47" s="65"/>
      <c r="GV47" s="65"/>
      <c r="GW47" s="65"/>
      <c r="GX47" s="65"/>
      <c r="GY47" s="65"/>
      <c r="GZ47" s="65"/>
      <c r="HA47" s="65"/>
      <c r="HB47" s="65"/>
      <c r="HC47" s="65"/>
      <c r="HD47" s="65"/>
      <c r="HE47" s="65"/>
      <c r="HF47" s="65"/>
      <c r="HG47" s="65"/>
      <c r="HH47" s="65"/>
      <c r="HI47" s="65"/>
      <c r="HJ47" s="65"/>
      <c r="HK47" s="65"/>
      <c r="HL47" s="65"/>
      <c r="HM47" s="65"/>
      <c r="HN47" s="65"/>
      <c r="HO47" s="65"/>
      <c r="HP47" s="65"/>
      <c r="HQ47" s="65"/>
      <c r="HR47" s="65"/>
      <c r="HS47" s="65"/>
      <c r="HT47" s="65"/>
      <c r="HU47" s="65"/>
      <c r="HV47" s="65"/>
      <c r="HW47" s="65"/>
      <c r="HX47" s="65"/>
      <c r="HY47" s="65"/>
      <c r="HZ47" s="65"/>
      <c r="IA47" s="65"/>
      <c r="IB47" s="65"/>
      <c r="IC47" s="65"/>
      <c r="ID47" s="65"/>
      <c r="IE47" s="65"/>
      <c r="IF47" s="65"/>
      <c r="IG47" s="65"/>
      <c r="IH47" s="65"/>
      <c r="II47" s="65"/>
      <c r="IJ47" s="65"/>
      <c r="IK47" s="65"/>
      <c r="IL47" s="65"/>
      <c r="IM47" s="65"/>
      <c r="IN47" s="65"/>
      <c r="IO47" s="65"/>
      <c r="IP47" s="65"/>
      <c r="IQ47" s="65"/>
      <c r="IR47" s="65"/>
      <c r="IS47" s="65"/>
      <c r="IT47" s="65"/>
      <c r="IU47" s="65"/>
      <c r="IV47" s="65"/>
      <c r="IW47" s="65"/>
      <c r="IX47" s="65"/>
      <c r="IY47" s="65"/>
      <c r="IZ47" s="65"/>
      <c r="JA47" s="65"/>
      <c r="JB47" s="65"/>
      <c r="JC47" s="65"/>
      <c r="JD47" s="65"/>
      <c r="JE47" s="65"/>
      <c r="JF47" s="65"/>
      <c r="JG47" s="65"/>
      <c r="JH47" s="65"/>
      <c r="JI47" s="65"/>
      <c r="JJ47" s="65"/>
      <c r="JK47" s="65"/>
      <c r="JL47" s="65"/>
      <c r="JM47" s="65"/>
      <c r="JN47" s="65"/>
      <c r="JO47" s="65"/>
      <c r="JP47" s="65"/>
      <c r="JQ47" s="65"/>
      <c r="JR47" s="65"/>
      <c r="JS47" s="65"/>
      <c r="JT47" s="65"/>
      <c r="JU47" s="65"/>
      <c r="JV47" s="65"/>
      <c r="JW47" s="65"/>
      <c r="JX47" s="65"/>
      <c r="JY47" s="65"/>
      <c r="JZ47" s="65"/>
      <c r="KA47" s="65"/>
      <c r="KB47" s="65"/>
      <c r="KC47" s="65"/>
      <c r="KD47" s="65"/>
      <c r="KE47" s="65"/>
      <c r="KF47" s="65"/>
      <c r="KG47" s="65"/>
      <c r="KH47" s="65"/>
      <c r="KI47" s="65"/>
      <c r="KJ47" s="65"/>
      <c r="KK47" s="65"/>
      <c r="KL47" s="65"/>
      <c r="KM47" s="65"/>
      <c r="KN47" s="65"/>
      <c r="KO47" s="65"/>
      <c r="KP47" s="65"/>
      <c r="KQ47" s="65"/>
      <c r="KR47" s="65"/>
      <c r="KS47" s="65"/>
      <c r="KT47" s="65"/>
      <c r="KU47" s="65"/>
      <c r="KV47" s="65"/>
      <c r="KW47" s="65"/>
      <c r="KX47" s="65"/>
      <c r="KY47" s="65"/>
      <c r="KZ47" s="65"/>
      <c r="LA47" s="65"/>
      <c r="LB47" s="65"/>
      <c r="LC47" s="65"/>
      <c r="LD47" s="65"/>
      <c r="LE47" s="65"/>
      <c r="LF47" s="65"/>
      <c r="LG47" s="65"/>
      <c r="LH47" s="65"/>
      <c r="LI47" s="65"/>
      <c r="LJ47" s="65"/>
      <c r="LK47" s="65"/>
      <c r="LL47" s="65"/>
      <c r="LM47" s="65"/>
      <c r="LN47" s="65"/>
      <c r="LO47" s="65"/>
      <c r="LP47" s="65"/>
      <c r="LQ47" s="65"/>
      <c r="LR47" s="65"/>
      <c r="LS47" s="65"/>
      <c r="LT47" s="65"/>
      <c r="LU47" s="65"/>
      <c r="LV47" s="65"/>
      <c r="LW47" s="65"/>
      <c r="LX47" s="65"/>
      <c r="LY47" s="65"/>
      <c r="LZ47" s="65"/>
      <c r="MA47" s="65"/>
      <c r="MB47" s="65"/>
      <c r="MC47" s="65"/>
      <c r="MD47" s="65"/>
      <c r="ME47" s="65"/>
      <c r="MF47" s="65"/>
      <c r="MG47" s="65"/>
      <c r="MH47" s="65"/>
      <c r="MI47" s="65"/>
      <c r="MJ47" s="65"/>
      <c r="MK47" s="65"/>
      <c r="ML47" s="65"/>
      <c r="MM47" s="65"/>
      <c r="MN47" s="65"/>
      <c r="MO47" s="65"/>
      <c r="MP47" s="65"/>
      <c r="MQ47" s="65"/>
      <c r="MR47" s="65"/>
      <c r="MS47" s="65"/>
      <c r="MT47" s="65"/>
      <c r="MU47" s="65"/>
      <c r="MV47" s="65"/>
      <c r="MW47" s="65"/>
      <c r="MX47" s="65"/>
      <c r="MY47" s="65"/>
      <c r="MZ47" s="65"/>
      <c r="NA47" s="65"/>
      <c r="NB47" s="65"/>
      <c r="NC47" s="65"/>
      <c r="ND47" s="65"/>
      <c r="NE47" s="65"/>
      <c r="NF47" s="65"/>
      <c r="NG47" s="65"/>
    </row>
    <row r="48">
      <c r="A48" s="65"/>
      <c r="B48" s="65"/>
      <c r="C48" s="207"/>
      <c r="D48" s="207"/>
      <c r="E48" s="109"/>
      <c r="F48" s="107" t="s">
        <v>1381</v>
      </c>
      <c r="G48" s="109"/>
      <c r="H48" s="109"/>
      <c r="I48" s="107" t="s">
        <v>1382</v>
      </c>
      <c r="J48" s="107" t="str">
        <f>MID(F48,2,3)</f>
        <v>old</v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5"/>
      <c r="BH48" s="65"/>
      <c r="BI48" s="65"/>
      <c r="BJ48" s="65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  <c r="CE48" s="65"/>
      <c r="CF48" s="65"/>
      <c r="CG48" s="65"/>
      <c r="CH48" s="65"/>
      <c r="CI48" s="65"/>
      <c r="CJ48" s="65"/>
      <c r="CK48" s="65"/>
      <c r="CL48" s="65"/>
      <c r="CM48" s="65"/>
      <c r="CN48" s="65"/>
      <c r="CO48" s="65"/>
      <c r="CP48" s="65"/>
      <c r="CQ48" s="65"/>
      <c r="CR48" s="65"/>
      <c r="CS48" s="65"/>
      <c r="CT48" s="65"/>
      <c r="CU48" s="65"/>
      <c r="CV48" s="65"/>
      <c r="CW48" s="65"/>
      <c r="CX48" s="65"/>
      <c r="CY48" s="65"/>
      <c r="CZ48" s="65"/>
      <c r="DA48" s="65"/>
      <c r="DB48" s="65"/>
      <c r="DC48" s="65"/>
      <c r="DD48" s="65"/>
      <c r="DE48" s="65"/>
      <c r="DF48" s="65"/>
      <c r="DG48" s="65"/>
      <c r="DH48" s="65"/>
      <c r="DI48" s="65"/>
      <c r="DJ48" s="65"/>
      <c r="DK48" s="65"/>
      <c r="DL48" s="65"/>
      <c r="DM48" s="65"/>
      <c r="DN48" s="65"/>
      <c r="DO48" s="65"/>
      <c r="DP48" s="65"/>
      <c r="DQ48" s="65"/>
      <c r="DR48" s="65"/>
      <c r="DS48" s="65"/>
      <c r="DT48" s="65"/>
      <c r="DU48" s="65"/>
      <c r="DV48" s="65"/>
      <c r="DW48" s="65"/>
      <c r="DX48" s="65"/>
      <c r="DY48" s="65"/>
      <c r="DZ48" s="65"/>
      <c r="EA48" s="65"/>
      <c r="EB48" s="65"/>
      <c r="EC48" s="65"/>
      <c r="ED48" s="65"/>
      <c r="EE48" s="65"/>
      <c r="EF48" s="65"/>
      <c r="EG48" s="65"/>
      <c r="EH48" s="65"/>
      <c r="EI48" s="65"/>
      <c r="EJ48" s="65"/>
      <c r="EK48" s="65"/>
      <c r="EL48" s="65"/>
      <c r="EM48" s="65"/>
      <c r="EN48" s="65"/>
      <c r="EO48" s="65"/>
      <c r="EP48" s="65"/>
      <c r="EQ48" s="65"/>
      <c r="ER48" s="65"/>
      <c r="ES48" s="65"/>
      <c r="ET48" s="65"/>
      <c r="EU48" s="65"/>
      <c r="EV48" s="65"/>
      <c r="EW48" s="65"/>
      <c r="EX48" s="65"/>
      <c r="EY48" s="65"/>
      <c r="EZ48" s="65"/>
      <c r="FA48" s="65"/>
      <c r="FB48" s="65"/>
      <c r="FC48" s="65"/>
      <c r="FD48" s="65"/>
      <c r="FE48" s="65"/>
      <c r="FF48" s="65"/>
      <c r="FG48" s="65"/>
      <c r="FH48" s="65"/>
      <c r="FI48" s="65"/>
      <c r="FJ48" s="65"/>
      <c r="FK48" s="65"/>
      <c r="FL48" s="65"/>
      <c r="FM48" s="65"/>
      <c r="FN48" s="65"/>
      <c r="FO48" s="65"/>
      <c r="FP48" s="65"/>
      <c r="FQ48" s="65"/>
      <c r="FR48" s="65"/>
      <c r="FS48" s="65"/>
      <c r="FT48" s="65"/>
      <c r="FU48" s="65"/>
      <c r="FV48" s="65"/>
      <c r="FW48" s="65"/>
      <c r="FX48" s="65"/>
      <c r="FY48" s="65"/>
      <c r="FZ48" s="65"/>
      <c r="GA48" s="65"/>
      <c r="GB48" s="65"/>
      <c r="GC48" s="65"/>
      <c r="GD48" s="65"/>
      <c r="GE48" s="65"/>
      <c r="GF48" s="65"/>
      <c r="GG48" s="65"/>
      <c r="GH48" s="65"/>
      <c r="GI48" s="65"/>
      <c r="GJ48" s="65"/>
      <c r="GK48" s="65"/>
      <c r="GL48" s="65"/>
      <c r="GM48" s="65"/>
      <c r="GN48" s="65"/>
      <c r="GO48" s="65"/>
      <c r="GP48" s="65"/>
      <c r="GQ48" s="65"/>
      <c r="GR48" s="65"/>
      <c r="GS48" s="65"/>
      <c r="GT48" s="65"/>
      <c r="GU48" s="65"/>
      <c r="GV48" s="65"/>
      <c r="GW48" s="65"/>
      <c r="GX48" s="65"/>
      <c r="GY48" s="65"/>
      <c r="GZ48" s="65"/>
      <c r="HA48" s="65"/>
      <c r="HB48" s="65"/>
      <c r="HC48" s="65"/>
      <c r="HD48" s="65"/>
      <c r="HE48" s="65"/>
      <c r="HF48" s="65"/>
      <c r="HG48" s="65"/>
      <c r="HH48" s="65"/>
      <c r="HI48" s="65"/>
      <c r="HJ48" s="65"/>
      <c r="HK48" s="65"/>
      <c r="HL48" s="65"/>
      <c r="HM48" s="65"/>
      <c r="HN48" s="65"/>
      <c r="HO48" s="65"/>
      <c r="HP48" s="65"/>
      <c r="HQ48" s="65"/>
      <c r="HR48" s="65"/>
      <c r="HS48" s="65"/>
      <c r="HT48" s="65"/>
      <c r="HU48" s="65"/>
      <c r="HV48" s="65"/>
      <c r="HW48" s="65"/>
      <c r="HX48" s="65"/>
      <c r="HY48" s="65"/>
      <c r="HZ48" s="65"/>
      <c r="IA48" s="65"/>
      <c r="IB48" s="65"/>
      <c r="IC48" s="65"/>
      <c r="ID48" s="65"/>
      <c r="IE48" s="65"/>
      <c r="IF48" s="65"/>
      <c r="IG48" s="65"/>
      <c r="IH48" s="65"/>
      <c r="II48" s="65"/>
      <c r="IJ48" s="65"/>
      <c r="IK48" s="65"/>
      <c r="IL48" s="65"/>
      <c r="IM48" s="65"/>
      <c r="IN48" s="65"/>
      <c r="IO48" s="65"/>
      <c r="IP48" s="65"/>
      <c r="IQ48" s="65"/>
      <c r="IR48" s="65"/>
      <c r="IS48" s="65"/>
      <c r="IT48" s="65"/>
      <c r="IU48" s="65"/>
      <c r="IV48" s="65"/>
      <c r="IW48" s="65"/>
      <c r="IX48" s="65"/>
      <c r="IY48" s="65"/>
      <c r="IZ48" s="65"/>
      <c r="JA48" s="65"/>
      <c r="JB48" s="65"/>
      <c r="JC48" s="65"/>
      <c r="JD48" s="65"/>
      <c r="JE48" s="65"/>
      <c r="JF48" s="65"/>
      <c r="JG48" s="65"/>
      <c r="JH48" s="65"/>
      <c r="JI48" s="65"/>
      <c r="JJ48" s="65"/>
      <c r="JK48" s="65"/>
      <c r="JL48" s="65"/>
      <c r="JM48" s="65"/>
      <c r="JN48" s="65"/>
      <c r="JO48" s="65"/>
      <c r="JP48" s="65"/>
      <c r="JQ48" s="65"/>
      <c r="JR48" s="65"/>
      <c r="JS48" s="65"/>
      <c r="JT48" s="65"/>
      <c r="JU48" s="65"/>
      <c r="JV48" s="65"/>
      <c r="JW48" s="65"/>
      <c r="JX48" s="65"/>
      <c r="JY48" s="65"/>
      <c r="JZ48" s="65"/>
      <c r="KA48" s="65"/>
      <c r="KB48" s="65"/>
      <c r="KC48" s="65"/>
      <c r="KD48" s="65"/>
      <c r="KE48" s="65"/>
      <c r="KF48" s="65"/>
      <c r="KG48" s="65"/>
      <c r="KH48" s="65"/>
      <c r="KI48" s="65"/>
      <c r="KJ48" s="65"/>
      <c r="KK48" s="65"/>
      <c r="KL48" s="65"/>
      <c r="KM48" s="65"/>
      <c r="KN48" s="65"/>
      <c r="KO48" s="65"/>
      <c r="KP48" s="65"/>
      <c r="KQ48" s="65"/>
      <c r="KR48" s="65"/>
      <c r="KS48" s="65"/>
      <c r="KT48" s="65"/>
      <c r="KU48" s="65"/>
      <c r="KV48" s="65"/>
      <c r="KW48" s="65"/>
      <c r="KX48" s="65"/>
      <c r="KY48" s="65"/>
      <c r="KZ48" s="65"/>
      <c r="LA48" s="65"/>
      <c r="LB48" s="65"/>
      <c r="LC48" s="65"/>
      <c r="LD48" s="65"/>
      <c r="LE48" s="65"/>
      <c r="LF48" s="65"/>
      <c r="LG48" s="65"/>
      <c r="LH48" s="65"/>
      <c r="LI48" s="65"/>
      <c r="LJ48" s="65"/>
      <c r="LK48" s="65"/>
      <c r="LL48" s="65"/>
      <c r="LM48" s="65"/>
      <c r="LN48" s="65"/>
      <c r="LO48" s="65"/>
      <c r="LP48" s="65"/>
      <c r="LQ48" s="65"/>
      <c r="LR48" s="65"/>
      <c r="LS48" s="65"/>
      <c r="LT48" s="65"/>
      <c r="LU48" s="65"/>
      <c r="LV48" s="65"/>
      <c r="LW48" s="65"/>
      <c r="LX48" s="65"/>
      <c r="LY48" s="65"/>
      <c r="LZ48" s="65"/>
      <c r="MA48" s="65"/>
      <c r="MB48" s="65"/>
      <c r="MC48" s="65"/>
      <c r="MD48" s="65"/>
      <c r="ME48" s="65"/>
      <c r="MF48" s="65"/>
      <c r="MG48" s="65"/>
      <c r="MH48" s="65"/>
      <c r="MI48" s="65"/>
      <c r="MJ48" s="65"/>
      <c r="MK48" s="65"/>
      <c r="ML48" s="65"/>
      <c r="MM48" s="65"/>
      <c r="MN48" s="65"/>
      <c r="MO48" s="65"/>
      <c r="MP48" s="65"/>
      <c r="MQ48" s="65"/>
      <c r="MR48" s="65"/>
      <c r="MS48" s="65"/>
      <c r="MT48" s="65"/>
      <c r="MU48" s="65"/>
      <c r="MV48" s="65"/>
      <c r="MW48" s="65"/>
      <c r="MX48" s="65"/>
      <c r="MY48" s="65"/>
      <c r="MZ48" s="65"/>
      <c r="NA48" s="65"/>
      <c r="NB48" s="65"/>
      <c r="NC48" s="65"/>
      <c r="ND48" s="65"/>
      <c r="NE48" s="65"/>
      <c r="NF48" s="65"/>
      <c r="NG48" s="65"/>
    </row>
    <row r="49">
      <c r="A49" s="65"/>
      <c r="B49" s="65"/>
      <c r="C49" s="207"/>
      <c r="D49" s="207"/>
      <c r="E49" s="109"/>
      <c r="F49" s="107" t="s">
        <v>1383</v>
      </c>
      <c r="G49" s="109"/>
      <c r="H49" s="109"/>
      <c r="I49" s="107" t="s">
        <v>218</v>
      </c>
      <c r="J49" s="107" t="str">
        <f t="shared" ref="J49:J50" si="5">MID(F49,1,3)</f>
        <v>Cat</v>
      </c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5"/>
      <c r="BH49" s="65"/>
      <c r="BI49" s="65"/>
      <c r="BJ49" s="65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5"/>
      <c r="CD49" s="65"/>
      <c r="CE49" s="65"/>
      <c r="CF49" s="65"/>
      <c r="CG49" s="65"/>
      <c r="CH49" s="65"/>
      <c r="CI49" s="65"/>
      <c r="CJ49" s="65"/>
      <c r="CK49" s="65"/>
      <c r="CL49" s="65"/>
      <c r="CM49" s="65"/>
      <c r="CN49" s="65"/>
      <c r="CO49" s="65"/>
      <c r="CP49" s="65"/>
      <c r="CQ49" s="65"/>
      <c r="CR49" s="65"/>
      <c r="CS49" s="65"/>
      <c r="CT49" s="65"/>
      <c r="CU49" s="65"/>
      <c r="CV49" s="65"/>
      <c r="CW49" s="65"/>
      <c r="CX49" s="65"/>
      <c r="CY49" s="65"/>
      <c r="CZ49" s="65"/>
      <c r="DA49" s="65"/>
      <c r="DB49" s="65"/>
      <c r="DC49" s="65"/>
      <c r="DD49" s="65"/>
      <c r="DE49" s="65"/>
      <c r="DF49" s="65"/>
      <c r="DG49" s="65"/>
      <c r="DH49" s="65"/>
      <c r="DI49" s="65"/>
      <c r="DJ49" s="65"/>
      <c r="DK49" s="65"/>
      <c r="DL49" s="65"/>
      <c r="DM49" s="65"/>
      <c r="DN49" s="65"/>
      <c r="DO49" s="65"/>
      <c r="DP49" s="65"/>
      <c r="DQ49" s="65"/>
      <c r="DR49" s="65"/>
      <c r="DS49" s="65"/>
      <c r="DT49" s="65"/>
      <c r="DU49" s="65"/>
      <c r="DV49" s="65"/>
      <c r="DW49" s="65"/>
      <c r="DX49" s="65"/>
      <c r="DY49" s="65"/>
      <c r="DZ49" s="65"/>
      <c r="EA49" s="65"/>
      <c r="EB49" s="65"/>
      <c r="EC49" s="65"/>
      <c r="ED49" s="65"/>
      <c r="EE49" s="65"/>
      <c r="EF49" s="65"/>
      <c r="EG49" s="65"/>
      <c r="EH49" s="65"/>
      <c r="EI49" s="65"/>
      <c r="EJ49" s="65"/>
      <c r="EK49" s="65"/>
      <c r="EL49" s="65"/>
      <c r="EM49" s="65"/>
      <c r="EN49" s="65"/>
      <c r="EO49" s="65"/>
      <c r="EP49" s="65"/>
      <c r="EQ49" s="65"/>
      <c r="ER49" s="65"/>
      <c r="ES49" s="65"/>
      <c r="ET49" s="65"/>
      <c r="EU49" s="65"/>
      <c r="EV49" s="65"/>
      <c r="EW49" s="65"/>
      <c r="EX49" s="65"/>
      <c r="EY49" s="65"/>
      <c r="EZ49" s="65"/>
      <c r="FA49" s="65"/>
      <c r="FB49" s="65"/>
      <c r="FC49" s="65"/>
      <c r="FD49" s="65"/>
      <c r="FE49" s="65"/>
      <c r="FF49" s="65"/>
      <c r="FG49" s="65"/>
      <c r="FH49" s="65"/>
      <c r="FI49" s="65"/>
      <c r="FJ49" s="65"/>
      <c r="FK49" s="65"/>
      <c r="FL49" s="65"/>
      <c r="FM49" s="65"/>
      <c r="FN49" s="65"/>
      <c r="FO49" s="65"/>
      <c r="FP49" s="65"/>
      <c r="FQ49" s="65"/>
      <c r="FR49" s="65"/>
      <c r="FS49" s="65"/>
      <c r="FT49" s="65"/>
      <c r="FU49" s="65"/>
      <c r="FV49" s="65"/>
      <c r="FW49" s="65"/>
      <c r="FX49" s="65"/>
      <c r="FY49" s="65"/>
      <c r="FZ49" s="65"/>
      <c r="GA49" s="65"/>
      <c r="GB49" s="65"/>
      <c r="GC49" s="65"/>
      <c r="GD49" s="65"/>
      <c r="GE49" s="65"/>
      <c r="GF49" s="65"/>
      <c r="GG49" s="65"/>
      <c r="GH49" s="65"/>
      <c r="GI49" s="65"/>
      <c r="GJ49" s="65"/>
      <c r="GK49" s="65"/>
      <c r="GL49" s="65"/>
      <c r="GM49" s="65"/>
      <c r="GN49" s="65"/>
      <c r="GO49" s="65"/>
      <c r="GP49" s="65"/>
      <c r="GQ49" s="65"/>
      <c r="GR49" s="65"/>
      <c r="GS49" s="65"/>
      <c r="GT49" s="65"/>
      <c r="GU49" s="65"/>
      <c r="GV49" s="65"/>
      <c r="GW49" s="65"/>
      <c r="GX49" s="65"/>
      <c r="GY49" s="65"/>
      <c r="GZ49" s="65"/>
      <c r="HA49" s="65"/>
      <c r="HB49" s="65"/>
      <c r="HC49" s="65"/>
      <c r="HD49" s="65"/>
      <c r="HE49" s="65"/>
      <c r="HF49" s="65"/>
      <c r="HG49" s="65"/>
      <c r="HH49" s="65"/>
      <c r="HI49" s="65"/>
      <c r="HJ49" s="65"/>
      <c r="HK49" s="65"/>
      <c r="HL49" s="65"/>
      <c r="HM49" s="65"/>
      <c r="HN49" s="65"/>
      <c r="HO49" s="65"/>
      <c r="HP49" s="65"/>
      <c r="HQ49" s="65"/>
      <c r="HR49" s="65"/>
      <c r="HS49" s="65"/>
      <c r="HT49" s="65"/>
      <c r="HU49" s="65"/>
      <c r="HV49" s="65"/>
      <c r="HW49" s="65"/>
      <c r="HX49" s="65"/>
      <c r="HY49" s="65"/>
      <c r="HZ49" s="65"/>
      <c r="IA49" s="65"/>
      <c r="IB49" s="65"/>
      <c r="IC49" s="65"/>
      <c r="ID49" s="65"/>
      <c r="IE49" s="65"/>
      <c r="IF49" s="65"/>
      <c r="IG49" s="65"/>
      <c r="IH49" s="65"/>
      <c r="II49" s="65"/>
      <c r="IJ49" s="65"/>
      <c r="IK49" s="65"/>
      <c r="IL49" s="65"/>
      <c r="IM49" s="65"/>
      <c r="IN49" s="65"/>
      <c r="IO49" s="65"/>
      <c r="IP49" s="65"/>
      <c r="IQ49" s="65"/>
      <c r="IR49" s="65"/>
      <c r="IS49" s="65"/>
      <c r="IT49" s="65"/>
      <c r="IU49" s="65"/>
      <c r="IV49" s="65"/>
      <c r="IW49" s="65"/>
      <c r="IX49" s="65"/>
      <c r="IY49" s="65"/>
      <c r="IZ49" s="65"/>
      <c r="JA49" s="65"/>
      <c r="JB49" s="65"/>
      <c r="JC49" s="65"/>
      <c r="JD49" s="65"/>
      <c r="JE49" s="65"/>
      <c r="JF49" s="65"/>
      <c r="JG49" s="65"/>
      <c r="JH49" s="65"/>
      <c r="JI49" s="65"/>
      <c r="JJ49" s="65"/>
      <c r="JK49" s="65"/>
      <c r="JL49" s="65"/>
      <c r="JM49" s="65"/>
      <c r="JN49" s="65"/>
      <c r="JO49" s="65"/>
      <c r="JP49" s="65"/>
      <c r="JQ49" s="65"/>
      <c r="JR49" s="65"/>
      <c r="JS49" s="65"/>
      <c r="JT49" s="65"/>
      <c r="JU49" s="65"/>
      <c r="JV49" s="65"/>
      <c r="JW49" s="65"/>
      <c r="JX49" s="65"/>
      <c r="JY49" s="65"/>
      <c r="JZ49" s="65"/>
      <c r="KA49" s="65"/>
      <c r="KB49" s="65"/>
      <c r="KC49" s="65"/>
      <c r="KD49" s="65"/>
      <c r="KE49" s="65"/>
      <c r="KF49" s="65"/>
      <c r="KG49" s="65"/>
      <c r="KH49" s="65"/>
      <c r="KI49" s="65"/>
      <c r="KJ49" s="65"/>
      <c r="KK49" s="65"/>
      <c r="KL49" s="65"/>
      <c r="KM49" s="65"/>
      <c r="KN49" s="65"/>
      <c r="KO49" s="65"/>
      <c r="KP49" s="65"/>
      <c r="KQ49" s="65"/>
      <c r="KR49" s="65"/>
      <c r="KS49" s="65"/>
      <c r="KT49" s="65"/>
      <c r="KU49" s="65"/>
      <c r="KV49" s="65"/>
      <c r="KW49" s="65"/>
      <c r="KX49" s="65"/>
      <c r="KY49" s="65"/>
      <c r="KZ49" s="65"/>
      <c r="LA49" s="65"/>
      <c r="LB49" s="65"/>
      <c r="LC49" s="65"/>
      <c r="LD49" s="65"/>
      <c r="LE49" s="65"/>
      <c r="LF49" s="65"/>
      <c r="LG49" s="65"/>
      <c r="LH49" s="65"/>
      <c r="LI49" s="65"/>
      <c r="LJ49" s="65"/>
      <c r="LK49" s="65"/>
      <c r="LL49" s="65"/>
      <c r="LM49" s="65"/>
      <c r="LN49" s="65"/>
      <c r="LO49" s="65"/>
      <c r="LP49" s="65"/>
      <c r="LQ49" s="65"/>
      <c r="LR49" s="65"/>
      <c r="LS49" s="65"/>
      <c r="LT49" s="65"/>
      <c r="LU49" s="65"/>
      <c r="LV49" s="65"/>
      <c r="LW49" s="65"/>
      <c r="LX49" s="65"/>
      <c r="LY49" s="65"/>
      <c r="LZ49" s="65"/>
      <c r="MA49" s="65"/>
      <c r="MB49" s="65"/>
      <c r="MC49" s="65"/>
      <c r="MD49" s="65"/>
      <c r="ME49" s="65"/>
      <c r="MF49" s="65"/>
      <c r="MG49" s="65"/>
      <c r="MH49" s="65"/>
      <c r="MI49" s="65"/>
      <c r="MJ49" s="65"/>
      <c r="MK49" s="65"/>
      <c r="ML49" s="65"/>
      <c r="MM49" s="65"/>
      <c r="MN49" s="65"/>
      <c r="MO49" s="65"/>
      <c r="MP49" s="65"/>
      <c r="MQ49" s="65"/>
      <c r="MR49" s="65"/>
      <c r="MS49" s="65"/>
      <c r="MT49" s="65"/>
      <c r="MU49" s="65"/>
      <c r="MV49" s="65"/>
      <c r="MW49" s="65"/>
      <c r="MX49" s="65"/>
      <c r="MY49" s="65"/>
      <c r="MZ49" s="65"/>
      <c r="NA49" s="65"/>
      <c r="NB49" s="65"/>
      <c r="NC49" s="65"/>
      <c r="ND49" s="65"/>
      <c r="NE49" s="65"/>
      <c r="NF49" s="65"/>
      <c r="NG49" s="65"/>
    </row>
    <row r="50">
      <c r="A50" s="65"/>
      <c r="B50" s="65"/>
      <c r="C50" s="207"/>
      <c r="D50" s="207"/>
      <c r="E50" s="109"/>
      <c r="F50" s="107" t="s">
        <v>1384</v>
      </c>
      <c r="G50" s="109"/>
      <c r="H50" s="109"/>
      <c r="I50" s="107" t="s">
        <v>1385</v>
      </c>
      <c r="J50" s="107" t="str">
        <f t="shared" si="5"/>
        <v>Shi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  <c r="EY50" s="65"/>
      <c r="EZ50" s="65"/>
      <c r="FA50" s="65"/>
      <c r="FB50" s="65"/>
      <c r="FC50" s="65"/>
      <c r="FD50" s="65"/>
      <c r="FE50" s="65"/>
      <c r="FF50" s="65"/>
      <c r="FG50" s="65"/>
      <c r="FH50" s="65"/>
      <c r="FI50" s="65"/>
      <c r="FJ50" s="65"/>
      <c r="FK50" s="65"/>
      <c r="FL50" s="65"/>
      <c r="FM50" s="65"/>
      <c r="FN50" s="65"/>
      <c r="FO50" s="65"/>
      <c r="FP50" s="65"/>
      <c r="FQ50" s="65"/>
      <c r="FR50" s="65"/>
      <c r="FS50" s="65"/>
      <c r="FT50" s="65"/>
      <c r="FU50" s="65"/>
      <c r="FV50" s="65"/>
      <c r="FW50" s="65"/>
      <c r="FX50" s="65"/>
      <c r="FY50" s="65"/>
      <c r="FZ50" s="65"/>
      <c r="GA50" s="65"/>
      <c r="GB50" s="65"/>
      <c r="GC50" s="65"/>
      <c r="GD50" s="65"/>
      <c r="GE50" s="65"/>
      <c r="GF50" s="65"/>
      <c r="GG50" s="65"/>
      <c r="GH50" s="65"/>
      <c r="GI50" s="65"/>
      <c r="GJ50" s="65"/>
      <c r="GK50" s="65"/>
      <c r="GL50" s="65"/>
      <c r="GM50" s="65"/>
      <c r="GN50" s="65"/>
      <c r="GO50" s="65"/>
      <c r="GP50" s="65"/>
      <c r="GQ50" s="65"/>
      <c r="GR50" s="65"/>
      <c r="GS50" s="65"/>
      <c r="GT50" s="65"/>
      <c r="GU50" s="65"/>
      <c r="GV50" s="65"/>
      <c r="GW50" s="65"/>
      <c r="GX50" s="65"/>
      <c r="GY50" s="65"/>
      <c r="GZ50" s="65"/>
      <c r="HA50" s="65"/>
      <c r="HB50" s="65"/>
      <c r="HC50" s="65"/>
      <c r="HD50" s="65"/>
      <c r="HE50" s="65"/>
      <c r="HF50" s="65"/>
      <c r="HG50" s="65"/>
      <c r="HH50" s="65"/>
      <c r="HI50" s="65"/>
      <c r="HJ50" s="65"/>
      <c r="HK50" s="65"/>
      <c r="HL50" s="65"/>
      <c r="HM50" s="65"/>
      <c r="HN50" s="65"/>
      <c r="HO50" s="65"/>
      <c r="HP50" s="65"/>
      <c r="HQ50" s="65"/>
      <c r="HR50" s="65"/>
      <c r="HS50" s="65"/>
      <c r="HT50" s="65"/>
      <c r="HU50" s="65"/>
      <c r="HV50" s="65"/>
      <c r="HW50" s="65"/>
      <c r="HX50" s="65"/>
      <c r="HY50" s="65"/>
      <c r="HZ50" s="65"/>
      <c r="IA50" s="65"/>
      <c r="IB50" s="65"/>
      <c r="IC50" s="65"/>
      <c r="ID50" s="65"/>
      <c r="IE50" s="65"/>
      <c r="IF50" s="65"/>
      <c r="IG50" s="65"/>
      <c r="IH50" s="65"/>
      <c r="II50" s="65"/>
      <c r="IJ50" s="65"/>
      <c r="IK50" s="65"/>
      <c r="IL50" s="65"/>
      <c r="IM50" s="65"/>
      <c r="IN50" s="65"/>
      <c r="IO50" s="65"/>
      <c r="IP50" s="65"/>
      <c r="IQ50" s="65"/>
      <c r="IR50" s="65"/>
      <c r="IS50" s="65"/>
      <c r="IT50" s="65"/>
      <c r="IU50" s="65"/>
      <c r="IV50" s="65"/>
      <c r="IW50" s="65"/>
      <c r="IX50" s="65"/>
      <c r="IY50" s="65"/>
      <c r="IZ50" s="65"/>
      <c r="JA50" s="65"/>
      <c r="JB50" s="65"/>
      <c r="JC50" s="65"/>
      <c r="JD50" s="65"/>
      <c r="JE50" s="65"/>
      <c r="JF50" s="65"/>
      <c r="JG50" s="65"/>
      <c r="JH50" s="65"/>
      <c r="JI50" s="65"/>
      <c r="JJ50" s="65"/>
      <c r="JK50" s="65"/>
      <c r="JL50" s="65"/>
      <c r="JM50" s="65"/>
      <c r="JN50" s="65"/>
      <c r="JO50" s="65"/>
      <c r="JP50" s="65"/>
      <c r="JQ50" s="65"/>
      <c r="JR50" s="65"/>
      <c r="JS50" s="65"/>
      <c r="JT50" s="65"/>
      <c r="JU50" s="65"/>
      <c r="JV50" s="65"/>
      <c r="JW50" s="65"/>
      <c r="JX50" s="65"/>
      <c r="JY50" s="65"/>
      <c r="JZ50" s="65"/>
      <c r="KA50" s="65"/>
      <c r="KB50" s="65"/>
      <c r="KC50" s="65"/>
      <c r="KD50" s="65"/>
      <c r="KE50" s="65"/>
      <c r="KF50" s="65"/>
      <c r="KG50" s="65"/>
      <c r="KH50" s="65"/>
      <c r="KI50" s="65"/>
      <c r="KJ50" s="65"/>
      <c r="KK50" s="65"/>
      <c r="KL50" s="65"/>
      <c r="KM50" s="65"/>
      <c r="KN50" s="65"/>
      <c r="KO50" s="65"/>
      <c r="KP50" s="65"/>
      <c r="KQ50" s="65"/>
      <c r="KR50" s="65"/>
      <c r="KS50" s="65"/>
      <c r="KT50" s="65"/>
      <c r="KU50" s="65"/>
      <c r="KV50" s="65"/>
      <c r="KW50" s="65"/>
      <c r="KX50" s="65"/>
      <c r="KY50" s="65"/>
      <c r="KZ50" s="65"/>
      <c r="LA50" s="65"/>
      <c r="LB50" s="65"/>
      <c r="LC50" s="65"/>
      <c r="LD50" s="65"/>
      <c r="LE50" s="65"/>
      <c r="LF50" s="65"/>
      <c r="LG50" s="65"/>
      <c r="LH50" s="65"/>
      <c r="LI50" s="65"/>
      <c r="LJ50" s="65"/>
      <c r="LK50" s="65"/>
      <c r="LL50" s="65"/>
      <c r="LM50" s="65"/>
      <c r="LN50" s="65"/>
      <c r="LO50" s="65"/>
      <c r="LP50" s="65"/>
      <c r="LQ50" s="65"/>
      <c r="LR50" s="65"/>
      <c r="LS50" s="65"/>
      <c r="LT50" s="65"/>
      <c r="LU50" s="65"/>
      <c r="LV50" s="65"/>
      <c r="LW50" s="65"/>
      <c r="LX50" s="65"/>
      <c r="LY50" s="65"/>
      <c r="LZ50" s="65"/>
      <c r="MA50" s="65"/>
      <c r="MB50" s="65"/>
      <c r="MC50" s="65"/>
      <c r="MD50" s="65"/>
      <c r="ME50" s="65"/>
      <c r="MF50" s="65"/>
      <c r="MG50" s="65"/>
      <c r="MH50" s="65"/>
      <c r="MI50" s="65"/>
      <c r="MJ50" s="65"/>
      <c r="MK50" s="65"/>
      <c r="ML50" s="65"/>
      <c r="MM50" s="65"/>
      <c r="MN50" s="65"/>
      <c r="MO50" s="65"/>
      <c r="MP50" s="65"/>
      <c r="MQ50" s="65"/>
      <c r="MR50" s="65"/>
      <c r="MS50" s="65"/>
      <c r="MT50" s="65"/>
      <c r="MU50" s="65"/>
      <c r="MV50" s="65"/>
      <c r="MW50" s="65"/>
      <c r="MX50" s="65"/>
      <c r="MY50" s="65"/>
      <c r="MZ50" s="65"/>
      <c r="NA50" s="65"/>
      <c r="NB50" s="65"/>
      <c r="NC50" s="65"/>
      <c r="ND50" s="65"/>
      <c r="NE50" s="65"/>
      <c r="NF50" s="65"/>
      <c r="NG50" s="65"/>
    </row>
    <row r="51">
      <c r="A51" s="65"/>
      <c r="B51" s="65"/>
      <c r="C51" s="201"/>
      <c r="D51" s="201"/>
      <c r="E51" s="109"/>
      <c r="F51" s="107" t="s">
        <v>1386</v>
      </c>
      <c r="G51" s="109"/>
      <c r="H51" s="109"/>
      <c r="I51" s="107" t="s">
        <v>1387</v>
      </c>
      <c r="J51" s="107" t="str">
        <f>MID(F51,2,3)</f>
        <v>ust</v>
      </c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5"/>
      <c r="CD51" s="65"/>
      <c r="CE51" s="65"/>
      <c r="CF51" s="65"/>
      <c r="CG51" s="65"/>
      <c r="CH51" s="65"/>
      <c r="CI51" s="65"/>
      <c r="CJ51" s="65"/>
      <c r="CK51" s="65"/>
      <c r="CL51" s="65"/>
      <c r="CM51" s="65"/>
      <c r="CN51" s="65"/>
      <c r="CO51" s="65"/>
      <c r="CP51" s="65"/>
      <c r="CQ51" s="65"/>
      <c r="CR51" s="65"/>
      <c r="CS51" s="65"/>
      <c r="CT51" s="65"/>
      <c r="CU51" s="65"/>
      <c r="CV51" s="65"/>
      <c r="CW51" s="65"/>
      <c r="CX51" s="65"/>
      <c r="CY51" s="65"/>
      <c r="CZ51" s="65"/>
      <c r="DA51" s="65"/>
      <c r="DB51" s="65"/>
      <c r="DC51" s="65"/>
      <c r="DD51" s="65"/>
      <c r="DE51" s="65"/>
      <c r="DF51" s="65"/>
      <c r="DG51" s="65"/>
      <c r="DH51" s="65"/>
      <c r="DI51" s="65"/>
      <c r="DJ51" s="65"/>
      <c r="DK51" s="65"/>
      <c r="DL51" s="65"/>
      <c r="DM51" s="65"/>
      <c r="DN51" s="65"/>
      <c r="DO51" s="65"/>
      <c r="DP51" s="65"/>
      <c r="DQ51" s="65"/>
      <c r="DR51" s="65"/>
      <c r="DS51" s="65"/>
      <c r="DT51" s="65"/>
      <c r="DU51" s="65"/>
      <c r="DV51" s="65"/>
      <c r="DW51" s="65"/>
      <c r="DX51" s="65"/>
      <c r="DY51" s="65"/>
      <c r="DZ51" s="65"/>
      <c r="EA51" s="65"/>
      <c r="EB51" s="65"/>
      <c r="EC51" s="65"/>
      <c r="ED51" s="65"/>
      <c r="EE51" s="65"/>
      <c r="EF51" s="65"/>
      <c r="EG51" s="65"/>
      <c r="EH51" s="65"/>
      <c r="EI51" s="65"/>
      <c r="EJ51" s="65"/>
      <c r="EK51" s="65"/>
      <c r="EL51" s="65"/>
      <c r="EM51" s="65"/>
      <c r="EN51" s="65"/>
      <c r="EO51" s="65"/>
      <c r="EP51" s="65"/>
      <c r="EQ51" s="65"/>
      <c r="ER51" s="65"/>
      <c r="ES51" s="65"/>
      <c r="ET51" s="65"/>
      <c r="EU51" s="65"/>
      <c r="EV51" s="65"/>
      <c r="EW51" s="65"/>
      <c r="EX51" s="65"/>
      <c r="EY51" s="65"/>
      <c r="EZ51" s="65"/>
      <c r="FA51" s="65"/>
      <c r="FB51" s="65"/>
      <c r="FC51" s="65"/>
      <c r="FD51" s="65"/>
      <c r="FE51" s="65"/>
      <c r="FF51" s="65"/>
      <c r="FG51" s="65"/>
      <c r="FH51" s="65"/>
      <c r="FI51" s="65"/>
      <c r="FJ51" s="65"/>
      <c r="FK51" s="65"/>
      <c r="FL51" s="65"/>
      <c r="FM51" s="65"/>
      <c r="FN51" s="65"/>
      <c r="FO51" s="65"/>
      <c r="FP51" s="65"/>
      <c r="FQ51" s="65"/>
      <c r="FR51" s="65"/>
      <c r="FS51" s="65"/>
      <c r="FT51" s="65"/>
      <c r="FU51" s="65"/>
      <c r="FV51" s="65"/>
      <c r="FW51" s="65"/>
      <c r="FX51" s="65"/>
      <c r="FY51" s="65"/>
      <c r="FZ51" s="65"/>
      <c r="GA51" s="65"/>
      <c r="GB51" s="65"/>
      <c r="GC51" s="65"/>
      <c r="GD51" s="65"/>
      <c r="GE51" s="65"/>
      <c r="GF51" s="65"/>
      <c r="GG51" s="65"/>
      <c r="GH51" s="65"/>
      <c r="GI51" s="65"/>
      <c r="GJ51" s="65"/>
      <c r="GK51" s="65"/>
      <c r="GL51" s="65"/>
      <c r="GM51" s="65"/>
      <c r="GN51" s="65"/>
      <c r="GO51" s="65"/>
      <c r="GP51" s="65"/>
      <c r="GQ51" s="65"/>
      <c r="GR51" s="65"/>
      <c r="GS51" s="65"/>
      <c r="GT51" s="65"/>
      <c r="GU51" s="65"/>
      <c r="GV51" s="65"/>
      <c r="GW51" s="65"/>
      <c r="GX51" s="65"/>
      <c r="GY51" s="65"/>
      <c r="GZ51" s="65"/>
      <c r="HA51" s="65"/>
      <c r="HB51" s="65"/>
      <c r="HC51" s="65"/>
      <c r="HD51" s="65"/>
      <c r="HE51" s="65"/>
      <c r="HF51" s="65"/>
      <c r="HG51" s="65"/>
      <c r="HH51" s="65"/>
      <c r="HI51" s="65"/>
      <c r="HJ51" s="65"/>
      <c r="HK51" s="65"/>
      <c r="HL51" s="65"/>
      <c r="HM51" s="65"/>
      <c r="HN51" s="65"/>
      <c r="HO51" s="65"/>
      <c r="HP51" s="65"/>
      <c r="HQ51" s="65"/>
      <c r="HR51" s="65"/>
      <c r="HS51" s="65"/>
      <c r="HT51" s="65"/>
      <c r="HU51" s="65"/>
      <c r="HV51" s="65"/>
      <c r="HW51" s="65"/>
      <c r="HX51" s="65"/>
      <c r="HY51" s="65"/>
      <c r="HZ51" s="65"/>
      <c r="IA51" s="65"/>
      <c r="IB51" s="65"/>
      <c r="IC51" s="65"/>
      <c r="ID51" s="65"/>
      <c r="IE51" s="65"/>
      <c r="IF51" s="65"/>
      <c r="IG51" s="65"/>
      <c r="IH51" s="65"/>
      <c r="II51" s="65"/>
      <c r="IJ51" s="65"/>
      <c r="IK51" s="65"/>
      <c r="IL51" s="65"/>
      <c r="IM51" s="65"/>
      <c r="IN51" s="65"/>
      <c r="IO51" s="65"/>
      <c r="IP51" s="65"/>
      <c r="IQ51" s="65"/>
      <c r="IR51" s="65"/>
      <c r="IS51" s="65"/>
      <c r="IT51" s="65"/>
      <c r="IU51" s="65"/>
      <c r="IV51" s="65"/>
      <c r="IW51" s="65"/>
      <c r="IX51" s="65"/>
      <c r="IY51" s="65"/>
      <c r="IZ51" s="65"/>
      <c r="JA51" s="65"/>
      <c r="JB51" s="65"/>
      <c r="JC51" s="65"/>
      <c r="JD51" s="65"/>
      <c r="JE51" s="65"/>
      <c r="JF51" s="65"/>
      <c r="JG51" s="65"/>
      <c r="JH51" s="65"/>
      <c r="JI51" s="65"/>
      <c r="JJ51" s="65"/>
      <c r="JK51" s="65"/>
      <c r="JL51" s="65"/>
      <c r="JM51" s="65"/>
      <c r="JN51" s="65"/>
      <c r="JO51" s="65"/>
      <c r="JP51" s="65"/>
      <c r="JQ51" s="65"/>
      <c r="JR51" s="65"/>
      <c r="JS51" s="65"/>
      <c r="JT51" s="65"/>
      <c r="JU51" s="65"/>
      <c r="JV51" s="65"/>
      <c r="JW51" s="65"/>
      <c r="JX51" s="65"/>
      <c r="JY51" s="65"/>
      <c r="JZ51" s="65"/>
      <c r="KA51" s="65"/>
      <c r="KB51" s="65"/>
      <c r="KC51" s="65"/>
      <c r="KD51" s="65"/>
      <c r="KE51" s="65"/>
      <c r="KF51" s="65"/>
      <c r="KG51" s="65"/>
      <c r="KH51" s="65"/>
      <c r="KI51" s="65"/>
      <c r="KJ51" s="65"/>
      <c r="KK51" s="65"/>
      <c r="KL51" s="65"/>
      <c r="KM51" s="65"/>
      <c r="KN51" s="65"/>
      <c r="KO51" s="65"/>
      <c r="KP51" s="65"/>
      <c r="KQ51" s="65"/>
      <c r="KR51" s="65"/>
      <c r="KS51" s="65"/>
      <c r="KT51" s="65"/>
      <c r="KU51" s="65"/>
      <c r="KV51" s="65"/>
      <c r="KW51" s="65"/>
      <c r="KX51" s="65"/>
      <c r="KY51" s="65"/>
      <c r="KZ51" s="65"/>
      <c r="LA51" s="65"/>
      <c r="LB51" s="65"/>
      <c r="LC51" s="65"/>
      <c r="LD51" s="65"/>
      <c r="LE51" s="65"/>
      <c r="LF51" s="65"/>
      <c r="LG51" s="65"/>
      <c r="LH51" s="65"/>
      <c r="LI51" s="65"/>
      <c r="LJ51" s="65"/>
      <c r="LK51" s="65"/>
      <c r="LL51" s="65"/>
      <c r="LM51" s="65"/>
      <c r="LN51" s="65"/>
      <c r="LO51" s="65"/>
      <c r="LP51" s="65"/>
      <c r="LQ51" s="65"/>
      <c r="LR51" s="65"/>
      <c r="LS51" s="65"/>
      <c r="LT51" s="65"/>
      <c r="LU51" s="65"/>
      <c r="LV51" s="65"/>
      <c r="LW51" s="65"/>
      <c r="LX51" s="65"/>
      <c r="LY51" s="65"/>
      <c r="LZ51" s="65"/>
      <c r="MA51" s="65"/>
      <c r="MB51" s="65"/>
      <c r="MC51" s="65"/>
      <c r="MD51" s="65"/>
      <c r="ME51" s="65"/>
      <c r="MF51" s="65"/>
      <c r="MG51" s="65"/>
      <c r="MH51" s="65"/>
      <c r="MI51" s="65"/>
      <c r="MJ51" s="65"/>
      <c r="MK51" s="65"/>
      <c r="ML51" s="65"/>
      <c r="MM51" s="65"/>
      <c r="MN51" s="65"/>
      <c r="MO51" s="65"/>
      <c r="MP51" s="65"/>
      <c r="MQ51" s="65"/>
      <c r="MR51" s="65"/>
      <c r="MS51" s="65"/>
      <c r="MT51" s="65"/>
      <c r="MU51" s="65"/>
      <c r="MV51" s="65"/>
      <c r="MW51" s="65"/>
      <c r="MX51" s="65"/>
      <c r="MY51" s="65"/>
      <c r="MZ51" s="65"/>
      <c r="NA51" s="65"/>
      <c r="NB51" s="65"/>
      <c r="NC51" s="65"/>
      <c r="ND51" s="65"/>
      <c r="NE51" s="65"/>
      <c r="NF51" s="65"/>
      <c r="NG51" s="65"/>
    </row>
    <row r="52">
      <c r="A52" s="65"/>
      <c r="B52" s="65"/>
      <c r="C52" s="209"/>
      <c r="D52" s="209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5"/>
      <c r="BH52" s="65"/>
      <c r="BI52" s="65"/>
      <c r="BJ52" s="65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  <c r="CE52" s="65"/>
      <c r="CF52" s="65"/>
      <c r="CG52" s="65"/>
      <c r="CH52" s="65"/>
      <c r="CI52" s="65"/>
      <c r="CJ52" s="65"/>
      <c r="CK52" s="65"/>
      <c r="CL52" s="65"/>
      <c r="CM52" s="65"/>
      <c r="CN52" s="65"/>
      <c r="CO52" s="65"/>
      <c r="CP52" s="65"/>
      <c r="CQ52" s="65"/>
      <c r="CR52" s="65"/>
      <c r="CS52" s="65"/>
      <c r="CT52" s="65"/>
      <c r="CU52" s="65"/>
      <c r="CV52" s="65"/>
      <c r="CW52" s="65"/>
      <c r="CX52" s="65"/>
      <c r="CY52" s="65"/>
      <c r="CZ52" s="65"/>
      <c r="DA52" s="65"/>
      <c r="DB52" s="65"/>
      <c r="DC52" s="65"/>
      <c r="DD52" s="65"/>
      <c r="DE52" s="65"/>
      <c r="DF52" s="65"/>
      <c r="DG52" s="65"/>
      <c r="DH52" s="65"/>
      <c r="DI52" s="65"/>
      <c r="DJ52" s="65"/>
      <c r="DK52" s="65"/>
      <c r="DL52" s="65"/>
      <c r="DM52" s="65"/>
      <c r="DN52" s="65"/>
      <c r="DO52" s="65"/>
      <c r="DP52" s="65"/>
      <c r="DQ52" s="65"/>
      <c r="DR52" s="65"/>
      <c r="DS52" s="65"/>
      <c r="DT52" s="65"/>
      <c r="DU52" s="65"/>
      <c r="DV52" s="65"/>
      <c r="DW52" s="65"/>
      <c r="DX52" s="65"/>
      <c r="DY52" s="65"/>
      <c r="DZ52" s="65"/>
      <c r="EA52" s="65"/>
      <c r="EB52" s="65"/>
      <c r="EC52" s="65"/>
      <c r="ED52" s="65"/>
      <c r="EE52" s="65"/>
      <c r="EF52" s="65"/>
      <c r="EG52" s="65"/>
      <c r="EH52" s="65"/>
      <c r="EI52" s="65"/>
      <c r="EJ52" s="65"/>
      <c r="EK52" s="65"/>
      <c r="EL52" s="65"/>
      <c r="EM52" s="65"/>
      <c r="EN52" s="65"/>
      <c r="EO52" s="65"/>
      <c r="EP52" s="65"/>
      <c r="EQ52" s="65"/>
      <c r="ER52" s="65"/>
      <c r="ES52" s="65"/>
      <c r="ET52" s="65"/>
      <c r="EU52" s="65"/>
      <c r="EV52" s="65"/>
      <c r="EW52" s="65"/>
      <c r="EX52" s="65"/>
      <c r="EY52" s="65"/>
      <c r="EZ52" s="65"/>
      <c r="FA52" s="65"/>
      <c r="FB52" s="65"/>
      <c r="FC52" s="65"/>
      <c r="FD52" s="65"/>
      <c r="FE52" s="65"/>
      <c r="FF52" s="65"/>
      <c r="FG52" s="65"/>
      <c r="FH52" s="65"/>
      <c r="FI52" s="65"/>
      <c r="FJ52" s="65"/>
      <c r="FK52" s="65"/>
      <c r="FL52" s="65"/>
      <c r="FM52" s="65"/>
      <c r="FN52" s="65"/>
      <c r="FO52" s="65"/>
      <c r="FP52" s="65"/>
      <c r="FQ52" s="65"/>
      <c r="FR52" s="65"/>
      <c r="FS52" s="65"/>
      <c r="FT52" s="65"/>
      <c r="FU52" s="65"/>
      <c r="FV52" s="65"/>
      <c r="FW52" s="65"/>
      <c r="FX52" s="65"/>
      <c r="FY52" s="65"/>
      <c r="FZ52" s="65"/>
      <c r="GA52" s="65"/>
      <c r="GB52" s="65"/>
      <c r="GC52" s="65"/>
      <c r="GD52" s="65"/>
      <c r="GE52" s="65"/>
      <c r="GF52" s="65"/>
      <c r="GG52" s="65"/>
      <c r="GH52" s="65"/>
      <c r="GI52" s="65"/>
      <c r="GJ52" s="65"/>
      <c r="GK52" s="65"/>
      <c r="GL52" s="65"/>
      <c r="GM52" s="65"/>
      <c r="GN52" s="65"/>
      <c r="GO52" s="65"/>
      <c r="GP52" s="65"/>
      <c r="GQ52" s="65"/>
      <c r="GR52" s="65"/>
      <c r="GS52" s="65"/>
      <c r="GT52" s="65"/>
      <c r="GU52" s="65"/>
      <c r="GV52" s="65"/>
      <c r="GW52" s="65"/>
      <c r="GX52" s="65"/>
      <c r="GY52" s="65"/>
      <c r="GZ52" s="65"/>
      <c r="HA52" s="65"/>
      <c r="HB52" s="65"/>
      <c r="HC52" s="65"/>
      <c r="HD52" s="65"/>
      <c r="HE52" s="65"/>
      <c r="HF52" s="65"/>
      <c r="HG52" s="65"/>
      <c r="HH52" s="65"/>
      <c r="HI52" s="65"/>
      <c r="HJ52" s="65"/>
      <c r="HK52" s="65"/>
      <c r="HL52" s="65"/>
      <c r="HM52" s="65"/>
      <c r="HN52" s="65"/>
      <c r="HO52" s="65"/>
      <c r="HP52" s="65"/>
      <c r="HQ52" s="65"/>
      <c r="HR52" s="65"/>
      <c r="HS52" s="65"/>
      <c r="HT52" s="65"/>
      <c r="HU52" s="65"/>
      <c r="HV52" s="65"/>
      <c r="HW52" s="65"/>
      <c r="HX52" s="65"/>
      <c r="HY52" s="65"/>
      <c r="HZ52" s="65"/>
      <c r="IA52" s="65"/>
      <c r="IB52" s="65"/>
      <c r="IC52" s="65"/>
      <c r="ID52" s="65"/>
      <c r="IE52" s="65"/>
      <c r="IF52" s="65"/>
      <c r="IG52" s="65"/>
      <c r="IH52" s="65"/>
      <c r="II52" s="65"/>
      <c r="IJ52" s="65"/>
      <c r="IK52" s="65"/>
      <c r="IL52" s="65"/>
      <c r="IM52" s="65"/>
      <c r="IN52" s="65"/>
      <c r="IO52" s="65"/>
      <c r="IP52" s="65"/>
      <c r="IQ52" s="65"/>
      <c r="IR52" s="65"/>
      <c r="IS52" s="65"/>
      <c r="IT52" s="65"/>
      <c r="IU52" s="65"/>
      <c r="IV52" s="65"/>
      <c r="IW52" s="65"/>
      <c r="IX52" s="65"/>
      <c r="IY52" s="65"/>
      <c r="IZ52" s="65"/>
      <c r="JA52" s="65"/>
      <c r="JB52" s="65"/>
      <c r="JC52" s="65"/>
      <c r="JD52" s="65"/>
      <c r="JE52" s="65"/>
      <c r="JF52" s="65"/>
      <c r="JG52" s="65"/>
      <c r="JH52" s="65"/>
      <c r="JI52" s="65"/>
      <c r="JJ52" s="65"/>
      <c r="JK52" s="65"/>
      <c r="JL52" s="65"/>
      <c r="JM52" s="65"/>
      <c r="JN52" s="65"/>
      <c r="JO52" s="65"/>
      <c r="JP52" s="65"/>
      <c r="JQ52" s="65"/>
      <c r="JR52" s="65"/>
      <c r="JS52" s="65"/>
      <c r="JT52" s="65"/>
      <c r="JU52" s="65"/>
      <c r="JV52" s="65"/>
      <c r="JW52" s="65"/>
      <c r="JX52" s="65"/>
      <c r="JY52" s="65"/>
      <c r="JZ52" s="65"/>
      <c r="KA52" s="65"/>
      <c r="KB52" s="65"/>
      <c r="KC52" s="65"/>
      <c r="KD52" s="65"/>
      <c r="KE52" s="65"/>
      <c r="KF52" s="65"/>
      <c r="KG52" s="65"/>
      <c r="KH52" s="65"/>
      <c r="KI52" s="65"/>
      <c r="KJ52" s="65"/>
      <c r="KK52" s="65"/>
      <c r="KL52" s="65"/>
      <c r="KM52" s="65"/>
      <c r="KN52" s="65"/>
      <c r="KO52" s="65"/>
      <c r="KP52" s="65"/>
      <c r="KQ52" s="65"/>
      <c r="KR52" s="65"/>
      <c r="KS52" s="65"/>
      <c r="KT52" s="65"/>
      <c r="KU52" s="65"/>
      <c r="KV52" s="65"/>
      <c r="KW52" s="65"/>
      <c r="KX52" s="65"/>
      <c r="KY52" s="65"/>
      <c r="KZ52" s="65"/>
      <c r="LA52" s="65"/>
      <c r="LB52" s="65"/>
      <c r="LC52" s="65"/>
      <c r="LD52" s="65"/>
      <c r="LE52" s="65"/>
      <c r="LF52" s="65"/>
      <c r="LG52" s="65"/>
      <c r="LH52" s="65"/>
      <c r="LI52" s="65"/>
      <c r="LJ52" s="65"/>
      <c r="LK52" s="65"/>
      <c r="LL52" s="65"/>
      <c r="LM52" s="65"/>
      <c r="LN52" s="65"/>
      <c r="LO52" s="65"/>
      <c r="LP52" s="65"/>
      <c r="LQ52" s="65"/>
      <c r="LR52" s="65"/>
      <c r="LS52" s="65"/>
      <c r="LT52" s="65"/>
      <c r="LU52" s="65"/>
      <c r="LV52" s="65"/>
      <c r="LW52" s="65"/>
      <c r="LX52" s="65"/>
      <c r="LY52" s="65"/>
      <c r="LZ52" s="65"/>
      <c r="MA52" s="65"/>
      <c r="MB52" s="65"/>
      <c r="MC52" s="65"/>
      <c r="MD52" s="65"/>
      <c r="ME52" s="65"/>
      <c r="MF52" s="65"/>
      <c r="MG52" s="65"/>
      <c r="MH52" s="65"/>
      <c r="MI52" s="65"/>
      <c r="MJ52" s="65"/>
      <c r="MK52" s="65"/>
      <c r="ML52" s="65"/>
      <c r="MM52" s="65"/>
      <c r="MN52" s="65"/>
      <c r="MO52" s="65"/>
      <c r="MP52" s="65"/>
      <c r="MQ52" s="65"/>
      <c r="MR52" s="65"/>
      <c r="MS52" s="65"/>
      <c r="MT52" s="65"/>
      <c r="MU52" s="65"/>
      <c r="MV52" s="65"/>
      <c r="MW52" s="65"/>
      <c r="MX52" s="65"/>
      <c r="MY52" s="65"/>
      <c r="MZ52" s="65"/>
      <c r="NA52" s="65"/>
      <c r="NB52" s="65"/>
      <c r="NC52" s="65"/>
      <c r="ND52" s="65"/>
      <c r="NE52" s="65"/>
      <c r="NF52" s="65"/>
      <c r="NG52" s="65"/>
    </row>
    <row r="53">
      <c r="A53" s="65"/>
      <c r="B53" s="65"/>
      <c r="C53" s="205">
        <v>10.0</v>
      </c>
      <c r="D53" s="205" t="s">
        <v>79</v>
      </c>
      <c r="E53" s="212"/>
      <c r="F53" s="213" t="s">
        <v>1388</v>
      </c>
      <c r="G53" s="212"/>
      <c r="H53" s="212"/>
      <c r="I53" s="213" t="s">
        <v>1389</v>
      </c>
      <c r="J53" s="213" t="str">
        <f t="shared" ref="J53:J57" si="6">LOWER(F53)</f>
        <v>5sos</v>
      </c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5"/>
      <c r="BH53" s="65"/>
      <c r="BI53" s="65"/>
      <c r="BJ53" s="65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5"/>
      <c r="CD53" s="65"/>
      <c r="CE53" s="65"/>
      <c r="CF53" s="65"/>
      <c r="CG53" s="65"/>
      <c r="CH53" s="65"/>
      <c r="CI53" s="65"/>
      <c r="CJ53" s="65"/>
      <c r="CK53" s="65"/>
      <c r="CL53" s="65"/>
      <c r="CM53" s="65"/>
      <c r="CN53" s="65"/>
      <c r="CO53" s="65"/>
      <c r="CP53" s="65"/>
      <c r="CQ53" s="65"/>
      <c r="CR53" s="65"/>
      <c r="CS53" s="65"/>
      <c r="CT53" s="65"/>
      <c r="CU53" s="65"/>
      <c r="CV53" s="65"/>
      <c r="CW53" s="65"/>
      <c r="CX53" s="65"/>
      <c r="CY53" s="65"/>
      <c r="CZ53" s="65"/>
      <c r="DA53" s="65"/>
      <c r="DB53" s="65"/>
      <c r="DC53" s="65"/>
      <c r="DD53" s="65"/>
      <c r="DE53" s="65"/>
      <c r="DF53" s="65"/>
      <c r="DG53" s="65"/>
      <c r="DH53" s="65"/>
      <c r="DI53" s="65"/>
      <c r="DJ53" s="65"/>
      <c r="DK53" s="65"/>
      <c r="DL53" s="65"/>
      <c r="DM53" s="65"/>
      <c r="DN53" s="65"/>
      <c r="DO53" s="65"/>
      <c r="DP53" s="65"/>
      <c r="DQ53" s="65"/>
      <c r="DR53" s="65"/>
      <c r="DS53" s="65"/>
      <c r="DT53" s="65"/>
      <c r="DU53" s="65"/>
      <c r="DV53" s="65"/>
      <c r="DW53" s="65"/>
      <c r="DX53" s="65"/>
      <c r="DY53" s="65"/>
      <c r="DZ53" s="65"/>
      <c r="EA53" s="65"/>
      <c r="EB53" s="65"/>
      <c r="EC53" s="65"/>
      <c r="ED53" s="65"/>
      <c r="EE53" s="65"/>
      <c r="EF53" s="65"/>
      <c r="EG53" s="65"/>
      <c r="EH53" s="65"/>
      <c r="EI53" s="65"/>
      <c r="EJ53" s="65"/>
      <c r="EK53" s="65"/>
      <c r="EL53" s="65"/>
      <c r="EM53" s="65"/>
      <c r="EN53" s="65"/>
      <c r="EO53" s="65"/>
      <c r="EP53" s="65"/>
      <c r="EQ53" s="65"/>
      <c r="ER53" s="65"/>
      <c r="ES53" s="65"/>
      <c r="ET53" s="65"/>
      <c r="EU53" s="65"/>
      <c r="EV53" s="65"/>
      <c r="EW53" s="65"/>
      <c r="EX53" s="65"/>
      <c r="EY53" s="65"/>
      <c r="EZ53" s="65"/>
      <c r="FA53" s="65"/>
      <c r="FB53" s="65"/>
      <c r="FC53" s="65"/>
      <c r="FD53" s="65"/>
      <c r="FE53" s="65"/>
      <c r="FF53" s="65"/>
      <c r="FG53" s="65"/>
      <c r="FH53" s="65"/>
      <c r="FI53" s="65"/>
      <c r="FJ53" s="65"/>
      <c r="FK53" s="65"/>
      <c r="FL53" s="65"/>
      <c r="FM53" s="65"/>
      <c r="FN53" s="65"/>
      <c r="FO53" s="65"/>
      <c r="FP53" s="65"/>
      <c r="FQ53" s="65"/>
      <c r="FR53" s="65"/>
      <c r="FS53" s="65"/>
      <c r="FT53" s="65"/>
      <c r="FU53" s="65"/>
      <c r="FV53" s="65"/>
      <c r="FW53" s="65"/>
      <c r="FX53" s="65"/>
      <c r="FY53" s="65"/>
      <c r="FZ53" s="65"/>
      <c r="GA53" s="65"/>
      <c r="GB53" s="65"/>
      <c r="GC53" s="65"/>
      <c r="GD53" s="65"/>
      <c r="GE53" s="65"/>
      <c r="GF53" s="65"/>
      <c r="GG53" s="65"/>
      <c r="GH53" s="65"/>
      <c r="GI53" s="65"/>
      <c r="GJ53" s="65"/>
      <c r="GK53" s="65"/>
      <c r="GL53" s="65"/>
      <c r="GM53" s="65"/>
      <c r="GN53" s="65"/>
      <c r="GO53" s="65"/>
      <c r="GP53" s="65"/>
      <c r="GQ53" s="65"/>
      <c r="GR53" s="65"/>
      <c r="GS53" s="65"/>
      <c r="GT53" s="65"/>
      <c r="GU53" s="65"/>
      <c r="GV53" s="65"/>
      <c r="GW53" s="65"/>
      <c r="GX53" s="65"/>
      <c r="GY53" s="65"/>
      <c r="GZ53" s="65"/>
      <c r="HA53" s="65"/>
      <c r="HB53" s="65"/>
      <c r="HC53" s="65"/>
      <c r="HD53" s="65"/>
      <c r="HE53" s="65"/>
      <c r="HF53" s="65"/>
      <c r="HG53" s="65"/>
      <c r="HH53" s="65"/>
      <c r="HI53" s="65"/>
      <c r="HJ53" s="65"/>
      <c r="HK53" s="65"/>
      <c r="HL53" s="65"/>
      <c r="HM53" s="65"/>
      <c r="HN53" s="65"/>
      <c r="HO53" s="65"/>
      <c r="HP53" s="65"/>
      <c r="HQ53" s="65"/>
      <c r="HR53" s="65"/>
      <c r="HS53" s="65"/>
      <c r="HT53" s="65"/>
      <c r="HU53" s="65"/>
      <c r="HV53" s="65"/>
      <c r="HW53" s="65"/>
      <c r="HX53" s="65"/>
      <c r="HY53" s="65"/>
      <c r="HZ53" s="65"/>
      <c r="IA53" s="65"/>
      <c r="IB53" s="65"/>
      <c r="IC53" s="65"/>
      <c r="ID53" s="65"/>
      <c r="IE53" s="65"/>
      <c r="IF53" s="65"/>
      <c r="IG53" s="65"/>
      <c r="IH53" s="65"/>
      <c r="II53" s="65"/>
      <c r="IJ53" s="65"/>
      <c r="IK53" s="65"/>
      <c r="IL53" s="65"/>
      <c r="IM53" s="65"/>
      <c r="IN53" s="65"/>
      <c r="IO53" s="65"/>
      <c r="IP53" s="65"/>
      <c r="IQ53" s="65"/>
      <c r="IR53" s="65"/>
      <c r="IS53" s="65"/>
      <c r="IT53" s="65"/>
      <c r="IU53" s="65"/>
      <c r="IV53" s="65"/>
      <c r="IW53" s="65"/>
      <c r="IX53" s="65"/>
      <c r="IY53" s="65"/>
      <c r="IZ53" s="65"/>
      <c r="JA53" s="65"/>
      <c r="JB53" s="65"/>
      <c r="JC53" s="65"/>
      <c r="JD53" s="65"/>
      <c r="JE53" s="65"/>
      <c r="JF53" s="65"/>
      <c r="JG53" s="65"/>
      <c r="JH53" s="65"/>
      <c r="JI53" s="65"/>
      <c r="JJ53" s="65"/>
      <c r="JK53" s="65"/>
      <c r="JL53" s="65"/>
      <c r="JM53" s="65"/>
      <c r="JN53" s="65"/>
      <c r="JO53" s="65"/>
      <c r="JP53" s="65"/>
      <c r="JQ53" s="65"/>
      <c r="JR53" s="65"/>
      <c r="JS53" s="65"/>
      <c r="JT53" s="65"/>
      <c r="JU53" s="65"/>
      <c r="JV53" s="65"/>
      <c r="JW53" s="65"/>
      <c r="JX53" s="65"/>
      <c r="JY53" s="65"/>
      <c r="JZ53" s="65"/>
      <c r="KA53" s="65"/>
      <c r="KB53" s="65"/>
      <c r="KC53" s="65"/>
      <c r="KD53" s="65"/>
      <c r="KE53" s="65"/>
      <c r="KF53" s="65"/>
      <c r="KG53" s="65"/>
      <c r="KH53" s="65"/>
      <c r="KI53" s="65"/>
      <c r="KJ53" s="65"/>
      <c r="KK53" s="65"/>
      <c r="KL53" s="65"/>
      <c r="KM53" s="65"/>
      <c r="KN53" s="65"/>
      <c r="KO53" s="65"/>
      <c r="KP53" s="65"/>
      <c r="KQ53" s="65"/>
      <c r="KR53" s="65"/>
      <c r="KS53" s="65"/>
      <c r="KT53" s="65"/>
      <c r="KU53" s="65"/>
      <c r="KV53" s="65"/>
      <c r="KW53" s="65"/>
      <c r="KX53" s="65"/>
      <c r="KY53" s="65"/>
      <c r="KZ53" s="65"/>
      <c r="LA53" s="65"/>
      <c r="LB53" s="65"/>
      <c r="LC53" s="65"/>
      <c r="LD53" s="65"/>
      <c r="LE53" s="65"/>
      <c r="LF53" s="65"/>
      <c r="LG53" s="65"/>
      <c r="LH53" s="65"/>
      <c r="LI53" s="65"/>
      <c r="LJ53" s="65"/>
      <c r="LK53" s="65"/>
      <c r="LL53" s="65"/>
      <c r="LM53" s="65"/>
      <c r="LN53" s="65"/>
      <c r="LO53" s="65"/>
      <c r="LP53" s="65"/>
      <c r="LQ53" s="65"/>
      <c r="LR53" s="65"/>
      <c r="LS53" s="65"/>
      <c r="LT53" s="65"/>
      <c r="LU53" s="65"/>
      <c r="LV53" s="65"/>
      <c r="LW53" s="65"/>
      <c r="LX53" s="65"/>
      <c r="LY53" s="65"/>
      <c r="LZ53" s="65"/>
      <c r="MA53" s="65"/>
      <c r="MB53" s="65"/>
      <c r="MC53" s="65"/>
      <c r="MD53" s="65"/>
      <c r="ME53" s="65"/>
      <c r="MF53" s="65"/>
      <c r="MG53" s="65"/>
      <c r="MH53" s="65"/>
      <c r="MI53" s="65"/>
      <c r="MJ53" s="65"/>
      <c r="MK53" s="65"/>
      <c r="ML53" s="65"/>
      <c r="MM53" s="65"/>
      <c r="MN53" s="65"/>
      <c r="MO53" s="65"/>
      <c r="MP53" s="65"/>
      <c r="MQ53" s="65"/>
      <c r="MR53" s="65"/>
      <c r="MS53" s="65"/>
      <c r="MT53" s="65"/>
      <c r="MU53" s="65"/>
      <c r="MV53" s="65"/>
      <c r="MW53" s="65"/>
      <c r="MX53" s="65"/>
      <c r="MY53" s="65"/>
      <c r="MZ53" s="65"/>
      <c r="NA53" s="65"/>
      <c r="NB53" s="65"/>
      <c r="NC53" s="65"/>
      <c r="ND53" s="65"/>
      <c r="NE53" s="65"/>
      <c r="NF53" s="65"/>
      <c r="NG53" s="65"/>
    </row>
    <row r="54">
      <c r="A54" s="65"/>
      <c r="B54" s="65"/>
      <c r="C54" s="207"/>
      <c r="D54" s="207"/>
      <c r="E54" s="212"/>
      <c r="F54" s="213" t="s">
        <v>1390</v>
      </c>
      <c r="G54" s="212"/>
      <c r="H54" s="212"/>
      <c r="I54" s="213" t="s">
        <v>1391</v>
      </c>
      <c r="J54" s="213" t="str">
        <f t="shared" si="6"/>
        <v>better</v>
      </c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5"/>
      <c r="BH54" s="65"/>
      <c r="BI54" s="65"/>
      <c r="BJ54" s="65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  <c r="CE54" s="65"/>
      <c r="CF54" s="65"/>
      <c r="CG54" s="65"/>
      <c r="CH54" s="65"/>
      <c r="CI54" s="65"/>
      <c r="CJ54" s="65"/>
      <c r="CK54" s="65"/>
      <c r="CL54" s="65"/>
      <c r="CM54" s="65"/>
      <c r="CN54" s="65"/>
      <c r="CO54" s="65"/>
      <c r="CP54" s="65"/>
      <c r="CQ54" s="65"/>
      <c r="CR54" s="65"/>
      <c r="CS54" s="65"/>
      <c r="CT54" s="65"/>
      <c r="CU54" s="65"/>
      <c r="CV54" s="65"/>
      <c r="CW54" s="65"/>
      <c r="CX54" s="65"/>
      <c r="CY54" s="65"/>
      <c r="CZ54" s="65"/>
      <c r="DA54" s="65"/>
      <c r="DB54" s="65"/>
      <c r="DC54" s="65"/>
      <c r="DD54" s="65"/>
      <c r="DE54" s="65"/>
      <c r="DF54" s="65"/>
      <c r="DG54" s="65"/>
      <c r="DH54" s="65"/>
      <c r="DI54" s="65"/>
      <c r="DJ54" s="65"/>
      <c r="DK54" s="65"/>
      <c r="DL54" s="65"/>
      <c r="DM54" s="65"/>
      <c r="DN54" s="65"/>
      <c r="DO54" s="65"/>
      <c r="DP54" s="65"/>
      <c r="DQ54" s="65"/>
      <c r="DR54" s="65"/>
      <c r="DS54" s="65"/>
      <c r="DT54" s="65"/>
      <c r="DU54" s="65"/>
      <c r="DV54" s="65"/>
      <c r="DW54" s="65"/>
      <c r="DX54" s="65"/>
      <c r="DY54" s="65"/>
      <c r="DZ54" s="65"/>
      <c r="EA54" s="65"/>
      <c r="EB54" s="65"/>
      <c r="EC54" s="65"/>
      <c r="ED54" s="65"/>
      <c r="EE54" s="65"/>
      <c r="EF54" s="65"/>
      <c r="EG54" s="65"/>
      <c r="EH54" s="65"/>
      <c r="EI54" s="65"/>
      <c r="EJ54" s="65"/>
      <c r="EK54" s="65"/>
      <c r="EL54" s="65"/>
      <c r="EM54" s="65"/>
      <c r="EN54" s="65"/>
      <c r="EO54" s="65"/>
      <c r="EP54" s="65"/>
      <c r="EQ54" s="65"/>
      <c r="ER54" s="65"/>
      <c r="ES54" s="65"/>
      <c r="ET54" s="65"/>
      <c r="EU54" s="65"/>
      <c r="EV54" s="65"/>
      <c r="EW54" s="65"/>
      <c r="EX54" s="65"/>
      <c r="EY54" s="65"/>
      <c r="EZ54" s="65"/>
      <c r="FA54" s="65"/>
      <c r="FB54" s="65"/>
      <c r="FC54" s="65"/>
      <c r="FD54" s="65"/>
      <c r="FE54" s="65"/>
      <c r="FF54" s="65"/>
      <c r="FG54" s="65"/>
      <c r="FH54" s="65"/>
      <c r="FI54" s="65"/>
      <c r="FJ54" s="65"/>
      <c r="FK54" s="65"/>
      <c r="FL54" s="65"/>
      <c r="FM54" s="65"/>
      <c r="FN54" s="65"/>
      <c r="FO54" s="65"/>
      <c r="FP54" s="65"/>
      <c r="FQ54" s="65"/>
      <c r="FR54" s="65"/>
      <c r="FS54" s="65"/>
      <c r="FT54" s="65"/>
      <c r="FU54" s="65"/>
      <c r="FV54" s="65"/>
      <c r="FW54" s="65"/>
      <c r="FX54" s="65"/>
      <c r="FY54" s="65"/>
      <c r="FZ54" s="65"/>
      <c r="GA54" s="65"/>
      <c r="GB54" s="65"/>
      <c r="GC54" s="65"/>
      <c r="GD54" s="65"/>
      <c r="GE54" s="65"/>
      <c r="GF54" s="65"/>
      <c r="GG54" s="65"/>
      <c r="GH54" s="65"/>
      <c r="GI54" s="65"/>
      <c r="GJ54" s="65"/>
      <c r="GK54" s="65"/>
      <c r="GL54" s="65"/>
      <c r="GM54" s="65"/>
      <c r="GN54" s="65"/>
      <c r="GO54" s="65"/>
      <c r="GP54" s="65"/>
      <c r="GQ54" s="65"/>
      <c r="GR54" s="65"/>
      <c r="GS54" s="65"/>
      <c r="GT54" s="65"/>
      <c r="GU54" s="65"/>
      <c r="GV54" s="65"/>
      <c r="GW54" s="65"/>
      <c r="GX54" s="65"/>
      <c r="GY54" s="65"/>
      <c r="GZ54" s="65"/>
      <c r="HA54" s="65"/>
      <c r="HB54" s="65"/>
      <c r="HC54" s="65"/>
      <c r="HD54" s="65"/>
      <c r="HE54" s="65"/>
      <c r="HF54" s="65"/>
      <c r="HG54" s="65"/>
      <c r="HH54" s="65"/>
      <c r="HI54" s="65"/>
      <c r="HJ54" s="65"/>
      <c r="HK54" s="65"/>
      <c r="HL54" s="65"/>
      <c r="HM54" s="65"/>
      <c r="HN54" s="65"/>
      <c r="HO54" s="65"/>
      <c r="HP54" s="65"/>
      <c r="HQ54" s="65"/>
      <c r="HR54" s="65"/>
      <c r="HS54" s="65"/>
      <c r="HT54" s="65"/>
      <c r="HU54" s="65"/>
      <c r="HV54" s="65"/>
      <c r="HW54" s="65"/>
      <c r="HX54" s="65"/>
      <c r="HY54" s="65"/>
      <c r="HZ54" s="65"/>
      <c r="IA54" s="65"/>
      <c r="IB54" s="65"/>
      <c r="IC54" s="65"/>
      <c r="ID54" s="65"/>
      <c r="IE54" s="65"/>
      <c r="IF54" s="65"/>
      <c r="IG54" s="65"/>
      <c r="IH54" s="65"/>
      <c r="II54" s="65"/>
      <c r="IJ54" s="65"/>
      <c r="IK54" s="65"/>
      <c r="IL54" s="65"/>
      <c r="IM54" s="65"/>
      <c r="IN54" s="65"/>
      <c r="IO54" s="65"/>
      <c r="IP54" s="65"/>
      <c r="IQ54" s="65"/>
      <c r="IR54" s="65"/>
      <c r="IS54" s="65"/>
      <c r="IT54" s="65"/>
      <c r="IU54" s="65"/>
      <c r="IV54" s="65"/>
      <c r="IW54" s="65"/>
      <c r="IX54" s="65"/>
      <c r="IY54" s="65"/>
      <c r="IZ54" s="65"/>
      <c r="JA54" s="65"/>
      <c r="JB54" s="65"/>
      <c r="JC54" s="65"/>
      <c r="JD54" s="65"/>
      <c r="JE54" s="65"/>
      <c r="JF54" s="65"/>
      <c r="JG54" s="65"/>
      <c r="JH54" s="65"/>
      <c r="JI54" s="65"/>
      <c r="JJ54" s="65"/>
      <c r="JK54" s="65"/>
      <c r="JL54" s="65"/>
      <c r="JM54" s="65"/>
      <c r="JN54" s="65"/>
      <c r="JO54" s="65"/>
      <c r="JP54" s="65"/>
      <c r="JQ54" s="65"/>
      <c r="JR54" s="65"/>
      <c r="JS54" s="65"/>
      <c r="JT54" s="65"/>
      <c r="JU54" s="65"/>
      <c r="JV54" s="65"/>
      <c r="JW54" s="65"/>
      <c r="JX54" s="65"/>
      <c r="JY54" s="65"/>
      <c r="JZ54" s="65"/>
      <c r="KA54" s="65"/>
      <c r="KB54" s="65"/>
      <c r="KC54" s="65"/>
      <c r="KD54" s="65"/>
      <c r="KE54" s="65"/>
      <c r="KF54" s="65"/>
      <c r="KG54" s="65"/>
      <c r="KH54" s="65"/>
      <c r="KI54" s="65"/>
      <c r="KJ54" s="65"/>
      <c r="KK54" s="65"/>
      <c r="KL54" s="65"/>
      <c r="KM54" s="65"/>
      <c r="KN54" s="65"/>
      <c r="KO54" s="65"/>
      <c r="KP54" s="65"/>
      <c r="KQ54" s="65"/>
      <c r="KR54" s="65"/>
      <c r="KS54" s="65"/>
      <c r="KT54" s="65"/>
      <c r="KU54" s="65"/>
      <c r="KV54" s="65"/>
      <c r="KW54" s="65"/>
      <c r="KX54" s="65"/>
      <c r="KY54" s="65"/>
      <c r="KZ54" s="65"/>
      <c r="LA54" s="65"/>
      <c r="LB54" s="65"/>
      <c r="LC54" s="65"/>
      <c r="LD54" s="65"/>
      <c r="LE54" s="65"/>
      <c r="LF54" s="65"/>
      <c r="LG54" s="65"/>
      <c r="LH54" s="65"/>
      <c r="LI54" s="65"/>
      <c r="LJ54" s="65"/>
      <c r="LK54" s="65"/>
      <c r="LL54" s="65"/>
      <c r="LM54" s="65"/>
      <c r="LN54" s="65"/>
      <c r="LO54" s="65"/>
      <c r="LP54" s="65"/>
      <c r="LQ54" s="65"/>
      <c r="LR54" s="65"/>
      <c r="LS54" s="65"/>
      <c r="LT54" s="65"/>
      <c r="LU54" s="65"/>
      <c r="LV54" s="65"/>
      <c r="LW54" s="65"/>
      <c r="LX54" s="65"/>
      <c r="LY54" s="65"/>
      <c r="LZ54" s="65"/>
      <c r="MA54" s="65"/>
      <c r="MB54" s="65"/>
      <c r="MC54" s="65"/>
      <c r="MD54" s="65"/>
      <c r="ME54" s="65"/>
      <c r="MF54" s="65"/>
      <c r="MG54" s="65"/>
      <c r="MH54" s="65"/>
      <c r="MI54" s="65"/>
      <c r="MJ54" s="65"/>
      <c r="MK54" s="65"/>
      <c r="ML54" s="65"/>
      <c r="MM54" s="65"/>
      <c r="MN54" s="65"/>
      <c r="MO54" s="65"/>
      <c r="MP54" s="65"/>
      <c r="MQ54" s="65"/>
      <c r="MR54" s="65"/>
      <c r="MS54" s="65"/>
      <c r="MT54" s="65"/>
      <c r="MU54" s="65"/>
      <c r="MV54" s="65"/>
      <c r="MW54" s="65"/>
      <c r="MX54" s="65"/>
      <c r="MY54" s="65"/>
      <c r="MZ54" s="65"/>
      <c r="NA54" s="65"/>
      <c r="NB54" s="65"/>
      <c r="NC54" s="65"/>
      <c r="ND54" s="65"/>
      <c r="NE54" s="65"/>
      <c r="NF54" s="65"/>
      <c r="NG54" s="65"/>
    </row>
    <row r="55">
      <c r="A55" s="65"/>
      <c r="B55" s="65"/>
      <c r="C55" s="207"/>
      <c r="D55" s="207"/>
      <c r="E55" s="212"/>
      <c r="F55" s="213" t="s">
        <v>1392</v>
      </c>
      <c r="G55" s="212"/>
      <c r="H55" s="212"/>
      <c r="I55" s="213" t="s">
        <v>1393</v>
      </c>
      <c r="J55" s="213" t="str">
        <f t="shared" si="6"/>
        <v>treat</v>
      </c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5"/>
      <c r="BH55" s="65"/>
      <c r="BI55" s="65"/>
      <c r="BJ55" s="65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5"/>
      <c r="CD55" s="65"/>
      <c r="CE55" s="65"/>
      <c r="CF55" s="65"/>
      <c r="CG55" s="65"/>
      <c r="CH55" s="65"/>
      <c r="CI55" s="65"/>
      <c r="CJ55" s="65"/>
      <c r="CK55" s="65"/>
      <c r="CL55" s="65"/>
      <c r="CM55" s="65"/>
      <c r="CN55" s="65"/>
      <c r="CO55" s="65"/>
      <c r="CP55" s="65"/>
      <c r="CQ55" s="65"/>
      <c r="CR55" s="65"/>
      <c r="CS55" s="65"/>
      <c r="CT55" s="65"/>
      <c r="CU55" s="65"/>
      <c r="CV55" s="65"/>
      <c r="CW55" s="65"/>
      <c r="CX55" s="65"/>
      <c r="CY55" s="65"/>
      <c r="CZ55" s="65"/>
      <c r="DA55" s="65"/>
      <c r="DB55" s="65"/>
      <c r="DC55" s="65"/>
      <c r="DD55" s="65"/>
      <c r="DE55" s="65"/>
      <c r="DF55" s="65"/>
      <c r="DG55" s="65"/>
      <c r="DH55" s="65"/>
      <c r="DI55" s="65"/>
      <c r="DJ55" s="65"/>
      <c r="DK55" s="65"/>
      <c r="DL55" s="65"/>
      <c r="DM55" s="65"/>
      <c r="DN55" s="65"/>
      <c r="DO55" s="65"/>
      <c r="DP55" s="65"/>
      <c r="DQ55" s="65"/>
      <c r="DR55" s="65"/>
      <c r="DS55" s="65"/>
      <c r="DT55" s="65"/>
      <c r="DU55" s="65"/>
      <c r="DV55" s="65"/>
      <c r="DW55" s="65"/>
      <c r="DX55" s="65"/>
      <c r="DY55" s="65"/>
      <c r="DZ55" s="65"/>
      <c r="EA55" s="65"/>
      <c r="EB55" s="65"/>
      <c r="EC55" s="65"/>
      <c r="ED55" s="65"/>
      <c r="EE55" s="65"/>
      <c r="EF55" s="65"/>
      <c r="EG55" s="65"/>
      <c r="EH55" s="65"/>
      <c r="EI55" s="65"/>
      <c r="EJ55" s="65"/>
      <c r="EK55" s="65"/>
      <c r="EL55" s="65"/>
      <c r="EM55" s="65"/>
      <c r="EN55" s="65"/>
      <c r="EO55" s="65"/>
      <c r="EP55" s="65"/>
      <c r="EQ55" s="65"/>
      <c r="ER55" s="65"/>
      <c r="ES55" s="65"/>
      <c r="ET55" s="65"/>
      <c r="EU55" s="65"/>
      <c r="EV55" s="65"/>
      <c r="EW55" s="65"/>
      <c r="EX55" s="65"/>
      <c r="EY55" s="65"/>
      <c r="EZ55" s="65"/>
      <c r="FA55" s="65"/>
      <c r="FB55" s="65"/>
      <c r="FC55" s="65"/>
      <c r="FD55" s="65"/>
      <c r="FE55" s="65"/>
      <c r="FF55" s="65"/>
      <c r="FG55" s="65"/>
      <c r="FH55" s="65"/>
      <c r="FI55" s="65"/>
      <c r="FJ55" s="65"/>
      <c r="FK55" s="65"/>
      <c r="FL55" s="65"/>
      <c r="FM55" s="65"/>
      <c r="FN55" s="65"/>
      <c r="FO55" s="65"/>
      <c r="FP55" s="65"/>
      <c r="FQ55" s="65"/>
      <c r="FR55" s="65"/>
      <c r="FS55" s="65"/>
      <c r="FT55" s="65"/>
      <c r="FU55" s="65"/>
      <c r="FV55" s="65"/>
      <c r="FW55" s="65"/>
      <c r="FX55" s="65"/>
      <c r="FY55" s="65"/>
      <c r="FZ55" s="65"/>
      <c r="GA55" s="65"/>
      <c r="GB55" s="65"/>
      <c r="GC55" s="65"/>
      <c r="GD55" s="65"/>
      <c r="GE55" s="65"/>
      <c r="GF55" s="65"/>
      <c r="GG55" s="65"/>
      <c r="GH55" s="65"/>
      <c r="GI55" s="65"/>
      <c r="GJ55" s="65"/>
      <c r="GK55" s="65"/>
      <c r="GL55" s="65"/>
      <c r="GM55" s="65"/>
      <c r="GN55" s="65"/>
      <c r="GO55" s="65"/>
      <c r="GP55" s="65"/>
      <c r="GQ55" s="65"/>
      <c r="GR55" s="65"/>
      <c r="GS55" s="65"/>
      <c r="GT55" s="65"/>
      <c r="GU55" s="65"/>
      <c r="GV55" s="65"/>
      <c r="GW55" s="65"/>
      <c r="GX55" s="65"/>
      <c r="GY55" s="65"/>
      <c r="GZ55" s="65"/>
      <c r="HA55" s="65"/>
      <c r="HB55" s="65"/>
      <c r="HC55" s="65"/>
      <c r="HD55" s="65"/>
      <c r="HE55" s="65"/>
      <c r="HF55" s="65"/>
      <c r="HG55" s="65"/>
      <c r="HH55" s="65"/>
      <c r="HI55" s="65"/>
      <c r="HJ55" s="65"/>
      <c r="HK55" s="65"/>
      <c r="HL55" s="65"/>
      <c r="HM55" s="65"/>
      <c r="HN55" s="65"/>
      <c r="HO55" s="65"/>
      <c r="HP55" s="65"/>
      <c r="HQ55" s="65"/>
      <c r="HR55" s="65"/>
      <c r="HS55" s="65"/>
      <c r="HT55" s="65"/>
      <c r="HU55" s="65"/>
      <c r="HV55" s="65"/>
      <c r="HW55" s="65"/>
      <c r="HX55" s="65"/>
      <c r="HY55" s="65"/>
      <c r="HZ55" s="65"/>
      <c r="IA55" s="65"/>
      <c r="IB55" s="65"/>
      <c r="IC55" s="65"/>
      <c r="ID55" s="65"/>
      <c r="IE55" s="65"/>
      <c r="IF55" s="65"/>
      <c r="IG55" s="65"/>
      <c r="IH55" s="65"/>
      <c r="II55" s="65"/>
      <c r="IJ55" s="65"/>
      <c r="IK55" s="65"/>
      <c r="IL55" s="65"/>
      <c r="IM55" s="65"/>
      <c r="IN55" s="65"/>
      <c r="IO55" s="65"/>
      <c r="IP55" s="65"/>
      <c r="IQ55" s="65"/>
      <c r="IR55" s="65"/>
      <c r="IS55" s="65"/>
      <c r="IT55" s="65"/>
      <c r="IU55" s="65"/>
      <c r="IV55" s="65"/>
      <c r="IW55" s="65"/>
      <c r="IX55" s="65"/>
      <c r="IY55" s="65"/>
      <c r="IZ55" s="65"/>
      <c r="JA55" s="65"/>
      <c r="JB55" s="65"/>
      <c r="JC55" s="65"/>
      <c r="JD55" s="65"/>
      <c r="JE55" s="65"/>
      <c r="JF55" s="65"/>
      <c r="JG55" s="65"/>
      <c r="JH55" s="65"/>
      <c r="JI55" s="65"/>
      <c r="JJ55" s="65"/>
      <c r="JK55" s="65"/>
      <c r="JL55" s="65"/>
      <c r="JM55" s="65"/>
      <c r="JN55" s="65"/>
      <c r="JO55" s="65"/>
      <c r="JP55" s="65"/>
      <c r="JQ55" s="65"/>
      <c r="JR55" s="65"/>
      <c r="JS55" s="65"/>
      <c r="JT55" s="65"/>
      <c r="JU55" s="65"/>
      <c r="JV55" s="65"/>
      <c r="JW55" s="65"/>
      <c r="JX55" s="65"/>
      <c r="JY55" s="65"/>
      <c r="JZ55" s="65"/>
      <c r="KA55" s="65"/>
      <c r="KB55" s="65"/>
      <c r="KC55" s="65"/>
      <c r="KD55" s="65"/>
      <c r="KE55" s="65"/>
      <c r="KF55" s="65"/>
      <c r="KG55" s="65"/>
      <c r="KH55" s="65"/>
      <c r="KI55" s="65"/>
      <c r="KJ55" s="65"/>
      <c r="KK55" s="65"/>
      <c r="KL55" s="65"/>
      <c r="KM55" s="65"/>
      <c r="KN55" s="65"/>
      <c r="KO55" s="65"/>
      <c r="KP55" s="65"/>
      <c r="KQ55" s="65"/>
      <c r="KR55" s="65"/>
      <c r="KS55" s="65"/>
      <c r="KT55" s="65"/>
      <c r="KU55" s="65"/>
      <c r="KV55" s="65"/>
      <c r="KW55" s="65"/>
      <c r="KX55" s="65"/>
      <c r="KY55" s="65"/>
      <c r="KZ55" s="65"/>
      <c r="LA55" s="65"/>
      <c r="LB55" s="65"/>
      <c r="LC55" s="65"/>
      <c r="LD55" s="65"/>
      <c r="LE55" s="65"/>
      <c r="LF55" s="65"/>
      <c r="LG55" s="65"/>
      <c r="LH55" s="65"/>
      <c r="LI55" s="65"/>
      <c r="LJ55" s="65"/>
      <c r="LK55" s="65"/>
      <c r="LL55" s="65"/>
      <c r="LM55" s="65"/>
      <c r="LN55" s="65"/>
      <c r="LO55" s="65"/>
      <c r="LP55" s="65"/>
      <c r="LQ55" s="65"/>
      <c r="LR55" s="65"/>
      <c r="LS55" s="65"/>
      <c r="LT55" s="65"/>
      <c r="LU55" s="65"/>
      <c r="LV55" s="65"/>
      <c r="LW55" s="65"/>
      <c r="LX55" s="65"/>
      <c r="LY55" s="65"/>
      <c r="LZ55" s="65"/>
      <c r="MA55" s="65"/>
      <c r="MB55" s="65"/>
      <c r="MC55" s="65"/>
      <c r="MD55" s="65"/>
      <c r="ME55" s="65"/>
      <c r="MF55" s="65"/>
      <c r="MG55" s="65"/>
      <c r="MH55" s="65"/>
      <c r="MI55" s="65"/>
      <c r="MJ55" s="65"/>
      <c r="MK55" s="65"/>
      <c r="ML55" s="65"/>
      <c r="MM55" s="65"/>
      <c r="MN55" s="65"/>
      <c r="MO55" s="65"/>
      <c r="MP55" s="65"/>
      <c r="MQ55" s="65"/>
      <c r="MR55" s="65"/>
      <c r="MS55" s="65"/>
      <c r="MT55" s="65"/>
      <c r="MU55" s="65"/>
      <c r="MV55" s="65"/>
      <c r="MW55" s="65"/>
      <c r="MX55" s="65"/>
      <c r="MY55" s="65"/>
      <c r="MZ55" s="65"/>
      <c r="NA55" s="65"/>
      <c r="NB55" s="65"/>
      <c r="NC55" s="65"/>
      <c r="ND55" s="65"/>
      <c r="NE55" s="65"/>
      <c r="NF55" s="65"/>
      <c r="NG55" s="65"/>
    </row>
    <row r="56">
      <c r="A56" s="65"/>
      <c r="B56" s="65"/>
      <c r="C56" s="207"/>
      <c r="D56" s="207"/>
      <c r="E56" s="212"/>
      <c r="F56" s="213" t="s">
        <v>1394</v>
      </c>
      <c r="G56" s="212"/>
      <c r="H56" s="212"/>
      <c r="I56" s="213" t="s">
        <v>1395</v>
      </c>
      <c r="J56" s="213" t="str">
        <f t="shared" si="6"/>
        <v>he</v>
      </c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5"/>
      <c r="BH56" s="65"/>
      <c r="BI56" s="65"/>
      <c r="BJ56" s="65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  <c r="CE56" s="65"/>
      <c r="CF56" s="65"/>
      <c r="CG56" s="65"/>
      <c r="CH56" s="65"/>
      <c r="CI56" s="65"/>
      <c r="CJ56" s="65"/>
      <c r="CK56" s="65"/>
      <c r="CL56" s="65"/>
      <c r="CM56" s="65"/>
      <c r="CN56" s="65"/>
      <c r="CO56" s="65"/>
      <c r="CP56" s="65"/>
      <c r="CQ56" s="65"/>
      <c r="CR56" s="65"/>
      <c r="CS56" s="65"/>
      <c r="CT56" s="65"/>
      <c r="CU56" s="65"/>
      <c r="CV56" s="65"/>
      <c r="CW56" s="65"/>
      <c r="CX56" s="65"/>
      <c r="CY56" s="65"/>
      <c r="CZ56" s="65"/>
      <c r="DA56" s="65"/>
      <c r="DB56" s="65"/>
      <c r="DC56" s="65"/>
      <c r="DD56" s="65"/>
      <c r="DE56" s="65"/>
      <c r="DF56" s="65"/>
      <c r="DG56" s="65"/>
      <c r="DH56" s="65"/>
      <c r="DI56" s="65"/>
      <c r="DJ56" s="65"/>
      <c r="DK56" s="65"/>
      <c r="DL56" s="65"/>
      <c r="DM56" s="65"/>
      <c r="DN56" s="65"/>
      <c r="DO56" s="65"/>
      <c r="DP56" s="65"/>
      <c r="DQ56" s="65"/>
      <c r="DR56" s="65"/>
      <c r="DS56" s="65"/>
      <c r="DT56" s="65"/>
      <c r="DU56" s="65"/>
      <c r="DV56" s="65"/>
      <c r="DW56" s="65"/>
      <c r="DX56" s="65"/>
      <c r="DY56" s="65"/>
      <c r="DZ56" s="65"/>
      <c r="EA56" s="65"/>
      <c r="EB56" s="65"/>
      <c r="EC56" s="65"/>
      <c r="ED56" s="65"/>
      <c r="EE56" s="65"/>
      <c r="EF56" s="65"/>
      <c r="EG56" s="65"/>
      <c r="EH56" s="65"/>
      <c r="EI56" s="65"/>
      <c r="EJ56" s="65"/>
      <c r="EK56" s="65"/>
      <c r="EL56" s="65"/>
      <c r="EM56" s="65"/>
      <c r="EN56" s="65"/>
      <c r="EO56" s="65"/>
      <c r="EP56" s="65"/>
      <c r="EQ56" s="65"/>
      <c r="ER56" s="65"/>
      <c r="ES56" s="65"/>
      <c r="ET56" s="65"/>
      <c r="EU56" s="65"/>
      <c r="EV56" s="65"/>
      <c r="EW56" s="65"/>
      <c r="EX56" s="65"/>
      <c r="EY56" s="65"/>
      <c r="EZ56" s="65"/>
      <c r="FA56" s="65"/>
      <c r="FB56" s="65"/>
      <c r="FC56" s="65"/>
      <c r="FD56" s="65"/>
      <c r="FE56" s="65"/>
      <c r="FF56" s="65"/>
      <c r="FG56" s="65"/>
      <c r="FH56" s="65"/>
      <c r="FI56" s="65"/>
      <c r="FJ56" s="65"/>
      <c r="FK56" s="65"/>
      <c r="FL56" s="65"/>
      <c r="FM56" s="65"/>
      <c r="FN56" s="65"/>
      <c r="FO56" s="65"/>
      <c r="FP56" s="65"/>
      <c r="FQ56" s="65"/>
      <c r="FR56" s="65"/>
      <c r="FS56" s="65"/>
      <c r="FT56" s="65"/>
      <c r="FU56" s="65"/>
      <c r="FV56" s="65"/>
      <c r="FW56" s="65"/>
      <c r="FX56" s="65"/>
      <c r="FY56" s="65"/>
      <c r="FZ56" s="65"/>
      <c r="GA56" s="65"/>
      <c r="GB56" s="65"/>
      <c r="GC56" s="65"/>
      <c r="GD56" s="65"/>
      <c r="GE56" s="65"/>
      <c r="GF56" s="65"/>
      <c r="GG56" s="65"/>
      <c r="GH56" s="65"/>
      <c r="GI56" s="65"/>
      <c r="GJ56" s="65"/>
      <c r="GK56" s="65"/>
      <c r="GL56" s="65"/>
      <c r="GM56" s="65"/>
      <c r="GN56" s="65"/>
      <c r="GO56" s="65"/>
      <c r="GP56" s="65"/>
      <c r="GQ56" s="65"/>
      <c r="GR56" s="65"/>
      <c r="GS56" s="65"/>
      <c r="GT56" s="65"/>
      <c r="GU56" s="65"/>
      <c r="GV56" s="65"/>
      <c r="GW56" s="65"/>
      <c r="GX56" s="65"/>
      <c r="GY56" s="65"/>
      <c r="GZ56" s="65"/>
      <c r="HA56" s="65"/>
      <c r="HB56" s="65"/>
      <c r="HC56" s="65"/>
      <c r="HD56" s="65"/>
      <c r="HE56" s="65"/>
      <c r="HF56" s="65"/>
      <c r="HG56" s="65"/>
      <c r="HH56" s="65"/>
      <c r="HI56" s="65"/>
      <c r="HJ56" s="65"/>
      <c r="HK56" s="65"/>
      <c r="HL56" s="65"/>
      <c r="HM56" s="65"/>
      <c r="HN56" s="65"/>
      <c r="HO56" s="65"/>
      <c r="HP56" s="65"/>
      <c r="HQ56" s="65"/>
      <c r="HR56" s="65"/>
      <c r="HS56" s="65"/>
      <c r="HT56" s="65"/>
      <c r="HU56" s="65"/>
      <c r="HV56" s="65"/>
      <c r="HW56" s="65"/>
      <c r="HX56" s="65"/>
      <c r="HY56" s="65"/>
      <c r="HZ56" s="65"/>
      <c r="IA56" s="65"/>
      <c r="IB56" s="65"/>
      <c r="IC56" s="65"/>
      <c r="ID56" s="65"/>
      <c r="IE56" s="65"/>
      <c r="IF56" s="65"/>
      <c r="IG56" s="65"/>
      <c r="IH56" s="65"/>
      <c r="II56" s="65"/>
      <c r="IJ56" s="65"/>
      <c r="IK56" s="65"/>
      <c r="IL56" s="65"/>
      <c r="IM56" s="65"/>
      <c r="IN56" s="65"/>
      <c r="IO56" s="65"/>
      <c r="IP56" s="65"/>
      <c r="IQ56" s="65"/>
      <c r="IR56" s="65"/>
      <c r="IS56" s="65"/>
      <c r="IT56" s="65"/>
      <c r="IU56" s="65"/>
      <c r="IV56" s="65"/>
      <c r="IW56" s="65"/>
      <c r="IX56" s="65"/>
      <c r="IY56" s="65"/>
      <c r="IZ56" s="65"/>
      <c r="JA56" s="65"/>
      <c r="JB56" s="65"/>
      <c r="JC56" s="65"/>
      <c r="JD56" s="65"/>
      <c r="JE56" s="65"/>
      <c r="JF56" s="65"/>
      <c r="JG56" s="65"/>
      <c r="JH56" s="65"/>
      <c r="JI56" s="65"/>
      <c r="JJ56" s="65"/>
      <c r="JK56" s="65"/>
      <c r="JL56" s="65"/>
      <c r="JM56" s="65"/>
      <c r="JN56" s="65"/>
      <c r="JO56" s="65"/>
      <c r="JP56" s="65"/>
      <c r="JQ56" s="65"/>
      <c r="JR56" s="65"/>
      <c r="JS56" s="65"/>
      <c r="JT56" s="65"/>
      <c r="JU56" s="65"/>
      <c r="JV56" s="65"/>
      <c r="JW56" s="65"/>
      <c r="JX56" s="65"/>
      <c r="JY56" s="65"/>
      <c r="JZ56" s="65"/>
      <c r="KA56" s="65"/>
      <c r="KB56" s="65"/>
      <c r="KC56" s="65"/>
      <c r="KD56" s="65"/>
      <c r="KE56" s="65"/>
      <c r="KF56" s="65"/>
      <c r="KG56" s="65"/>
      <c r="KH56" s="65"/>
      <c r="KI56" s="65"/>
      <c r="KJ56" s="65"/>
      <c r="KK56" s="65"/>
      <c r="KL56" s="65"/>
      <c r="KM56" s="65"/>
      <c r="KN56" s="65"/>
      <c r="KO56" s="65"/>
      <c r="KP56" s="65"/>
      <c r="KQ56" s="65"/>
      <c r="KR56" s="65"/>
      <c r="KS56" s="65"/>
      <c r="KT56" s="65"/>
      <c r="KU56" s="65"/>
      <c r="KV56" s="65"/>
      <c r="KW56" s="65"/>
      <c r="KX56" s="65"/>
      <c r="KY56" s="65"/>
      <c r="KZ56" s="65"/>
      <c r="LA56" s="65"/>
      <c r="LB56" s="65"/>
      <c r="LC56" s="65"/>
      <c r="LD56" s="65"/>
      <c r="LE56" s="65"/>
      <c r="LF56" s="65"/>
      <c r="LG56" s="65"/>
      <c r="LH56" s="65"/>
      <c r="LI56" s="65"/>
      <c r="LJ56" s="65"/>
      <c r="LK56" s="65"/>
      <c r="LL56" s="65"/>
      <c r="LM56" s="65"/>
      <c r="LN56" s="65"/>
      <c r="LO56" s="65"/>
      <c r="LP56" s="65"/>
      <c r="LQ56" s="65"/>
      <c r="LR56" s="65"/>
      <c r="LS56" s="65"/>
      <c r="LT56" s="65"/>
      <c r="LU56" s="65"/>
      <c r="LV56" s="65"/>
      <c r="LW56" s="65"/>
      <c r="LX56" s="65"/>
      <c r="LY56" s="65"/>
      <c r="LZ56" s="65"/>
      <c r="MA56" s="65"/>
      <c r="MB56" s="65"/>
      <c r="MC56" s="65"/>
      <c r="MD56" s="65"/>
      <c r="ME56" s="65"/>
      <c r="MF56" s="65"/>
      <c r="MG56" s="65"/>
      <c r="MH56" s="65"/>
      <c r="MI56" s="65"/>
      <c r="MJ56" s="65"/>
      <c r="MK56" s="65"/>
      <c r="ML56" s="65"/>
      <c r="MM56" s="65"/>
      <c r="MN56" s="65"/>
      <c r="MO56" s="65"/>
      <c r="MP56" s="65"/>
      <c r="MQ56" s="65"/>
      <c r="MR56" s="65"/>
      <c r="MS56" s="65"/>
      <c r="MT56" s="65"/>
      <c r="MU56" s="65"/>
      <c r="MV56" s="65"/>
      <c r="MW56" s="65"/>
      <c r="MX56" s="65"/>
      <c r="MY56" s="65"/>
      <c r="MZ56" s="65"/>
      <c r="NA56" s="65"/>
      <c r="NB56" s="65"/>
      <c r="NC56" s="65"/>
      <c r="ND56" s="65"/>
      <c r="NE56" s="65"/>
      <c r="NF56" s="65"/>
      <c r="NG56" s="65"/>
    </row>
    <row r="57">
      <c r="A57" s="65"/>
      <c r="B57" s="65"/>
      <c r="C57" s="201"/>
      <c r="D57" s="201"/>
      <c r="E57" s="212"/>
      <c r="F57" s="213" t="s">
        <v>1396</v>
      </c>
      <c r="G57" s="212"/>
      <c r="H57" s="212"/>
      <c r="I57" s="213" t="s">
        <v>1397</v>
      </c>
      <c r="J57" s="213" t="str">
        <f t="shared" si="6"/>
        <v>large</v>
      </c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5"/>
      <c r="BH57" s="65"/>
      <c r="BI57" s="65"/>
      <c r="BJ57" s="65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5"/>
      <c r="CD57" s="65"/>
      <c r="CE57" s="65"/>
      <c r="CF57" s="65"/>
      <c r="CG57" s="65"/>
      <c r="CH57" s="65"/>
      <c r="CI57" s="65"/>
      <c r="CJ57" s="65"/>
      <c r="CK57" s="65"/>
      <c r="CL57" s="65"/>
      <c r="CM57" s="65"/>
      <c r="CN57" s="65"/>
      <c r="CO57" s="65"/>
      <c r="CP57" s="65"/>
      <c r="CQ57" s="65"/>
      <c r="CR57" s="65"/>
      <c r="CS57" s="65"/>
      <c r="CT57" s="65"/>
      <c r="CU57" s="65"/>
      <c r="CV57" s="65"/>
      <c r="CW57" s="65"/>
      <c r="CX57" s="65"/>
      <c r="CY57" s="65"/>
      <c r="CZ57" s="65"/>
      <c r="DA57" s="65"/>
      <c r="DB57" s="65"/>
      <c r="DC57" s="65"/>
      <c r="DD57" s="65"/>
      <c r="DE57" s="65"/>
      <c r="DF57" s="65"/>
      <c r="DG57" s="65"/>
      <c r="DH57" s="65"/>
      <c r="DI57" s="65"/>
      <c r="DJ57" s="65"/>
      <c r="DK57" s="65"/>
      <c r="DL57" s="65"/>
      <c r="DM57" s="65"/>
      <c r="DN57" s="65"/>
      <c r="DO57" s="65"/>
      <c r="DP57" s="65"/>
      <c r="DQ57" s="65"/>
      <c r="DR57" s="65"/>
      <c r="DS57" s="65"/>
      <c r="DT57" s="65"/>
      <c r="DU57" s="65"/>
      <c r="DV57" s="65"/>
      <c r="DW57" s="65"/>
      <c r="DX57" s="65"/>
      <c r="DY57" s="65"/>
      <c r="DZ57" s="65"/>
      <c r="EA57" s="65"/>
      <c r="EB57" s="65"/>
      <c r="EC57" s="65"/>
      <c r="ED57" s="65"/>
      <c r="EE57" s="65"/>
      <c r="EF57" s="65"/>
      <c r="EG57" s="65"/>
      <c r="EH57" s="65"/>
      <c r="EI57" s="65"/>
      <c r="EJ57" s="65"/>
      <c r="EK57" s="65"/>
      <c r="EL57" s="65"/>
      <c r="EM57" s="65"/>
      <c r="EN57" s="65"/>
      <c r="EO57" s="65"/>
      <c r="EP57" s="65"/>
      <c r="EQ57" s="65"/>
      <c r="ER57" s="65"/>
      <c r="ES57" s="65"/>
      <c r="ET57" s="65"/>
      <c r="EU57" s="65"/>
      <c r="EV57" s="65"/>
      <c r="EW57" s="65"/>
      <c r="EX57" s="65"/>
      <c r="EY57" s="65"/>
      <c r="EZ57" s="65"/>
      <c r="FA57" s="65"/>
      <c r="FB57" s="65"/>
      <c r="FC57" s="65"/>
      <c r="FD57" s="65"/>
      <c r="FE57" s="65"/>
      <c r="FF57" s="65"/>
      <c r="FG57" s="65"/>
      <c r="FH57" s="65"/>
      <c r="FI57" s="65"/>
      <c r="FJ57" s="65"/>
      <c r="FK57" s="65"/>
      <c r="FL57" s="65"/>
      <c r="FM57" s="65"/>
      <c r="FN57" s="65"/>
      <c r="FO57" s="65"/>
      <c r="FP57" s="65"/>
      <c r="FQ57" s="65"/>
      <c r="FR57" s="65"/>
      <c r="FS57" s="65"/>
      <c r="FT57" s="65"/>
      <c r="FU57" s="65"/>
      <c r="FV57" s="65"/>
      <c r="FW57" s="65"/>
      <c r="FX57" s="65"/>
      <c r="FY57" s="65"/>
      <c r="FZ57" s="65"/>
      <c r="GA57" s="65"/>
      <c r="GB57" s="65"/>
      <c r="GC57" s="65"/>
      <c r="GD57" s="65"/>
      <c r="GE57" s="65"/>
      <c r="GF57" s="65"/>
      <c r="GG57" s="65"/>
      <c r="GH57" s="65"/>
      <c r="GI57" s="65"/>
      <c r="GJ57" s="65"/>
      <c r="GK57" s="65"/>
      <c r="GL57" s="65"/>
      <c r="GM57" s="65"/>
      <c r="GN57" s="65"/>
      <c r="GO57" s="65"/>
      <c r="GP57" s="65"/>
      <c r="GQ57" s="65"/>
      <c r="GR57" s="65"/>
      <c r="GS57" s="65"/>
      <c r="GT57" s="65"/>
      <c r="GU57" s="65"/>
      <c r="GV57" s="65"/>
      <c r="GW57" s="65"/>
      <c r="GX57" s="65"/>
      <c r="GY57" s="65"/>
      <c r="GZ57" s="65"/>
      <c r="HA57" s="65"/>
      <c r="HB57" s="65"/>
      <c r="HC57" s="65"/>
      <c r="HD57" s="65"/>
      <c r="HE57" s="65"/>
      <c r="HF57" s="65"/>
      <c r="HG57" s="65"/>
      <c r="HH57" s="65"/>
      <c r="HI57" s="65"/>
      <c r="HJ57" s="65"/>
      <c r="HK57" s="65"/>
      <c r="HL57" s="65"/>
      <c r="HM57" s="65"/>
      <c r="HN57" s="65"/>
      <c r="HO57" s="65"/>
      <c r="HP57" s="65"/>
      <c r="HQ57" s="65"/>
      <c r="HR57" s="65"/>
      <c r="HS57" s="65"/>
      <c r="HT57" s="65"/>
      <c r="HU57" s="65"/>
      <c r="HV57" s="65"/>
      <c r="HW57" s="65"/>
      <c r="HX57" s="65"/>
      <c r="HY57" s="65"/>
      <c r="HZ57" s="65"/>
      <c r="IA57" s="65"/>
      <c r="IB57" s="65"/>
      <c r="IC57" s="65"/>
      <c r="ID57" s="65"/>
      <c r="IE57" s="65"/>
      <c r="IF57" s="65"/>
      <c r="IG57" s="65"/>
      <c r="IH57" s="65"/>
      <c r="II57" s="65"/>
      <c r="IJ57" s="65"/>
      <c r="IK57" s="65"/>
      <c r="IL57" s="65"/>
      <c r="IM57" s="65"/>
      <c r="IN57" s="65"/>
      <c r="IO57" s="65"/>
      <c r="IP57" s="65"/>
      <c r="IQ57" s="65"/>
      <c r="IR57" s="65"/>
      <c r="IS57" s="65"/>
      <c r="IT57" s="65"/>
      <c r="IU57" s="65"/>
      <c r="IV57" s="65"/>
      <c r="IW57" s="65"/>
      <c r="IX57" s="65"/>
      <c r="IY57" s="65"/>
      <c r="IZ57" s="65"/>
      <c r="JA57" s="65"/>
      <c r="JB57" s="65"/>
      <c r="JC57" s="65"/>
      <c r="JD57" s="65"/>
      <c r="JE57" s="65"/>
      <c r="JF57" s="65"/>
      <c r="JG57" s="65"/>
      <c r="JH57" s="65"/>
      <c r="JI57" s="65"/>
      <c r="JJ57" s="65"/>
      <c r="JK57" s="65"/>
      <c r="JL57" s="65"/>
      <c r="JM57" s="65"/>
      <c r="JN57" s="65"/>
      <c r="JO57" s="65"/>
      <c r="JP57" s="65"/>
      <c r="JQ57" s="65"/>
      <c r="JR57" s="65"/>
      <c r="JS57" s="65"/>
      <c r="JT57" s="65"/>
      <c r="JU57" s="65"/>
      <c r="JV57" s="65"/>
      <c r="JW57" s="65"/>
      <c r="JX57" s="65"/>
      <c r="JY57" s="65"/>
      <c r="JZ57" s="65"/>
      <c r="KA57" s="65"/>
      <c r="KB57" s="65"/>
      <c r="KC57" s="65"/>
      <c r="KD57" s="65"/>
      <c r="KE57" s="65"/>
      <c r="KF57" s="65"/>
      <c r="KG57" s="65"/>
      <c r="KH57" s="65"/>
      <c r="KI57" s="65"/>
      <c r="KJ57" s="65"/>
      <c r="KK57" s="65"/>
      <c r="KL57" s="65"/>
      <c r="KM57" s="65"/>
      <c r="KN57" s="65"/>
      <c r="KO57" s="65"/>
      <c r="KP57" s="65"/>
      <c r="KQ57" s="65"/>
      <c r="KR57" s="65"/>
      <c r="KS57" s="65"/>
      <c r="KT57" s="65"/>
      <c r="KU57" s="65"/>
      <c r="KV57" s="65"/>
      <c r="KW57" s="65"/>
      <c r="KX57" s="65"/>
      <c r="KY57" s="65"/>
      <c r="KZ57" s="65"/>
      <c r="LA57" s="65"/>
      <c r="LB57" s="65"/>
      <c r="LC57" s="65"/>
      <c r="LD57" s="65"/>
      <c r="LE57" s="65"/>
      <c r="LF57" s="65"/>
      <c r="LG57" s="65"/>
      <c r="LH57" s="65"/>
      <c r="LI57" s="65"/>
      <c r="LJ57" s="65"/>
      <c r="LK57" s="65"/>
      <c r="LL57" s="65"/>
      <c r="LM57" s="65"/>
      <c r="LN57" s="65"/>
      <c r="LO57" s="65"/>
      <c r="LP57" s="65"/>
      <c r="LQ57" s="65"/>
      <c r="LR57" s="65"/>
      <c r="LS57" s="65"/>
      <c r="LT57" s="65"/>
      <c r="LU57" s="65"/>
      <c r="LV57" s="65"/>
      <c r="LW57" s="65"/>
      <c r="LX57" s="65"/>
      <c r="LY57" s="65"/>
      <c r="LZ57" s="65"/>
      <c r="MA57" s="65"/>
      <c r="MB57" s="65"/>
      <c r="MC57" s="65"/>
      <c r="MD57" s="65"/>
      <c r="ME57" s="65"/>
      <c r="MF57" s="65"/>
      <c r="MG57" s="65"/>
      <c r="MH57" s="65"/>
      <c r="MI57" s="65"/>
      <c r="MJ57" s="65"/>
      <c r="MK57" s="65"/>
      <c r="ML57" s="65"/>
      <c r="MM57" s="65"/>
      <c r="MN57" s="65"/>
      <c r="MO57" s="65"/>
      <c r="MP57" s="65"/>
      <c r="MQ57" s="65"/>
      <c r="MR57" s="65"/>
      <c r="MS57" s="65"/>
      <c r="MT57" s="65"/>
      <c r="MU57" s="65"/>
      <c r="MV57" s="65"/>
      <c r="MW57" s="65"/>
      <c r="MX57" s="65"/>
      <c r="MY57" s="65"/>
      <c r="MZ57" s="65"/>
      <c r="NA57" s="65"/>
      <c r="NB57" s="65"/>
      <c r="NC57" s="65"/>
      <c r="ND57" s="65"/>
      <c r="NE57" s="65"/>
      <c r="NF57" s="65"/>
      <c r="NG57" s="65"/>
    </row>
    <row r="58">
      <c r="A58" s="65"/>
      <c r="B58" s="65"/>
      <c r="C58" s="209"/>
      <c r="D58" s="209"/>
      <c r="E58" s="65"/>
      <c r="F58" s="210"/>
      <c r="G58" s="65"/>
      <c r="H58" s="65"/>
      <c r="I58" s="210"/>
      <c r="J58" s="210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  <c r="CE58" s="65"/>
      <c r="CF58" s="65"/>
      <c r="CG58" s="65"/>
      <c r="CH58" s="65"/>
      <c r="CI58" s="65"/>
      <c r="CJ58" s="65"/>
      <c r="CK58" s="65"/>
      <c r="CL58" s="65"/>
      <c r="CM58" s="65"/>
      <c r="CN58" s="65"/>
      <c r="CO58" s="65"/>
      <c r="CP58" s="65"/>
      <c r="CQ58" s="65"/>
      <c r="CR58" s="65"/>
      <c r="CS58" s="65"/>
      <c r="CT58" s="65"/>
      <c r="CU58" s="65"/>
      <c r="CV58" s="65"/>
      <c r="CW58" s="65"/>
      <c r="CX58" s="65"/>
      <c r="CY58" s="65"/>
      <c r="CZ58" s="65"/>
      <c r="DA58" s="65"/>
      <c r="DB58" s="65"/>
      <c r="DC58" s="65"/>
      <c r="DD58" s="65"/>
      <c r="DE58" s="65"/>
      <c r="DF58" s="65"/>
      <c r="DG58" s="65"/>
      <c r="DH58" s="65"/>
      <c r="DI58" s="65"/>
      <c r="DJ58" s="65"/>
      <c r="DK58" s="65"/>
      <c r="DL58" s="65"/>
      <c r="DM58" s="65"/>
      <c r="DN58" s="65"/>
      <c r="DO58" s="65"/>
      <c r="DP58" s="65"/>
      <c r="DQ58" s="65"/>
      <c r="DR58" s="65"/>
      <c r="DS58" s="65"/>
      <c r="DT58" s="65"/>
      <c r="DU58" s="65"/>
      <c r="DV58" s="65"/>
      <c r="DW58" s="65"/>
      <c r="DX58" s="65"/>
      <c r="DY58" s="65"/>
      <c r="DZ58" s="65"/>
      <c r="EA58" s="65"/>
      <c r="EB58" s="65"/>
      <c r="EC58" s="65"/>
      <c r="ED58" s="65"/>
      <c r="EE58" s="65"/>
      <c r="EF58" s="65"/>
      <c r="EG58" s="65"/>
      <c r="EH58" s="65"/>
      <c r="EI58" s="65"/>
      <c r="EJ58" s="65"/>
      <c r="EK58" s="65"/>
      <c r="EL58" s="65"/>
      <c r="EM58" s="65"/>
      <c r="EN58" s="65"/>
      <c r="EO58" s="65"/>
      <c r="EP58" s="65"/>
      <c r="EQ58" s="65"/>
      <c r="ER58" s="65"/>
      <c r="ES58" s="65"/>
      <c r="ET58" s="65"/>
      <c r="EU58" s="65"/>
      <c r="EV58" s="65"/>
      <c r="EW58" s="65"/>
      <c r="EX58" s="65"/>
      <c r="EY58" s="65"/>
      <c r="EZ58" s="65"/>
      <c r="FA58" s="65"/>
      <c r="FB58" s="65"/>
      <c r="FC58" s="65"/>
      <c r="FD58" s="65"/>
      <c r="FE58" s="65"/>
      <c r="FF58" s="65"/>
      <c r="FG58" s="65"/>
      <c r="FH58" s="65"/>
      <c r="FI58" s="65"/>
      <c r="FJ58" s="65"/>
      <c r="FK58" s="65"/>
      <c r="FL58" s="65"/>
      <c r="FM58" s="65"/>
      <c r="FN58" s="65"/>
      <c r="FO58" s="65"/>
      <c r="FP58" s="65"/>
      <c r="FQ58" s="65"/>
      <c r="FR58" s="65"/>
      <c r="FS58" s="65"/>
      <c r="FT58" s="65"/>
      <c r="FU58" s="65"/>
      <c r="FV58" s="65"/>
      <c r="FW58" s="65"/>
      <c r="FX58" s="65"/>
      <c r="FY58" s="65"/>
      <c r="FZ58" s="65"/>
      <c r="GA58" s="65"/>
      <c r="GB58" s="65"/>
      <c r="GC58" s="65"/>
      <c r="GD58" s="65"/>
      <c r="GE58" s="65"/>
      <c r="GF58" s="65"/>
      <c r="GG58" s="65"/>
      <c r="GH58" s="65"/>
      <c r="GI58" s="65"/>
      <c r="GJ58" s="65"/>
      <c r="GK58" s="65"/>
      <c r="GL58" s="65"/>
      <c r="GM58" s="65"/>
      <c r="GN58" s="65"/>
      <c r="GO58" s="65"/>
      <c r="GP58" s="65"/>
      <c r="GQ58" s="65"/>
      <c r="GR58" s="65"/>
      <c r="GS58" s="65"/>
      <c r="GT58" s="65"/>
      <c r="GU58" s="65"/>
      <c r="GV58" s="65"/>
      <c r="GW58" s="65"/>
      <c r="GX58" s="65"/>
      <c r="GY58" s="65"/>
      <c r="GZ58" s="65"/>
      <c r="HA58" s="65"/>
      <c r="HB58" s="65"/>
      <c r="HC58" s="65"/>
      <c r="HD58" s="65"/>
      <c r="HE58" s="65"/>
      <c r="HF58" s="65"/>
      <c r="HG58" s="65"/>
      <c r="HH58" s="65"/>
      <c r="HI58" s="65"/>
      <c r="HJ58" s="65"/>
      <c r="HK58" s="65"/>
      <c r="HL58" s="65"/>
      <c r="HM58" s="65"/>
      <c r="HN58" s="65"/>
      <c r="HO58" s="65"/>
      <c r="HP58" s="65"/>
      <c r="HQ58" s="65"/>
      <c r="HR58" s="65"/>
      <c r="HS58" s="65"/>
      <c r="HT58" s="65"/>
      <c r="HU58" s="65"/>
      <c r="HV58" s="65"/>
      <c r="HW58" s="65"/>
      <c r="HX58" s="65"/>
      <c r="HY58" s="65"/>
      <c r="HZ58" s="65"/>
      <c r="IA58" s="65"/>
      <c r="IB58" s="65"/>
      <c r="IC58" s="65"/>
      <c r="ID58" s="65"/>
      <c r="IE58" s="65"/>
      <c r="IF58" s="65"/>
      <c r="IG58" s="65"/>
      <c r="IH58" s="65"/>
      <c r="II58" s="65"/>
      <c r="IJ58" s="65"/>
      <c r="IK58" s="65"/>
      <c r="IL58" s="65"/>
      <c r="IM58" s="65"/>
      <c r="IN58" s="65"/>
      <c r="IO58" s="65"/>
      <c r="IP58" s="65"/>
      <c r="IQ58" s="65"/>
      <c r="IR58" s="65"/>
      <c r="IS58" s="65"/>
      <c r="IT58" s="65"/>
      <c r="IU58" s="65"/>
      <c r="IV58" s="65"/>
      <c r="IW58" s="65"/>
      <c r="IX58" s="65"/>
      <c r="IY58" s="65"/>
      <c r="IZ58" s="65"/>
      <c r="JA58" s="65"/>
      <c r="JB58" s="65"/>
      <c r="JC58" s="65"/>
      <c r="JD58" s="65"/>
      <c r="JE58" s="65"/>
      <c r="JF58" s="65"/>
      <c r="JG58" s="65"/>
      <c r="JH58" s="65"/>
      <c r="JI58" s="65"/>
      <c r="JJ58" s="65"/>
      <c r="JK58" s="65"/>
      <c r="JL58" s="65"/>
      <c r="JM58" s="65"/>
      <c r="JN58" s="65"/>
      <c r="JO58" s="65"/>
      <c r="JP58" s="65"/>
      <c r="JQ58" s="65"/>
      <c r="JR58" s="65"/>
      <c r="JS58" s="65"/>
      <c r="JT58" s="65"/>
      <c r="JU58" s="65"/>
      <c r="JV58" s="65"/>
      <c r="JW58" s="65"/>
      <c r="JX58" s="65"/>
      <c r="JY58" s="65"/>
      <c r="JZ58" s="65"/>
      <c r="KA58" s="65"/>
      <c r="KB58" s="65"/>
      <c r="KC58" s="65"/>
      <c r="KD58" s="65"/>
      <c r="KE58" s="65"/>
      <c r="KF58" s="65"/>
      <c r="KG58" s="65"/>
      <c r="KH58" s="65"/>
      <c r="KI58" s="65"/>
      <c r="KJ58" s="65"/>
      <c r="KK58" s="65"/>
      <c r="KL58" s="65"/>
      <c r="KM58" s="65"/>
      <c r="KN58" s="65"/>
      <c r="KO58" s="65"/>
      <c r="KP58" s="65"/>
      <c r="KQ58" s="65"/>
      <c r="KR58" s="65"/>
      <c r="KS58" s="65"/>
      <c r="KT58" s="65"/>
      <c r="KU58" s="65"/>
      <c r="KV58" s="65"/>
      <c r="KW58" s="65"/>
      <c r="KX58" s="65"/>
      <c r="KY58" s="65"/>
      <c r="KZ58" s="65"/>
      <c r="LA58" s="65"/>
      <c r="LB58" s="65"/>
      <c r="LC58" s="65"/>
      <c r="LD58" s="65"/>
      <c r="LE58" s="65"/>
      <c r="LF58" s="65"/>
      <c r="LG58" s="65"/>
      <c r="LH58" s="65"/>
      <c r="LI58" s="65"/>
      <c r="LJ58" s="65"/>
      <c r="LK58" s="65"/>
      <c r="LL58" s="65"/>
      <c r="LM58" s="65"/>
      <c r="LN58" s="65"/>
      <c r="LO58" s="65"/>
      <c r="LP58" s="65"/>
      <c r="LQ58" s="65"/>
      <c r="LR58" s="65"/>
      <c r="LS58" s="65"/>
      <c r="LT58" s="65"/>
      <c r="LU58" s="65"/>
      <c r="LV58" s="65"/>
      <c r="LW58" s="65"/>
      <c r="LX58" s="65"/>
      <c r="LY58" s="65"/>
      <c r="LZ58" s="65"/>
      <c r="MA58" s="65"/>
      <c r="MB58" s="65"/>
      <c r="MC58" s="65"/>
      <c r="MD58" s="65"/>
      <c r="ME58" s="65"/>
      <c r="MF58" s="65"/>
      <c r="MG58" s="65"/>
      <c r="MH58" s="65"/>
      <c r="MI58" s="65"/>
      <c r="MJ58" s="65"/>
      <c r="MK58" s="65"/>
      <c r="ML58" s="65"/>
      <c r="MM58" s="65"/>
      <c r="MN58" s="65"/>
      <c r="MO58" s="65"/>
      <c r="MP58" s="65"/>
      <c r="MQ58" s="65"/>
      <c r="MR58" s="65"/>
      <c r="MS58" s="65"/>
      <c r="MT58" s="65"/>
      <c r="MU58" s="65"/>
      <c r="MV58" s="65"/>
      <c r="MW58" s="65"/>
      <c r="MX58" s="65"/>
      <c r="MY58" s="65"/>
      <c r="MZ58" s="65"/>
      <c r="NA58" s="65"/>
      <c r="NB58" s="65"/>
      <c r="NC58" s="65"/>
      <c r="ND58" s="65"/>
      <c r="NE58" s="65"/>
      <c r="NF58" s="65"/>
      <c r="NG58" s="65"/>
    </row>
    <row r="59">
      <c r="A59" s="65"/>
      <c r="B59" s="65"/>
      <c r="C59" s="205">
        <v>11.0</v>
      </c>
      <c r="D59" s="205" t="s">
        <v>134</v>
      </c>
      <c r="E59" s="109"/>
      <c r="F59" s="107" t="s">
        <v>1398</v>
      </c>
      <c r="G59" s="109"/>
      <c r="H59" s="109"/>
      <c r="I59" s="107" t="s">
        <v>1399</v>
      </c>
      <c r="J59" s="107" t="str">
        <f t="shared" ref="J59:J63" si="7">UPPER(F59)</f>
        <v>RIGHT</v>
      </c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5"/>
      <c r="CD59" s="65"/>
      <c r="CE59" s="65"/>
      <c r="CF59" s="65"/>
      <c r="CG59" s="65"/>
      <c r="CH59" s="65"/>
      <c r="CI59" s="65"/>
      <c r="CJ59" s="65"/>
      <c r="CK59" s="65"/>
      <c r="CL59" s="65"/>
      <c r="CM59" s="65"/>
      <c r="CN59" s="65"/>
      <c r="CO59" s="65"/>
      <c r="CP59" s="65"/>
      <c r="CQ59" s="65"/>
      <c r="CR59" s="65"/>
      <c r="CS59" s="65"/>
      <c r="CT59" s="65"/>
      <c r="CU59" s="65"/>
      <c r="CV59" s="65"/>
      <c r="CW59" s="65"/>
      <c r="CX59" s="65"/>
      <c r="CY59" s="65"/>
      <c r="CZ59" s="65"/>
      <c r="DA59" s="65"/>
      <c r="DB59" s="65"/>
      <c r="DC59" s="65"/>
      <c r="DD59" s="65"/>
      <c r="DE59" s="65"/>
      <c r="DF59" s="65"/>
      <c r="DG59" s="65"/>
      <c r="DH59" s="65"/>
      <c r="DI59" s="65"/>
      <c r="DJ59" s="65"/>
      <c r="DK59" s="65"/>
      <c r="DL59" s="65"/>
      <c r="DM59" s="65"/>
      <c r="DN59" s="65"/>
      <c r="DO59" s="65"/>
      <c r="DP59" s="65"/>
      <c r="DQ59" s="65"/>
      <c r="DR59" s="65"/>
      <c r="DS59" s="65"/>
      <c r="DT59" s="65"/>
      <c r="DU59" s="65"/>
      <c r="DV59" s="65"/>
      <c r="DW59" s="65"/>
      <c r="DX59" s="65"/>
      <c r="DY59" s="65"/>
      <c r="DZ59" s="65"/>
      <c r="EA59" s="65"/>
      <c r="EB59" s="65"/>
      <c r="EC59" s="65"/>
      <c r="ED59" s="65"/>
      <c r="EE59" s="65"/>
      <c r="EF59" s="65"/>
      <c r="EG59" s="65"/>
      <c r="EH59" s="65"/>
      <c r="EI59" s="65"/>
      <c r="EJ59" s="65"/>
      <c r="EK59" s="65"/>
      <c r="EL59" s="65"/>
      <c r="EM59" s="65"/>
      <c r="EN59" s="65"/>
      <c r="EO59" s="65"/>
      <c r="EP59" s="65"/>
      <c r="EQ59" s="65"/>
      <c r="ER59" s="65"/>
      <c r="ES59" s="65"/>
      <c r="ET59" s="65"/>
      <c r="EU59" s="65"/>
      <c r="EV59" s="65"/>
      <c r="EW59" s="65"/>
      <c r="EX59" s="65"/>
      <c r="EY59" s="65"/>
      <c r="EZ59" s="65"/>
      <c r="FA59" s="65"/>
      <c r="FB59" s="65"/>
      <c r="FC59" s="65"/>
      <c r="FD59" s="65"/>
      <c r="FE59" s="65"/>
      <c r="FF59" s="65"/>
      <c r="FG59" s="65"/>
      <c r="FH59" s="65"/>
      <c r="FI59" s="65"/>
      <c r="FJ59" s="65"/>
      <c r="FK59" s="65"/>
      <c r="FL59" s="65"/>
      <c r="FM59" s="65"/>
      <c r="FN59" s="65"/>
      <c r="FO59" s="65"/>
      <c r="FP59" s="65"/>
      <c r="FQ59" s="65"/>
      <c r="FR59" s="65"/>
      <c r="FS59" s="65"/>
      <c r="FT59" s="65"/>
      <c r="FU59" s="65"/>
      <c r="FV59" s="65"/>
      <c r="FW59" s="65"/>
      <c r="FX59" s="65"/>
      <c r="FY59" s="65"/>
      <c r="FZ59" s="65"/>
      <c r="GA59" s="65"/>
      <c r="GB59" s="65"/>
      <c r="GC59" s="65"/>
      <c r="GD59" s="65"/>
      <c r="GE59" s="65"/>
      <c r="GF59" s="65"/>
      <c r="GG59" s="65"/>
      <c r="GH59" s="65"/>
      <c r="GI59" s="65"/>
      <c r="GJ59" s="65"/>
      <c r="GK59" s="65"/>
      <c r="GL59" s="65"/>
      <c r="GM59" s="65"/>
      <c r="GN59" s="65"/>
      <c r="GO59" s="65"/>
      <c r="GP59" s="65"/>
      <c r="GQ59" s="65"/>
      <c r="GR59" s="65"/>
      <c r="GS59" s="65"/>
      <c r="GT59" s="65"/>
      <c r="GU59" s="65"/>
      <c r="GV59" s="65"/>
      <c r="GW59" s="65"/>
      <c r="GX59" s="65"/>
      <c r="GY59" s="65"/>
      <c r="GZ59" s="65"/>
      <c r="HA59" s="65"/>
      <c r="HB59" s="65"/>
      <c r="HC59" s="65"/>
      <c r="HD59" s="65"/>
      <c r="HE59" s="65"/>
      <c r="HF59" s="65"/>
      <c r="HG59" s="65"/>
      <c r="HH59" s="65"/>
      <c r="HI59" s="65"/>
      <c r="HJ59" s="65"/>
      <c r="HK59" s="65"/>
      <c r="HL59" s="65"/>
      <c r="HM59" s="65"/>
      <c r="HN59" s="65"/>
      <c r="HO59" s="65"/>
      <c r="HP59" s="65"/>
      <c r="HQ59" s="65"/>
      <c r="HR59" s="65"/>
      <c r="HS59" s="65"/>
      <c r="HT59" s="65"/>
      <c r="HU59" s="65"/>
      <c r="HV59" s="65"/>
      <c r="HW59" s="65"/>
      <c r="HX59" s="65"/>
      <c r="HY59" s="65"/>
      <c r="HZ59" s="65"/>
      <c r="IA59" s="65"/>
      <c r="IB59" s="65"/>
      <c r="IC59" s="65"/>
      <c r="ID59" s="65"/>
      <c r="IE59" s="65"/>
      <c r="IF59" s="65"/>
      <c r="IG59" s="65"/>
      <c r="IH59" s="65"/>
      <c r="II59" s="65"/>
      <c r="IJ59" s="65"/>
      <c r="IK59" s="65"/>
      <c r="IL59" s="65"/>
      <c r="IM59" s="65"/>
      <c r="IN59" s="65"/>
      <c r="IO59" s="65"/>
      <c r="IP59" s="65"/>
      <c r="IQ59" s="65"/>
      <c r="IR59" s="65"/>
      <c r="IS59" s="65"/>
      <c r="IT59" s="65"/>
      <c r="IU59" s="65"/>
      <c r="IV59" s="65"/>
      <c r="IW59" s="65"/>
      <c r="IX59" s="65"/>
      <c r="IY59" s="65"/>
      <c r="IZ59" s="65"/>
      <c r="JA59" s="65"/>
      <c r="JB59" s="65"/>
      <c r="JC59" s="65"/>
      <c r="JD59" s="65"/>
      <c r="JE59" s="65"/>
      <c r="JF59" s="65"/>
      <c r="JG59" s="65"/>
      <c r="JH59" s="65"/>
      <c r="JI59" s="65"/>
      <c r="JJ59" s="65"/>
      <c r="JK59" s="65"/>
      <c r="JL59" s="65"/>
      <c r="JM59" s="65"/>
      <c r="JN59" s="65"/>
      <c r="JO59" s="65"/>
      <c r="JP59" s="65"/>
      <c r="JQ59" s="65"/>
      <c r="JR59" s="65"/>
      <c r="JS59" s="65"/>
      <c r="JT59" s="65"/>
      <c r="JU59" s="65"/>
      <c r="JV59" s="65"/>
      <c r="JW59" s="65"/>
      <c r="JX59" s="65"/>
      <c r="JY59" s="65"/>
      <c r="JZ59" s="65"/>
      <c r="KA59" s="65"/>
      <c r="KB59" s="65"/>
      <c r="KC59" s="65"/>
      <c r="KD59" s="65"/>
      <c r="KE59" s="65"/>
      <c r="KF59" s="65"/>
      <c r="KG59" s="65"/>
      <c r="KH59" s="65"/>
      <c r="KI59" s="65"/>
      <c r="KJ59" s="65"/>
      <c r="KK59" s="65"/>
      <c r="KL59" s="65"/>
      <c r="KM59" s="65"/>
      <c r="KN59" s="65"/>
      <c r="KO59" s="65"/>
      <c r="KP59" s="65"/>
      <c r="KQ59" s="65"/>
      <c r="KR59" s="65"/>
      <c r="KS59" s="65"/>
      <c r="KT59" s="65"/>
      <c r="KU59" s="65"/>
      <c r="KV59" s="65"/>
      <c r="KW59" s="65"/>
      <c r="KX59" s="65"/>
      <c r="KY59" s="65"/>
      <c r="KZ59" s="65"/>
      <c r="LA59" s="65"/>
      <c r="LB59" s="65"/>
      <c r="LC59" s="65"/>
      <c r="LD59" s="65"/>
      <c r="LE59" s="65"/>
      <c r="LF59" s="65"/>
      <c r="LG59" s="65"/>
      <c r="LH59" s="65"/>
      <c r="LI59" s="65"/>
      <c r="LJ59" s="65"/>
      <c r="LK59" s="65"/>
      <c r="LL59" s="65"/>
      <c r="LM59" s="65"/>
      <c r="LN59" s="65"/>
      <c r="LO59" s="65"/>
      <c r="LP59" s="65"/>
      <c r="LQ59" s="65"/>
      <c r="LR59" s="65"/>
      <c r="LS59" s="65"/>
      <c r="LT59" s="65"/>
      <c r="LU59" s="65"/>
      <c r="LV59" s="65"/>
      <c r="LW59" s="65"/>
      <c r="LX59" s="65"/>
      <c r="LY59" s="65"/>
      <c r="LZ59" s="65"/>
      <c r="MA59" s="65"/>
      <c r="MB59" s="65"/>
      <c r="MC59" s="65"/>
      <c r="MD59" s="65"/>
      <c r="ME59" s="65"/>
      <c r="MF59" s="65"/>
      <c r="MG59" s="65"/>
      <c r="MH59" s="65"/>
      <c r="MI59" s="65"/>
      <c r="MJ59" s="65"/>
      <c r="MK59" s="65"/>
      <c r="ML59" s="65"/>
      <c r="MM59" s="65"/>
      <c r="MN59" s="65"/>
      <c r="MO59" s="65"/>
      <c r="MP59" s="65"/>
      <c r="MQ59" s="65"/>
      <c r="MR59" s="65"/>
      <c r="MS59" s="65"/>
      <c r="MT59" s="65"/>
      <c r="MU59" s="65"/>
      <c r="MV59" s="65"/>
      <c r="MW59" s="65"/>
      <c r="MX59" s="65"/>
      <c r="MY59" s="65"/>
      <c r="MZ59" s="65"/>
      <c r="NA59" s="65"/>
      <c r="NB59" s="65"/>
      <c r="NC59" s="65"/>
      <c r="ND59" s="65"/>
      <c r="NE59" s="65"/>
      <c r="NF59" s="65"/>
      <c r="NG59" s="65"/>
    </row>
    <row r="60">
      <c r="A60" s="65"/>
      <c r="B60" s="65"/>
      <c r="C60" s="207"/>
      <c r="D60" s="207"/>
      <c r="E60" s="109"/>
      <c r="F60" s="107" t="s">
        <v>1400</v>
      </c>
      <c r="G60" s="109"/>
      <c r="H60" s="109"/>
      <c r="I60" s="107" t="s">
        <v>1401</v>
      </c>
      <c r="J60" s="107" t="str">
        <f t="shared" si="7"/>
        <v>FELL-UP</v>
      </c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65"/>
      <c r="BH60" s="65"/>
      <c r="BI60" s="65"/>
      <c r="BJ60" s="65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  <c r="CE60" s="65"/>
      <c r="CF60" s="65"/>
      <c r="CG60" s="65"/>
      <c r="CH60" s="65"/>
      <c r="CI60" s="65"/>
      <c r="CJ60" s="65"/>
      <c r="CK60" s="65"/>
      <c r="CL60" s="65"/>
      <c r="CM60" s="65"/>
      <c r="CN60" s="65"/>
      <c r="CO60" s="65"/>
      <c r="CP60" s="65"/>
      <c r="CQ60" s="65"/>
      <c r="CR60" s="65"/>
      <c r="CS60" s="65"/>
      <c r="CT60" s="65"/>
      <c r="CU60" s="65"/>
      <c r="CV60" s="65"/>
      <c r="CW60" s="65"/>
      <c r="CX60" s="65"/>
      <c r="CY60" s="65"/>
      <c r="CZ60" s="65"/>
      <c r="DA60" s="65"/>
      <c r="DB60" s="65"/>
      <c r="DC60" s="65"/>
      <c r="DD60" s="65"/>
      <c r="DE60" s="65"/>
      <c r="DF60" s="65"/>
      <c r="DG60" s="65"/>
      <c r="DH60" s="65"/>
      <c r="DI60" s="65"/>
      <c r="DJ60" s="65"/>
      <c r="DK60" s="65"/>
      <c r="DL60" s="65"/>
      <c r="DM60" s="65"/>
      <c r="DN60" s="65"/>
      <c r="DO60" s="65"/>
      <c r="DP60" s="65"/>
      <c r="DQ60" s="65"/>
      <c r="DR60" s="65"/>
      <c r="DS60" s="65"/>
      <c r="DT60" s="65"/>
      <c r="DU60" s="65"/>
      <c r="DV60" s="65"/>
      <c r="DW60" s="65"/>
      <c r="DX60" s="65"/>
      <c r="DY60" s="65"/>
      <c r="DZ60" s="65"/>
      <c r="EA60" s="65"/>
      <c r="EB60" s="65"/>
      <c r="EC60" s="65"/>
      <c r="ED60" s="65"/>
      <c r="EE60" s="65"/>
      <c r="EF60" s="65"/>
      <c r="EG60" s="65"/>
      <c r="EH60" s="65"/>
      <c r="EI60" s="65"/>
      <c r="EJ60" s="65"/>
      <c r="EK60" s="65"/>
      <c r="EL60" s="65"/>
      <c r="EM60" s="65"/>
      <c r="EN60" s="65"/>
      <c r="EO60" s="65"/>
      <c r="EP60" s="65"/>
      <c r="EQ60" s="65"/>
      <c r="ER60" s="65"/>
      <c r="ES60" s="65"/>
      <c r="ET60" s="65"/>
      <c r="EU60" s="65"/>
      <c r="EV60" s="65"/>
      <c r="EW60" s="65"/>
      <c r="EX60" s="65"/>
      <c r="EY60" s="65"/>
      <c r="EZ60" s="65"/>
      <c r="FA60" s="65"/>
      <c r="FB60" s="65"/>
      <c r="FC60" s="65"/>
      <c r="FD60" s="65"/>
      <c r="FE60" s="65"/>
      <c r="FF60" s="65"/>
      <c r="FG60" s="65"/>
      <c r="FH60" s="65"/>
      <c r="FI60" s="65"/>
      <c r="FJ60" s="65"/>
      <c r="FK60" s="65"/>
      <c r="FL60" s="65"/>
      <c r="FM60" s="65"/>
      <c r="FN60" s="65"/>
      <c r="FO60" s="65"/>
      <c r="FP60" s="65"/>
      <c r="FQ60" s="65"/>
      <c r="FR60" s="65"/>
      <c r="FS60" s="65"/>
      <c r="FT60" s="65"/>
      <c r="FU60" s="65"/>
      <c r="FV60" s="65"/>
      <c r="FW60" s="65"/>
      <c r="FX60" s="65"/>
      <c r="FY60" s="65"/>
      <c r="FZ60" s="65"/>
      <c r="GA60" s="65"/>
      <c r="GB60" s="65"/>
      <c r="GC60" s="65"/>
      <c r="GD60" s="65"/>
      <c r="GE60" s="65"/>
      <c r="GF60" s="65"/>
      <c r="GG60" s="65"/>
      <c r="GH60" s="65"/>
      <c r="GI60" s="65"/>
      <c r="GJ60" s="65"/>
      <c r="GK60" s="65"/>
      <c r="GL60" s="65"/>
      <c r="GM60" s="65"/>
      <c r="GN60" s="65"/>
      <c r="GO60" s="65"/>
      <c r="GP60" s="65"/>
      <c r="GQ60" s="65"/>
      <c r="GR60" s="65"/>
      <c r="GS60" s="65"/>
      <c r="GT60" s="65"/>
      <c r="GU60" s="65"/>
      <c r="GV60" s="65"/>
      <c r="GW60" s="65"/>
      <c r="GX60" s="65"/>
      <c r="GY60" s="65"/>
      <c r="GZ60" s="65"/>
      <c r="HA60" s="65"/>
      <c r="HB60" s="65"/>
      <c r="HC60" s="65"/>
      <c r="HD60" s="65"/>
      <c r="HE60" s="65"/>
      <c r="HF60" s="65"/>
      <c r="HG60" s="65"/>
      <c r="HH60" s="65"/>
      <c r="HI60" s="65"/>
      <c r="HJ60" s="65"/>
      <c r="HK60" s="65"/>
      <c r="HL60" s="65"/>
      <c r="HM60" s="65"/>
      <c r="HN60" s="65"/>
      <c r="HO60" s="65"/>
      <c r="HP60" s="65"/>
      <c r="HQ60" s="65"/>
      <c r="HR60" s="65"/>
      <c r="HS60" s="65"/>
      <c r="HT60" s="65"/>
      <c r="HU60" s="65"/>
      <c r="HV60" s="65"/>
      <c r="HW60" s="65"/>
      <c r="HX60" s="65"/>
      <c r="HY60" s="65"/>
      <c r="HZ60" s="65"/>
      <c r="IA60" s="65"/>
      <c r="IB60" s="65"/>
      <c r="IC60" s="65"/>
      <c r="ID60" s="65"/>
      <c r="IE60" s="65"/>
      <c r="IF60" s="65"/>
      <c r="IG60" s="65"/>
      <c r="IH60" s="65"/>
      <c r="II60" s="65"/>
      <c r="IJ60" s="65"/>
      <c r="IK60" s="65"/>
      <c r="IL60" s="65"/>
      <c r="IM60" s="65"/>
      <c r="IN60" s="65"/>
      <c r="IO60" s="65"/>
      <c r="IP60" s="65"/>
      <c r="IQ60" s="65"/>
      <c r="IR60" s="65"/>
      <c r="IS60" s="65"/>
      <c r="IT60" s="65"/>
      <c r="IU60" s="65"/>
      <c r="IV60" s="65"/>
      <c r="IW60" s="65"/>
      <c r="IX60" s="65"/>
      <c r="IY60" s="65"/>
      <c r="IZ60" s="65"/>
      <c r="JA60" s="65"/>
      <c r="JB60" s="65"/>
      <c r="JC60" s="65"/>
      <c r="JD60" s="65"/>
      <c r="JE60" s="65"/>
      <c r="JF60" s="65"/>
      <c r="JG60" s="65"/>
      <c r="JH60" s="65"/>
      <c r="JI60" s="65"/>
      <c r="JJ60" s="65"/>
      <c r="JK60" s="65"/>
      <c r="JL60" s="65"/>
      <c r="JM60" s="65"/>
      <c r="JN60" s="65"/>
      <c r="JO60" s="65"/>
      <c r="JP60" s="65"/>
      <c r="JQ60" s="65"/>
      <c r="JR60" s="65"/>
      <c r="JS60" s="65"/>
      <c r="JT60" s="65"/>
      <c r="JU60" s="65"/>
      <c r="JV60" s="65"/>
      <c r="JW60" s="65"/>
      <c r="JX60" s="65"/>
      <c r="JY60" s="65"/>
      <c r="JZ60" s="65"/>
      <c r="KA60" s="65"/>
      <c r="KB60" s="65"/>
      <c r="KC60" s="65"/>
      <c r="KD60" s="65"/>
      <c r="KE60" s="65"/>
      <c r="KF60" s="65"/>
      <c r="KG60" s="65"/>
      <c r="KH60" s="65"/>
      <c r="KI60" s="65"/>
      <c r="KJ60" s="65"/>
      <c r="KK60" s="65"/>
      <c r="KL60" s="65"/>
      <c r="KM60" s="65"/>
      <c r="KN60" s="65"/>
      <c r="KO60" s="65"/>
      <c r="KP60" s="65"/>
      <c r="KQ60" s="65"/>
      <c r="KR60" s="65"/>
      <c r="KS60" s="65"/>
      <c r="KT60" s="65"/>
      <c r="KU60" s="65"/>
      <c r="KV60" s="65"/>
      <c r="KW60" s="65"/>
      <c r="KX60" s="65"/>
      <c r="KY60" s="65"/>
      <c r="KZ60" s="65"/>
      <c r="LA60" s="65"/>
      <c r="LB60" s="65"/>
      <c r="LC60" s="65"/>
      <c r="LD60" s="65"/>
      <c r="LE60" s="65"/>
      <c r="LF60" s="65"/>
      <c r="LG60" s="65"/>
      <c r="LH60" s="65"/>
      <c r="LI60" s="65"/>
      <c r="LJ60" s="65"/>
      <c r="LK60" s="65"/>
      <c r="LL60" s="65"/>
      <c r="LM60" s="65"/>
      <c r="LN60" s="65"/>
      <c r="LO60" s="65"/>
      <c r="LP60" s="65"/>
      <c r="LQ60" s="65"/>
      <c r="LR60" s="65"/>
      <c r="LS60" s="65"/>
      <c r="LT60" s="65"/>
      <c r="LU60" s="65"/>
      <c r="LV60" s="65"/>
      <c r="LW60" s="65"/>
      <c r="LX60" s="65"/>
      <c r="LY60" s="65"/>
      <c r="LZ60" s="65"/>
      <c r="MA60" s="65"/>
      <c r="MB60" s="65"/>
      <c r="MC60" s="65"/>
      <c r="MD60" s="65"/>
      <c r="ME60" s="65"/>
      <c r="MF60" s="65"/>
      <c r="MG60" s="65"/>
      <c r="MH60" s="65"/>
      <c r="MI60" s="65"/>
      <c r="MJ60" s="65"/>
      <c r="MK60" s="65"/>
      <c r="ML60" s="65"/>
      <c r="MM60" s="65"/>
      <c r="MN60" s="65"/>
      <c r="MO60" s="65"/>
      <c r="MP60" s="65"/>
      <c r="MQ60" s="65"/>
      <c r="MR60" s="65"/>
      <c r="MS60" s="65"/>
      <c r="MT60" s="65"/>
      <c r="MU60" s="65"/>
      <c r="MV60" s="65"/>
      <c r="MW60" s="65"/>
      <c r="MX60" s="65"/>
      <c r="MY60" s="65"/>
      <c r="MZ60" s="65"/>
      <c r="NA60" s="65"/>
      <c r="NB60" s="65"/>
      <c r="NC60" s="65"/>
      <c r="ND60" s="65"/>
      <c r="NE60" s="65"/>
      <c r="NF60" s="65"/>
      <c r="NG60" s="65"/>
    </row>
    <row r="61">
      <c r="A61" s="65"/>
      <c r="B61" s="65"/>
      <c r="C61" s="207"/>
      <c r="D61" s="207"/>
      <c r="E61" s="109"/>
      <c r="F61" s="107" t="s">
        <v>1402</v>
      </c>
      <c r="G61" s="109"/>
      <c r="H61" s="109"/>
      <c r="I61" s="107" t="s">
        <v>1403</v>
      </c>
      <c r="J61" s="107" t="str">
        <f t="shared" si="7"/>
        <v>ATTENTION</v>
      </c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65"/>
      <c r="BH61" s="65"/>
      <c r="BI61" s="65"/>
      <c r="BJ61" s="65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5"/>
      <c r="CD61" s="65"/>
      <c r="CE61" s="65"/>
      <c r="CF61" s="65"/>
      <c r="CG61" s="65"/>
      <c r="CH61" s="65"/>
      <c r="CI61" s="65"/>
      <c r="CJ61" s="65"/>
      <c r="CK61" s="65"/>
      <c r="CL61" s="65"/>
      <c r="CM61" s="65"/>
      <c r="CN61" s="65"/>
      <c r="CO61" s="65"/>
      <c r="CP61" s="65"/>
      <c r="CQ61" s="65"/>
      <c r="CR61" s="65"/>
      <c r="CS61" s="65"/>
      <c r="CT61" s="65"/>
      <c r="CU61" s="65"/>
      <c r="CV61" s="65"/>
      <c r="CW61" s="65"/>
      <c r="CX61" s="65"/>
      <c r="CY61" s="65"/>
      <c r="CZ61" s="65"/>
      <c r="DA61" s="65"/>
      <c r="DB61" s="65"/>
      <c r="DC61" s="65"/>
      <c r="DD61" s="65"/>
      <c r="DE61" s="65"/>
      <c r="DF61" s="65"/>
      <c r="DG61" s="65"/>
      <c r="DH61" s="65"/>
      <c r="DI61" s="65"/>
      <c r="DJ61" s="65"/>
      <c r="DK61" s="65"/>
      <c r="DL61" s="65"/>
      <c r="DM61" s="65"/>
      <c r="DN61" s="65"/>
      <c r="DO61" s="65"/>
      <c r="DP61" s="65"/>
      <c r="DQ61" s="65"/>
      <c r="DR61" s="65"/>
      <c r="DS61" s="65"/>
      <c r="DT61" s="65"/>
      <c r="DU61" s="65"/>
      <c r="DV61" s="65"/>
      <c r="DW61" s="65"/>
      <c r="DX61" s="65"/>
      <c r="DY61" s="65"/>
      <c r="DZ61" s="65"/>
      <c r="EA61" s="65"/>
      <c r="EB61" s="65"/>
      <c r="EC61" s="65"/>
      <c r="ED61" s="65"/>
      <c r="EE61" s="65"/>
      <c r="EF61" s="65"/>
      <c r="EG61" s="65"/>
      <c r="EH61" s="65"/>
      <c r="EI61" s="65"/>
      <c r="EJ61" s="65"/>
      <c r="EK61" s="65"/>
      <c r="EL61" s="65"/>
      <c r="EM61" s="65"/>
      <c r="EN61" s="65"/>
      <c r="EO61" s="65"/>
      <c r="EP61" s="65"/>
      <c r="EQ61" s="65"/>
      <c r="ER61" s="65"/>
      <c r="ES61" s="65"/>
      <c r="ET61" s="65"/>
      <c r="EU61" s="65"/>
      <c r="EV61" s="65"/>
      <c r="EW61" s="65"/>
      <c r="EX61" s="65"/>
      <c r="EY61" s="65"/>
      <c r="EZ61" s="65"/>
      <c r="FA61" s="65"/>
      <c r="FB61" s="65"/>
      <c r="FC61" s="65"/>
      <c r="FD61" s="65"/>
      <c r="FE61" s="65"/>
      <c r="FF61" s="65"/>
      <c r="FG61" s="65"/>
      <c r="FH61" s="65"/>
      <c r="FI61" s="65"/>
      <c r="FJ61" s="65"/>
      <c r="FK61" s="65"/>
      <c r="FL61" s="65"/>
      <c r="FM61" s="65"/>
      <c r="FN61" s="65"/>
      <c r="FO61" s="65"/>
      <c r="FP61" s="65"/>
      <c r="FQ61" s="65"/>
      <c r="FR61" s="65"/>
      <c r="FS61" s="65"/>
      <c r="FT61" s="65"/>
      <c r="FU61" s="65"/>
      <c r="FV61" s="65"/>
      <c r="FW61" s="65"/>
      <c r="FX61" s="65"/>
      <c r="FY61" s="65"/>
      <c r="FZ61" s="65"/>
      <c r="GA61" s="65"/>
      <c r="GB61" s="65"/>
      <c r="GC61" s="65"/>
      <c r="GD61" s="65"/>
      <c r="GE61" s="65"/>
      <c r="GF61" s="65"/>
      <c r="GG61" s="65"/>
      <c r="GH61" s="65"/>
      <c r="GI61" s="65"/>
      <c r="GJ61" s="65"/>
      <c r="GK61" s="65"/>
      <c r="GL61" s="65"/>
      <c r="GM61" s="65"/>
      <c r="GN61" s="65"/>
      <c r="GO61" s="65"/>
      <c r="GP61" s="65"/>
      <c r="GQ61" s="65"/>
      <c r="GR61" s="65"/>
      <c r="GS61" s="65"/>
      <c r="GT61" s="65"/>
      <c r="GU61" s="65"/>
      <c r="GV61" s="65"/>
      <c r="GW61" s="65"/>
      <c r="GX61" s="65"/>
      <c r="GY61" s="65"/>
      <c r="GZ61" s="65"/>
      <c r="HA61" s="65"/>
      <c r="HB61" s="65"/>
      <c r="HC61" s="65"/>
      <c r="HD61" s="65"/>
      <c r="HE61" s="65"/>
      <c r="HF61" s="65"/>
      <c r="HG61" s="65"/>
      <c r="HH61" s="65"/>
      <c r="HI61" s="65"/>
      <c r="HJ61" s="65"/>
      <c r="HK61" s="65"/>
      <c r="HL61" s="65"/>
      <c r="HM61" s="65"/>
      <c r="HN61" s="65"/>
      <c r="HO61" s="65"/>
      <c r="HP61" s="65"/>
      <c r="HQ61" s="65"/>
      <c r="HR61" s="65"/>
      <c r="HS61" s="65"/>
      <c r="HT61" s="65"/>
      <c r="HU61" s="65"/>
      <c r="HV61" s="65"/>
      <c r="HW61" s="65"/>
      <c r="HX61" s="65"/>
      <c r="HY61" s="65"/>
      <c r="HZ61" s="65"/>
      <c r="IA61" s="65"/>
      <c r="IB61" s="65"/>
      <c r="IC61" s="65"/>
      <c r="ID61" s="65"/>
      <c r="IE61" s="65"/>
      <c r="IF61" s="65"/>
      <c r="IG61" s="65"/>
      <c r="IH61" s="65"/>
      <c r="II61" s="65"/>
      <c r="IJ61" s="65"/>
      <c r="IK61" s="65"/>
      <c r="IL61" s="65"/>
      <c r="IM61" s="65"/>
      <c r="IN61" s="65"/>
      <c r="IO61" s="65"/>
      <c r="IP61" s="65"/>
      <c r="IQ61" s="65"/>
      <c r="IR61" s="65"/>
      <c r="IS61" s="65"/>
      <c r="IT61" s="65"/>
      <c r="IU61" s="65"/>
      <c r="IV61" s="65"/>
      <c r="IW61" s="65"/>
      <c r="IX61" s="65"/>
      <c r="IY61" s="65"/>
      <c r="IZ61" s="65"/>
      <c r="JA61" s="65"/>
      <c r="JB61" s="65"/>
      <c r="JC61" s="65"/>
      <c r="JD61" s="65"/>
      <c r="JE61" s="65"/>
      <c r="JF61" s="65"/>
      <c r="JG61" s="65"/>
      <c r="JH61" s="65"/>
      <c r="JI61" s="65"/>
      <c r="JJ61" s="65"/>
      <c r="JK61" s="65"/>
      <c r="JL61" s="65"/>
      <c r="JM61" s="65"/>
      <c r="JN61" s="65"/>
      <c r="JO61" s="65"/>
      <c r="JP61" s="65"/>
      <c r="JQ61" s="65"/>
      <c r="JR61" s="65"/>
      <c r="JS61" s="65"/>
      <c r="JT61" s="65"/>
      <c r="JU61" s="65"/>
      <c r="JV61" s="65"/>
      <c r="JW61" s="65"/>
      <c r="JX61" s="65"/>
      <c r="JY61" s="65"/>
      <c r="JZ61" s="65"/>
      <c r="KA61" s="65"/>
      <c r="KB61" s="65"/>
      <c r="KC61" s="65"/>
      <c r="KD61" s="65"/>
      <c r="KE61" s="65"/>
      <c r="KF61" s="65"/>
      <c r="KG61" s="65"/>
      <c r="KH61" s="65"/>
      <c r="KI61" s="65"/>
      <c r="KJ61" s="65"/>
      <c r="KK61" s="65"/>
      <c r="KL61" s="65"/>
      <c r="KM61" s="65"/>
      <c r="KN61" s="65"/>
      <c r="KO61" s="65"/>
      <c r="KP61" s="65"/>
      <c r="KQ61" s="65"/>
      <c r="KR61" s="65"/>
      <c r="KS61" s="65"/>
      <c r="KT61" s="65"/>
      <c r="KU61" s="65"/>
      <c r="KV61" s="65"/>
      <c r="KW61" s="65"/>
      <c r="KX61" s="65"/>
      <c r="KY61" s="65"/>
      <c r="KZ61" s="65"/>
      <c r="LA61" s="65"/>
      <c r="LB61" s="65"/>
      <c r="LC61" s="65"/>
      <c r="LD61" s="65"/>
      <c r="LE61" s="65"/>
      <c r="LF61" s="65"/>
      <c r="LG61" s="65"/>
      <c r="LH61" s="65"/>
      <c r="LI61" s="65"/>
      <c r="LJ61" s="65"/>
      <c r="LK61" s="65"/>
      <c r="LL61" s="65"/>
      <c r="LM61" s="65"/>
      <c r="LN61" s="65"/>
      <c r="LO61" s="65"/>
      <c r="LP61" s="65"/>
      <c r="LQ61" s="65"/>
      <c r="LR61" s="65"/>
      <c r="LS61" s="65"/>
      <c r="LT61" s="65"/>
      <c r="LU61" s="65"/>
      <c r="LV61" s="65"/>
      <c r="LW61" s="65"/>
      <c r="LX61" s="65"/>
      <c r="LY61" s="65"/>
      <c r="LZ61" s="65"/>
      <c r="MA61" s="65"/>
      <c r="MB61" s="65"/>
      <c r="MC61" s="65"/>
      <c r="MD61" s="65"/>
      <c r="ME61" s="65"/>
      <c r="MF61" s="65"/>
      <c r="MG61" s="65"/>
      <c r="MH61" s="65"/>
      <c r="MI61" s="65"/>
      <c r="MJ61" s="65"/>
      <c r="MK61" s="65"/>
      <c r="ML61" s="65"/>
      <c r="MM61" s="65"/>
      <c r="MN61" s="65"/>
      <c r="MO61" s="65"/>
      <c r="MP61" s="65"/>
      <c r="MQ61" s="65"/>
      <c r="MR61" s="65"/>
      <c r="MS61" s="65"/>
      <c r="MT61" s="65"/>
      <c r="MU61" s="65"/>
      <c r="MV61" s="65"/>
      <c r="MW61" s="65"/>
      <c r="MX61" s="65"/>
      <c r="MY61" s="65"/>
      <c r="MZ61" s="65"/>
      <c r="NA61" s="65"/>
      <c r="NB61" s="65"/>
      <c r="NC61" s="65"/>
      <c r="ND61" s="65"/>
      <c r="NE61" s="65"/>
      <c r="NF61" s="65"/>
      <c r="NG61" s="65"/>
    </row>
    <row r="62">
      <c r="A62" s="65"/>
      <c r="B62" s="65"/>
      <c r="C62" s="207"/>
      <c r="D62" s="207"/>
      <c r="E62" s="109"/>
      <c r="F62" s="107" t="s">
        <v>1404</v>
      </c>
      <c r="G62" s="109"/>
      <c r="H62" s="109"/>
      <c r="I62" s="107" t="s">
        <v>1405</v>
      </c>
      <c r="J62" s="107" t="str">
        <f t="shared" si="7"/>
        <v>DUMB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5"/>
      <c r="BJ62" s="65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  <c r="CE62" s="65"/>
      <c r="CF62" s="65"/>
      <c r="CG62" s="65"/>
      <c r="CH62" s="65"/>
      <c r="CI62" s="65"/>
      <c r="CJ62" s="65"/>
      <c r="CK62" s="65"/>
      <c r="CL62" s="65"/>
      <c r="CM62" s="65"/>
      <c r="CN62" s="65"/>
      <c r="CO62" s="65"/>
      <c r="CP62" s="65"/>
      <c r="CQ62" s="65"/>
      <c r="CR62" s="65"/>
      <c r="CS62" s="65"/>
      <c r="CT62" s="65"/>
      <c r="CU62" s="65"/>
      <c r="CV62" s="65"/>
      <c r="CW62" s="65"/>
      <c r="CX62" s="65"/>
      <c r="CY62" s="65"/>
      <c r="CZ62" s="65"/>
      <c r="DA62" s="65"/>
      <c r="DB62" s="65"/>
      <c r="DC62" s="65"/>
      <c r="DD62" s="65"/>
      <c r="DE62" s="65"/>
      <c r="DF62" s="65"/>
      <c r="DG62" s="65"/>
      <c r="DH62" s="65"/>
      <c r="DI62" s="65"/>
      <c r="DJ62" s="65"/>
      <c r="DK62" s="65"/>
      <c r="DL62" s="65"/>
      <c r="DM62" s="65"/>
      <c r="DN62" s="65"/>
      <c r="DO62" s="65"/>
      <c r="DP62" s="65"/>
      <c r="DQ62" s="65"/>
      <c r="DR62" s="65"/>
      <c r="DS62" s="65"/>
      <c r="DT62" s="65"/>
      <c r="DU62" s="65"/>
      <c r="DV62" s="65"/>
      <c r="DW62" s="65"/>
      <c r="DX62" s="65"/>
      <c r="DY62" s="65"/>
      <c r="DZ62" s="65"/>
      <c r="EA62" s="65"/>
      <c r="EB62" s="65"/>
      <c r="EC62" s="65"/>
      <c r="ED62" s="65"/>
      <c r="EE62" s="65"/>
      <c r="EF62" s="65"/>
      <c r="EG62" s="65"/>
      <c r="EH62" s="65"/>
      <c r="EI62" s="65"/>
      <c r="EJ62" s="65"/>
      <c r="EK62" s="65"/>
      <c r="EL62" s="65"/>
      <c r="EM62" s="65"/>
      <c r="EN62" s="65"/>
      <c r="EO62" s="65"/>
      <c r="EP62" s="65"/>
      <c r="EQ62" s="65"/>
      <c r="ER62" s="65"/>
      <c r="ES62" s="65"/>
      <c r="ET62" s="65"/>
      <c r="EU62" s="65"/>
      <c r="EV62" s="65"/>
      <c r="EW62" s="65"/>
      <c r="EX62" s="65"/>
      <c r="EY62" s="65"/>
      <c r="EZ62" s="65"/>
      <c r="FA62" s="65"/>
      <c r="FB62" s="65"/>
      <c r="FC62" s="65"/>
      <c r="FD62" s="65"/>
      <c r="FE62" s="65"/>
      <c r="FF62" s="65"/>
      <c r="FG62" s="65"/>
      <c r="FH62" s="65"/>
      <c r="FI62" s="65"/>
      <c r="FJ62" s="65"/>
      <c r="FK62" s="65"/>
      <c r="FL62" s="65"/>
      <c r="FM62" s="65"/>
      <c r="FN62" s="65"/>
      <c r="FO62" s="65"/>
      <c r="FP62" s="65"/>
      <c r="FQ62" s="65"/>
      <c r="FR62" s="65"/>
      <c r="FS62" s="65"/>
      <c r="FT62" s="65"/>
      <c r="FU62" s="65"/>
      <c r="FV62" s="65"/>
      <c r="FW62" s="65"/>
      <c r="FX62" s="65"/>
      <c r="FY62" s="65"/>
      <c r="FZ62" s="65"/>
      <c r="GA62" s="65"/>
      <c r="GB62" s="65"/>
      <c r="GC62" s="65"/>
      <c r="GD62" s="65"/>
      <c r="GE62" s="65"/>
      <c r="GF62" s="65"/>
      <c r="GG62" s="65"/>
      <c r="GH62" s="65"/>
      <c r="GI62" s="65"/>
      <c r="GJ62" s="65"/>
      <c r="GK62" s="65"/>
      <c r="GL62" s="65"/>
      <c r="GM62" s="65"/>
      <c r="GN62" s="65"/>
      <c r="GO62" s="65"/>
      <c r="GP62" s="65"/>
      <c r="GQ62" s="65"/>
      <c r="GR62" s="65"/>
      <c r="GS62" s="65"/>
      <c r="GT62" s="65"/>
      <c r="GU62" s="65"/>
      <c r="GV62" s="65"/>
      <c r="GW62" s="65"/>
      <c r="GX62" s="65"/>
      <c r="GY62" s="65"/>
      <c r="GZ62" s="65"/>
      <c r="HA62" s="65"/>
      <c r="HB62" s="65"/>
      <c r="HC62" s="65"/>
      <c r="HD62" s="65"/>
      <c r="HE62" s="65"/>
      <c r="HF62" s="65"/>
      <c r="HG62" s="65"/>
      <c r="HH62" s="65"/>
      <c r="HI62" s="65"/>
      <c r="HJ62" s="65"/>
      <c r="HK62" s="65"/>
      <c r="HL62" s="65"/>
      <c r="HM62" s="65"/>
      <c r="HN62" s="65"/>
      <c r="HO62" s="65"/>
      <c r="HP62" s="65"/>
      <c r="HQ62" s="65"/>
      <c r="HR62" s="65"/>
      <c r="HS62" s="65"/>
      <c r="HT62" s="65"/>
      <c r="HU62" s="65"/>
      <c r="HV62" s="65"/>
      <c r="HW62" s="65"/>
      <c r="HX62" s="65"/>
      <c r="HY62" s="65"/>
      <c r="HZ62" s="65"/>
      <c r="IA62" s="65"/>
      <c r="IB62" s="65"/>
      <c r="IC62" s="65"/>
      <c r="ID62" s="65"/>
      <c r="IE62" s="65"/>
      <c r="IF62" s="65"/>
      <c r="IG62" s="65"/>
      <c r="IH62" s="65"/>
      <c r="II62" s="65"/>
      <c r="IJ62" s="65"/>
      <c r="IK62" s="65"/>
      <c r="IL62" s="65"/>
      <c r="IM62" s="65"/>
      <c r="IN62" s="65"/>
      <c r="IO62" s="65"/>
      <c r="IP62" s="65"/>
      <c r="IQ62" s="65"/>
      <c r="IR62" s="65"/>
      <c r="IS62" s="65"/>
      <c r="IT62" s="65"/>
      <c r="IU62" s="65"/>
      <c r="IV62" s="65"/>
      <c r="IW62" s="65"/>
      <c r="IX62" s="65"/>
      <c r="IY62" s="65"/>
      <c r="IZ62" s="65"/>
      <c r="JA62" s="65"/>
      <c r="JB62" s="65"/>
      <c r="JC62" s="65"/>
      <c r="JD62" s="65"/>
      <c r="JE62" s="65"/>
      <c r="JF62" s="65"/>
      <c r="JG62" s="65"/>
      <c r="JH62" s="65"/>
      <c r="JI62" s="65"/>
      <c r="JJ62" s="65"/>
      <c r="JK62" s="65"/>
      <c r="JL62" s="65"/>
      <c r="JM62" s="65"/>
      <c r="JN62" s="65"/>
      <c r="JO62" s="65"/>
      <c r="JP62" s="65"/>
      <c r="JQ62" s="65"/>
      <c r="JR62" s="65"/>
      <c r="JS62" s="65"/>
      <c r="JT62" s="65"/>
      <c r="JU62" s="65"/>
      <c r="JV62" s="65"/>
      <c r="JW62" s="65"/>
      <c r="JX62" s="65"/>
      <c r="JY62" s="65"/>
      <c r="JZ62" s="65"/>
      <c r="KA62" s="65"/>
      <c r="KB62" s="65"/>
      <c r="KC62" s="65"/>
      <c r="KD62" s="65"/>
      <c r="KE62" s="65"/>
      <c r="KF62" s="65"/>
      <c r="KG62" s="65"/>
      <c r="KH62" s="65"/>
      <c r="KI62" s="65"/>
      <c r="KJ62" s="65"/>
      <c r="KK62" s="65"/>
      <c r="KL62" s="65"/>
      <c r="KM62" s="65"/>
      <c r="KN62" s="65"/>
      <c r="KO62" s="65"/>
      <c r="KP62" s="65"/>
      <c r="KQ62" s="65"/>
      <c r="KR62" s="65"/>
      <c r="KS62" s="65"/>
      <c r="KT62" s="65"/>
      <c r="KU62" s="65"/>
      <c r="KV62" s="65"/>
      <c r="KW62" s="65"/>
      <c r="KX62" s="65"/>
      <c r="KY62" s="65"/>
      <c r="KZ62" s="65"/>
      <c r="LA62" s="65"/>
      <c r="LB62" s="65"/>
      <c r="LC62" s="65"/>
      <c r="LD62" s="65"/>
      <c r="LE62" s="65"/>
      <c r="LF62" s="65"/>
      <c r="LG62" s="65"/>
      <c r="LH62" s="65"/>
      <c r="LI62" s="65"/>
      <c r="LJ62" s="65"/>
      <c r="LK62" s="65"/>
      <c r="LL62" s="65"/>
      <c r="LM62" s="65"/>
      <c r="LN62" s="65"/>
      <c r="LO62" s="65"/>
      <c r="LP62" s="65"/>
      <c r="LQ62" s="65"/>
      <c r="LR62" s="65"/>
      <c r="LS62" s="65"/>
      <c r="LT62" s="65"/>
      <c r="LU62" s="65"/>
      <c r="LV62" s="65"/>
      <c r="LW62" s="65"/>
      <c r="LX62" s="65"/>
      <c r="LY62" s="65"/>
      <c r="LZ62" s="65"/>
      <c r="MA62" s="65"/>
      <c r="MB62" s="65"/>
      <c r="MC62" s="65"/>
      <c r="MD62" s="65"/>
      <c r="ME62" s="65"/>
      <c r="MF62" s="65"/>
      <c r="MG62" s="65"/>
      <c r="MH62" s="65"/>
      <c r="MI62" s="65"/>
      <c r="MJ62" s="65"/>
      <c r="MK62" s="65"/>
      <c r="ML62" s="65"/>
      <c r="MM62" s="65"/>
      <c r="MN62" s="65"/>
      <c r="MO62" s="65"/>
      <c r="MP62" s="65"/>
      <c r="MQ62" s="65"/>
      <c r="MR62" s="65"/>
      <c r="MS62" s="65"/>
      <c r="MT62" s="65"/>
      <c r="MU62" s="65"/>
      <c r="MV62" s="65"/>
      <c r="MW62" s="65"/>
      <c r="MX62" s="65"/>
      <c r="MY62" s="65"/>
      <c r="MZ62" s="65"/>
      <c r="NA62" s="65"/>
      <c r="NB62" s="65"/>
      <c r="NC62" s="65"/>
      <c r="ND62" s="65"/>
      <c r="NE62" s="65"/>
      <c r="NF62" s="65"/>
      <c r="NG62" s="65"/>
    </row>
    <row r="63">
      <c r="A63" s="65"/>
      <c r="B63" s="65"/>
      <c r="C63" s="201"/>
      <c r="D63" s="201"/>
      <c r="E63" s="109"/>
      <c r="F63" s="107" t="s">
        <v>1406</v>
      </c>
      <c r="G63" s="109"/>
      <c r="H63" s="109"/>
      <c r="I63" s="107" t="s">
        <v>1407</v>
      </c>
      <c r="J63" s="107" t="str">
        <f t="shared" si="7"/>
        <v>SEA</v>
      </c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  <c r="BE63" s="65"/>
      <c r="BF63" s="65"/>
      <c r="BG63" s="65"/>
      <c r="BH63" s="65"/>
      <c r="BI63" s="65"/>
      <c r="BJ63" s="65"/>
      <c r="BK63" s="65"/>
      <c r="BL63" s="65"/>
      <c r="BM63" s="65"/>
      <c r="BN63" s="65"/>
      <c r="BO63" s="65"/>
      <c r="BP63" s="65"/>
      <c r="BQ63" s="65"/>
      <c r="BR63" s="65"/>
      <c r="BS63" s="65"/>
      <c r="BT63" s="65"/>
      <c r="BU63" s="65"/>
      <c r="BV63" s="65"/>
      <c r="BW63" s="65"/>
      <c r="BX63" s="65"/>
      <c r="BY63" s="65"/>
      <c r="BZ63" s="65"/>
      <c r="CA63" s="65"/>
      <c r="CB63" s="65"/>
      <c r="CC63" s="65"/>
      <c r="CD63" s="65"/>
      <c r="CE63" s="65"/>
      <c r="CF63" s="65"/>
      <c r="CG63" s="65"/>
      <c r="CH63" s="65"/>
      <c r="CI63" s="65"/>
      <c r="CJ63" s="65"/>
      <c r="CK63" s="65"/>
      <c r="CL63" s="65"/>
      <c r="CM63" s="65"/>
      <c r="CN63" s="65"/>
      <c r="CO63" s="65"/>
      <c r="CP63" s="65"/>
      <c r="CQ63" s="65"/>
      <c r="CR63" s="65"/>
      <c r="CS63" s="65"/>
      <c r="CT63" s="65"/>
      <c r="CU63" s="65"/>
      <c r="CV63" s="65"/>
      <c r="CW63" s="65"/>
      <c r="CX63" s="65"/>
      <c r="CY63" s="65"/>
      <c r="CZ63" s="65"/>
      <c r="DA63" s="65"/>
      <c r="DB63" s="65"/>
      <c r="DC63" s="65"/>
      <c r="DD63" s="65"/>
      <c r="DE63" s="65"/>
      <c r="DF63" s="65"/>
      <c r="DG63" s="65"/>
      <c r="DH63" s="65"/>
      <c r="DI63" s="65"/>
      <c r="DJ63" s="65"/>
      <c r="DK63" s="65"/>
      <c r="DL63" s="65"/>
      <c r="DM63" s="65"/>
      <c r="DN63" s="65"/>
      <c r="DO63" s="65"/>
      <c r="DP63" s="65"/>
      <c r="DQ63" s="65"/>
      <c r="DR63" s="65"/>
      <c r="DS63" s="65"/>
      <c r="DT63" s="65"/>
      <c r="DU63" s="65"/>
      <c r="DV63" s="65"/>
      <c r="DW63" s="65"/>
      <c r="DX63" s="65"/>
      <c r="DY63" s="65"/>
      <c r="DZ63" s="65"/>
      <c r="EA63" s="65"/>
      <c r="EB63" s="65"/>
      <c r="EC63" s="65"/>
      <c r="ED63" s="65"/>
      <c r="EE63" s="65"/>
      <c r="EF63" s="65"/>
      <c r="EG63" s="65"/>
      <c r="EH63" s="65"/>
      <c r="EI63" s="65"/>
      <c r="EJ63" s="65"/>
      <c r="EK63" s="65"/>
      <c r="EL63" s="65"/>
      <c r="EM63" s="65"/>
      <c r="EN63" s="65"/>
      <c r="EO63" s="65"/>
      <c r="EP63" s="65"/>
      <c r="EQ63" s="65"/>
      <c r="ER63" s="65"/>
      <c r="ES63" s="65"/>
      <c r="ET63" s="65"/>
      <c r="EU63" s="65"/>
      <c r="EV63" s="65"/>
      <c r="EW63" s="65"/>
      <c r="EX63" s="65"/>
      <c r="EY63" s="65"/>
      <c r="EZ63" s="65"/>
      <c r="FA63" s="65"/>
      <c r="FB63" s="65"/>
      <c r="FC63" s="65"/>
      <c r="FD63" s="65"/>
      <c r="FE63" s="65"/>
      <c r="FF63" s="65"/>
      <c r="FG63" s="65"/>
      <c r="FH63" s="65"/>
      <c r="FI63" s="65"/>
      <c r="FJ63" s="65"/>
      <c r="FK63" s="65"/>
      <c r="FL63" s="65"/>
      <c r="FM63" s="65"/>
      <c r="FN63" s="65"/>
      <c r="FO63" s="65"/>
      <c r="FP63" s="65"/>
      <c r="FQ63" s="65"/>
      <c r="FR63" s="65"/>
      <c r="FS63" s="65"/>
      <c r="FT63" s="65"/>
      <c r="FU63" s="65"/>
      <c r="FV63" s="65"/>
      <c r="FW63" s="65"/>
      <c r="FX63" s="65"/>
      <c r="FY63" s="65"/>
      <c r="FZ63" s="65"/>
      <c r="GA63" s="65"/>
      <c r="GB63" s="65"/>
      <c r="GC63" s="65"/>
      <c r="GD63" s="65"/>
      <c r="GE63" s="65"/>
      <c r="GF63" s="65"/>
      <c r="GG63" s="65"/>
      <c r="GH63" s="65"/>
      <c r="GI63" s="65"/>
      <c r="GJ63" s="65"/>
      <c r="GK63" s="65"/>
      <c r="GL63" s="65"/>
      <c r="GM63" s="65"/>
      <c r="GN63" s="65"/>
      <c r="GO63" s="65"/>
      <c r="GP63" s="65"/>
      <c r="GQ63" s="65"/>
      <c r="GR63" s="65"/>
      <c r="GS63" s="65"/>
      <c r="GT63" s="65"/>
      <c r="GU63" s="65"/>
      <c r="GV63" s="65"/>
      <c r="GW63" s="65"/>
      <c r="GX63" s="65"/>
      <c r="GY63" s="65"/>
      <c r="GZ63" s="65"/>
      <c r="HA63" s="65"/>
      <c r="HB63" s="65"/>
      <c r="HC63" s="65"/>
      <c r="HD63" s="65"/>
      <c r="HE63" s="65"/>
      <c r="HF63" s="65"/>
      <c r="HG63" s="65"/>
      <c r="HH63" s="65"/>
      <c r="HI63" s="65"/>
      <c r="HJ63" s="65"/>
      <c r="HK63" s="65"/>
      <c r="HL63" s="65"/>
      <c r="HM63" s="65"/>
      <c r="HN63" s="65"/>
      <c r="HO63" s="65"/>
      <c r="HP63" s="65"/>
      <c r="HQ63" s="65"/>
      <c r="HR63" s="65"/>
      <c r="HS63" s="65"/>
      <c r="HT63" s="65"/>
      <c r="HU63" s="65"/>
      <c r="HV63" s="65"/>
      <c r="HW63" s="65"/>
      <c r="HX63" s="65"/>
      <c r="HY63" s="65"/>
      <c r="HZ63" s="65"/>
      <c r="IA63" s="65"/>
      <c r="IB63" s="65"/>
      <c r="IC63" s="65"/>
      <c r="ID63" s="65"/>
      <c r="IE63" s="65"/>
      <c r="IF63" s="65"/>
      <c r="IG63" s="65"/>
      <c r="IH63" s="65"/>
      <c r="II63" s="65"/>
      <c r="IJ63" s="65"/>
      <c r="IK63" s="65"/>
      <c r="IL63" s="65"/>
      <c r="IM63" s="65"/>
      <c r="IN63" s="65"/>
      <c r="IO63" s="65"/>
      <c r="IP63" s="65"/>
      <c r="IQ63" s="65"/>
      <c r="IR63" s="65"/>
      <c r="IS63" s="65"/>
      <c r="IT63" s="65"/>
      <c r="IU63" s="65"/>
      <c r="IV63" s="65"/>
      <c r="IW63" s="65"/>
      <c r="IX63" s="65"/>
      <c r="IY63" s="65"/>
      <c r="IZ63" s="65"/>
      <c r="JA63" s="65"/>
      <c r="JB63" s="65"/>
      <c r="JC63" s="65"/>
      <c r="JD63" s="65"/>
      <c r="JE63" s="65"/>
      <c r="JF63" s="65"/>
      <c r="JG63" s="65"/>
      <c r="JH63" s="65"/>
      <c r="JI63" s="65"/>
      <c r="JJ63" s="65"/>
      <c r="JK63" s="65"/>
      <c r="JL63" s="65"/>
      <c r="JM63" s="65"/>
      <c r="JN63" s="65"/>
      <c r="JO63" s="65"/>
      <c r="JP63" s="65"/>
      <c r="JQ63" s="65"/>
      <c r="JR63" s="65"/>
      <c r="JS63" s="65"/>
      <c r="JT63" s="65"/>
      <c r="JU63" s="65"/>
      <c r="JV63" s="65"/>
      <c r="JW63" s="65"/>
      <c r="JX63" s="65"/>
      <c r="JY63" s="65"/>
      <c r="JZ63" s="65"/>
      <c r="KA63" s="65"/>
      <c r="KB63" s="65"/>
      <c r="KC63" s="65"/>
      <c r="KD63" s="65"/>
      <c r="KE63" s="65"/>
      <c r="KF63" s="65"/>
      <c r="KG63" s="65"/>
      <c r="KH63" s="65"/>
      <c r="KI63" s="65"/>
      <c r="KJ63" s="65"/>
      <c r="KK63" s="65"/>
      <c r="KL63" s="65"/>
      <c r="KM63" s="65"/>
      <c r="KN63" s="65"/>
      <c r="KO63" s="65"/>
      <c r="KP63" s="65"/>
      <c r="KQ63" s="65"/>
      <c r="KR63" s="65"/>
      <c r="KS63" s="65"/>
      <c r="KT63" s="65"/>
      <c r="KU63" s="65"/>
      <c r="KV63" s="65"/>
      <c r="KW63" s="65"/>
      <c r="KX63" s="65"/>
      <c r="KY63" s="65"/>
      <c r="KZ63" s="65"/>
      <c r="LA63" s="65"/>
      <c r="LB63" s="65"/>
      <c r="LC63" s="65"/>
      <c r="LD63" s="65"/>
      <c r="LE63" s="65"/>
      <c r="LF63" s="65"/>
      <c r="LG63" s="65"/>
      <c r="LH63" s="65"/>
      <c r="LI63" s="65"/>
      <c r="LJ63" s="65"/>
      <c r="LK63" s="65"/>
      <c r="LL63" s="65"/>
      <c r="LM63" s="65"/>
      <c r="LN63" s="65"/>
      <c r="LO63" s="65"/>
      <c r="LP63" s="65"/>
      <c r="LQ63" s="65"/>
      <c r="LR63" s="65"/>
      <c r="LS63" s="65"/>
      <c r="LT63" s="65"/>
      <c r="LU63" s="65"/>
      <c r="LV63" s="65"/>
      <c r="LW63" s="65"/>
      <c r="LX63" s="65"/>
      <c r="LY63" s="65"/>
      <c r="LZ63" s="65"/>
      <c r="MA63" s="65"/>
      <c r="MB63" s="65"/>
      <c r="MC63" s="65"/>
      <c r="MD63" s="65"/>
      <c r="ME63" s="65"/>
      <c r="MF63" s="65"/>
      <c r="MG63" s="65"/>
      <c r="MH63" s="65"/>
      <c r="MI63" s="65"/>
      <c r="MJ63" s="65"/>
      <c r="MK63" s="65"/>
      <c r="ML63" s="65"/>
      <c r="MM63" s="65"/>
      <c r="MN63" s="65"/>
      <c r="MO63" s="65"/>
      <c r="MP63" s="65"/>
      <c r="MQ63" s="65"/>
      <c r="MR63" s="65"/>
      <c r="MS63" s="65"/>
      <c r="MT63" s="65"/>
      <c r="MU63" s="65"/>
      <c r="MV63" s="65"/>
      <c r="MW63" s="65"/>
      <c r="MX63" s="65"/>
      <c r="MY63" s="65"/>
      <c r="MZ63" s="65"/>
      <c r="NA63" s="65"/>
      <c r="NB63" s="65"/>
      <c r="NC63" s="65"/>
      <c r="ND63" s="65"/>
      <c r="NE63" s="65"/>
      <c r="NF63" s="65"/>
      <c r="NG63" s="65"/>
    </row>
    <row r="64">
      <c r="A64" s="65"/>
      <c r="B64" s="65"/>
      <c r="C64" s="209"/>
      <c r="D64" s="209"/>
      <c r="E64" s="65"/>
      <c r="F64" s="210"/>
      <c r="G64" s="65"/>
      <c r="H64" s="65"/>
      <c r="I64" s="210"/>
      <c r="J64" s="210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  <c r="BE64" s="65"/>
      <c r="BF64" s="65"/>
      <c r="BG64" s="65"/>
      <c r="BH64" s="65"/>
      <c r="BI64" s="65"/>
      <c r="BJ64" s="65"/>
      <c r="BK64" s="65"/>
      <c r="BL64" s="65"/>
      <c r="BM64" s="65"/>
      <c r="BN64" s="65"/>
      <c r="BO64" s="65"/>
      <c r="BP64" s="65"/>
      <c r="BQ64" s="65"/>
      <c r="BR64" s="65"/>
      <c r="BS64" s="65"/>
      <c r="BT64" s="65"/>
      <c r="BU64" s="65"/>
      <c r="BV64" s="65"/>
      <c r="BW64" s="65"/>
      <c r="BX64" s="65"/>
      <c r="BY64" s="65"/>
      <c r="BZ64" s="65"/>
      <c r="CA64" s="65"/>
      <c r="CB64" s="65"/>
      <c r="CC64" s="65"/>
      <c r="CD64" s="65"/>
      <c r="CE64" s="65"/>
      <c r="CF64" s="65"/>
      <c r="CG64" s="65"/>
      <c r="CH64" s="65"/>
      <c r="CI64" s="65"/>
      <c r="CJ64" s="65"/>
      <c r="CK64" s="65"/>
      <c r="CL64" s="65"/>
      <c r="CM64" s="65"/>
      <c r="CN64" s="65"/>
      <c r="CO64" s="65"/>
      <c r="CP64" s="65"/>
      <c r="CQ64" s="65"/>
      <c r="CR64" s="65"/>
      <c r="CS64" s="65"/>
      <c r="CT64" s="65"/>
      <c r="CU64" s="65"/>
      <c r="CV64" s="65"/>
      <c r="CW64" s="65"/>
      <c r="CX64" s="65"/>
      <c r="CY64" s="65"/>
      <c r="CZ64" s="65"/>
      <c r="DA64" s="65"/>
      <c r="DB64" s="65"/>
      <c r="DC64" s="65"/>
      <c r="DD64" s="65"/>
      <c r="DE64" s="65"/>
      <c r="DF64" s="65"/>
      <c r="DG64" s="65"/>
      <c r="DH64" s="65"/>
      <c r="DI64" s="65"/>
      <c r="DJ64" s="65"/>
      <c r="DK64" s="65"/>
      <c r="DL64" s="65"/>
      <c r="DM64" s="65"/>
      <c r="DN64" s="65"/>
      <c r="DO64" s="65"/>
      <c r="DP64" s="65"/>
      <c r="DQ64" s="65"/>
      <c r="DR64" s="65"/>
      <c r="DS64" s="65"/>
      <c r="DT64" s="65"/>
      <c r="DU64" s="65"/>
      <c r="DV64" s="65"/>
      <c r="DW64" s="65"/>
      <c r="DX64" s="65"/>
      <c r="DY64" s="65"/>
      <c r="DZ64" s="65"/>
      <c r="EA64" s="65"/>
      <c r="EB64" s="65"/>
      <c r="EC64" s="65"/>
      <c r="ED64" s="65"/>
      <c r="EE64" s="65"/>
      <c r="EF64" s="65"/>
      <c r="EG64" s="65"/>
      <c r="EH64" s="65"/>
      <c r="EI64" s="65"/>
      <c r="EJ64" s="65"/>
      <c r="EK64" s="65"/>
      <c r="EL64" s="65"/>
      <c r="EM64" s="65"/>
      <c r="EN64" s="65"/>
      <c r="EO64" s="65"/>
      <c r="EP64" s="65"/>
      <c r="EQ64" s="65"/>
      <c r="ER64" s="65"/>
      <c r="ES64" s="65"/>
      <c r="ET64" s="65"/>
      <c r="EU64" s="65"/>
      <c r="EV64" s="65"/>
      <c r="EW64" s="65"/>
      <c r="EX64" s="65"/>
      <c r="EY64" s="65"/>
      <c r="EZ64" s="65"/>
      <c r="FA64" s="65"/>
      <c r="FB64" s="65"/>
      <c r="FC64" s="65"/>
      <c r="FD64" s="65"/>
      <c r="FE64" s="65"/>
      <c r="FF64" s="65"/>
      <c r="FG64" s="65"/>
      <c r="FH64" s="65"/>
      <c r="FI64" s="65"/>
      <c r="FJ64" s="65"/>
      <c r="FK64" s="65"/>
      <c r="FL64" s="65"/>
      <c r="FM64" s="65"/>
      <c r="FN64" s="65"/>
      <c r="FO64" s="65"/>
      <c r="FP64" s="65"/>
      <c r="FQ64" s="65"/>
      <c r="FR64" s="65"/>
      <c r="FS64" s="65"/>
      <c r="FT64" s="65"/>
      <c r="FU64" s="65"/>
      <c r="FV64" s="65"/>
      <c r="FW64" s="65"/>
      <c r="FX64" s="65"/>
      <c r="FY64" s="65"/>
      <c r="FZ64" s="65"/>
      <c r="GA64" s="65"/>
      <c r="GB64" s="65"/>
      <c r="GC64" s="65"/>
      <c r="GD64" s="65"/>
      <c r="GE64" s="65"/>
      <c r="GF64" s="65"/>
      <c r="GG64" s="65"/>
      <c r="GH64" s="65"/>
      <c r="GI64" s="65"/>
      <c r="GJ64" s="65"/>
      <c r="GK64" s="65"/>
      <c r="GL64" s="65"/>
      <c r="GM64" s="65"/>
      <c r="GN64" s="65"/>
      <c r="GO64" s="65"/>
      <c r="GP64" s="65"/>
      <c r="GQ64" s="65"/>
      <c r="GR64" s="65"/>
      <c r="GS64" s="65"/>
      <c r="GT64" s="65"/>
      <c r="GU64" s="65"/>
      <c r="GV64" s="65"/>
      <c r="GW64" s="65"/>
      <c r="GX64" s="65"/>
      <c r="GY64" s="65"/>
      <c r="GZ64" s="65"/>
      <c r="HA64" s="65"/>
      <c r="HB64" s="65"/>
      <c r="HC64" s="65"/>
      <c r="HD64" s="65"/>
      <c r="HE64" s="65"/>
      <c r="HF64" s="65"/>
      <c r="HG64" s="65"/>
      <c r="HH64" s="65"/>
      <c r="HI64" s="65"/>
      <c r="HJ64" s="65"/>
      <c r="HK64" s="65"/>
      <c r="HL64" s="65"/>
      <c r="HM64" s="65"/>
      <c r="HN64" s="65"/>
      <c r="HO64" s="65"/>
      <c r="HP64" s="65"/>
      <c r="HQ64" s="65"/>
      <c r="HR64" s="65"/>
      <c r="HS64" s="65"/>
      <c r="HT64" s="65"/>
      <c r="HU64" s="65"/>
      <c r="HV64" s="65"/>
      <c r="HW64" s="65"/>
      <c r="HX64" s="65"/>
      <c r="HY64" s="65"/>
      <c r="HZ64" s="65"/>
      <c r="IA64" s="65"/>
      <c r="IB64" s="65"/>
      <c r="IC64" s="65"/>
      <c r="ID64" s="65"/>
      <c r="IE64" s="65"/>
      <c r="IF64" s="65"/>
      <c r="IG64" s="65"/>
      <c r="IH64" s="65"/>
      <c r="II64" s="65"/>
      <c r="IJ64" s="65"/>
      <c r="IK64" s="65"/>
      <c r="IL64" s="65"/>
      <c r="IM64" s="65"/>
      <c r="IN64" s="65"/>
      <c r="IO64" s="65"/>
      <c r="IP64" s="65"/>
      <c r="IQ64" s="65"/>
      <c r="IR64" s="65"/>
      <c r="IS64" s="65"/>
      <c r="IT64" s="65"/>
      <c r="IU64" s="65"/>
      <c r="IV64" s="65"/>
      <c r="IW64" s="65"/>
      <c r="IX64" s="65"/>
      <c r="IY64" s="65"/>
      <c r="IZ64" s="65"/>
      <c r="JA64" s="65"/>
      <c r="JB64" s="65"/>
      <c r="JC64" s="65"/>
      <c r="JD64" s="65"/>
      <c r="JE64" s="65"/>
      <c r="JF64" s="65"/>
      <c r="JG64" s="65"/>
      <c r="JH64" s="65"/>
      <c r="JI64" s="65"/>
      <c r="JJ64" s="65"/>
      <c r="JK64" s="65"/>
      <c r="JL64" s="65"/>
      <c r="JM64" s="65"/>
      <c r="JN64" s="65"/>
      <c r="JO64" s="65"/>
      <c r="JP64" s="65"/>
      <c r="JQ64" s="65"/>
      <c r="JR64" s="65"/>
      <c r="JS64" s="65"/>
      <c r="JT64" s="65"/>
      <c r="JU64" s="65"/>
      <c r="JV64" s="65"/>
      <c r="JW64" s="65"/>
      <c r="JX64" s="65"/>
      <c r="JY64" s="65"/>
      <c r="JZ64" s="65"/>
      <c r="KA64" s="65"/>
      <c r="KB64" s="65"/>
      <c r="KC64" s="65"/>
      <c r="KD64" s="65"/>
      <c r="KE64" s="65"/>
      <c r="KF64" s="65"/>
      <c r="KG64" s="65"/>
      <c r="KH64" s="65"/>
      <c r="KI64" s="65"/>
      <c r="KJ64" s="65"/>
      <c r="KK64" s="65"/>
      <c r="KL64" s="65"/>
      <c r="KM64" s="65"/>
      <c r="KN64" s="65"/>
      <c r="KO64" s="65"/>
      <c r="KP64" s="65"/>
      <c r="KQ64" s="65"/>
      <c r="KR64" s="65"/>
      <c r="KS64" s="65"/>
      <c r="KT64" s="65"/>
      <c r="KU64" s="65"/>
      <c r="KV64" s="65"/>
      <c r="KW64" s="65"/>
      <c r="KX64" s="65"/>
      <c r="KY64" s="65"/>
      <c r="KZ64" s="65"/>
      <c r="LA64" s="65"/>
      <c r="LB64" s="65"/>
      <c r="LC64" s="65"/>
      <c r="LD64" s="65"/>
      <c r="LE64" s="65"/>
      <c r="LF64" s="65"/>
      <c r="LG64" s="65"/>
      <c r="LH64" s="65"/>
      <c r="LI64" s="65"/>
      <c r="LJ64" s="65"/>
      <c r="LK64" s="65"/>
      <c r="LL64" s="65"/>
      <c r="LM64" s="65"/>
      <c r="LN64" s="65"/>
      <c r="LO64" s="65"/>
      <c r="LP64" s="65"/>
      <c r="LQ64" s="65"/>
      <c r="LR64" s="65"/>
      <c r="LS64" s="65"/>
      <c r="LT64" s="65"/>
      <c r="LU64" s="65"/>
      <c r="LV64" s="65"/>
      <c r="LW64" s="65"/>
      <c r="LX64" s="65"/>
      <c r="LY64" s="65"/>
      <c r="LZ64" s="65"/>
      <c r="MA64" s="65"/>
      <c r="MB64" s="65"/>
      <c r="MC64" s="65"/>
      <c r="MD64" s="65"/>
      <c r="ME64" s="65"/>
      <c r="MF64" s="65"/>
      <c r="MG64" s="65"/>
      <c r="MH64" s="65"/>
      <c r="MI64" s="65"/>
      <c r="MJ64" s="65"/>
      <c r="MK64" s="65"/>
      <c r="ML64" s="65"/>
      <c r="MM64" s="65"/>
      <c r="MN64" s="65"/>
      <c r="MO64" s="65"/>
      <c r="MP64" s="65"/>
      <c r="MQ64" s="65"/>
      <c r="MR64" s="65"/>
      <c r="MS64" s="65"/>
      <c r="MT64" s="65"/>
      <c r="MU64" s="65"/>
      <c r="MV64" s="65"/>
      <c r="MW64" s="65"/>
      <c r="MX64" s="65"/>
      <c r="MY64" s="65"/>
      <c r="MZ64" s="65"/>
      <c r="NA64" s="65"/>
      <c r="NB64" s="65"/>
      <c r="NC64" s="65"/>
      <c r="ND64" s="65"/>
      <c r="NE64" s="65"/>
      <c r="NF64" s="65"/>
      <c r="NG64" s="65"/>
    </row>
    <row r="65">
      <c r="A65" s="65"/>
      <c r="B65" s="65"/>
      <c r="C65" s="205">
        <v>12.0</v>
      </c>
      <c r="D65" s="205" t="s">
        <v>68</v>
      </c>
      <c r="E65" s="109"/>
      <c r="F65" s="107" t="s">
        <v>1408</v>
      </c>
      <c r="G65" s="109"/>
      <c r="H65" s="109"/>
      <c r="I65" s="107" t="s">
        <v>1409</v>
      </c>
      <c r="J65" s="111">
        <f t="shared" ref="J65:J69" si="8">LEN(F65)</f>
        <v>5</v>
      </c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  <c r="BE65" s="65"/>
      <c r="BF65" s="65"/>
      <c r="BG65" s="65"/>
      <c r="BH65" s="65"/>
      <c r="BI65" s="65"/>
      <c r="BJ65" s="65"/>
      <c r="BK65" s="65"/>
      <c r="BL65" s="65"/>
      <c r="BM65" s="65"/>
      <c r="BN65" s="65"/>
      <c r="BO65" s="65"/>
      <c r="BP65" s="65"/>
      <c r="BQ65" s="65"/>
      <c r="BR65" s="65"/>
      <c r="BS65" s="65"/>
      <c r="BT65" s="65"/>
      <c r="BU65" s="65"/>
      <c r="BV65" s="65"/>
      <c r="BW65" s="65"/>
      <c r="BX65" s="65"/>
      <c r="BY65" s="65"/>
      <c r="BZ65" s="65"/>
      <c r="CA65" s="65"/>
      <c r="CB65" s="65"/>
      <c r="CC65" s="65"/>
      <c r="CD65" s="65"/>
      <c r="CE65" s="65"/>
      <c r="CF65" s="65"/>
      <c r="CG65" s="65"/>
      <c r="CH65" s="65"/>
      <c r="CI65" s="65"/>
      <c r="CJ65" s="65"/>
      <c r="CK65" s="65"/>
      <c r="CL65" s="65"/>
      <c r="CM65" s="65"/>
      <c r="CN65" s="65"/>
      <c r="CO65" s="65"/>
      <c r="CP65" s="65"/>
      <c r="CQ65" s="65"/>
      <c r="CR65" s="65"/>
      <c r="CS65" s="65"/>
      <c r="CT65" s="65"/>
      <c r="CU65" s="65"/>
      <c r="CV65" s="65"/>
      <c r="CW65" s="65"/>
      <c r="CX65" s="65"/>
      <c r="CY65" s="65"/>
      <c r="CZ65" s="65"/>
      <c r="DA65" s="65"/>
      <c r="DB65" s="65"/>
      <c r="DC65" s="65"/>
      <c r="DD65" s="65"/>
      <c r="DE65" s="65"/>
      <c r="DF65" s="65"/>
      <c r="DG65" s="65"/>
      <c r="DH65" s="65"/>
      <c r="DI65" s="65"/>
      <c r="DJ65" s="65"/>
      <c r="DK65" s="65"/>
      <c r="DL65" s="65"/>
      <c r="DM65" s="65"/>
      <c r="DN65" s="65"/>
      <c r="DO65" s="65"/>
      <c r="DP65" s="65"/>
      <c r="DQ65" s="65"/>
      <c r="DR65" s="65"/>
      <c r="DS65" s="65"/>
      <c r="DT65" s="65"/>
      <c r="DU65" s="65"/>
      <c r="DV65" s="65"/>
      <c r="DW65" s="65"/>
      <c r="DX65" s="65"/>
      <c r="DY65" s="65"/>
      <c r="DZ65" s="65"/>
      <c r="EA65" s="65"/>
      <c r="EB65" s="65"/>
      <c r="EC65" s="65"/>
      <c r="ED65" s="65"/>
      <c r="EE65" s="65"/>
      <c r="EF65" s="65"/>
      <c r="EG65" s="65"/>
      <c r="EH65" s="65"/>
      <c r="EI65" s="65"/>
      <c r="EJ65" s="65"/>
      <c r="EK65" s="65"/>
      <c r="EL65" s="65"/>
      <c r="EM65" s="65"/>
      <c r="EN65" s="65"/>
      <c r="EO65" s="65"/>
      <c r="EP65" s="65"/>
      <c r="EQ65" s="65"/>
      <c r="ER65" s="65"/>
      <c r="ES65" s="65"/>
      <c r="ET65" s="65"/>
      <c r="EU65" s="65"/>
      <c r="EV65" s="65"/>
      <c r="EW65" s="65"/>
      <c r="EX65" s="65"/>
      <c r="EY65" s="65"/>
      <c r="EZ65" s="65"/>
      <c r="FA65" s="65"/>
      <c r="FB65" s="65"/>
      <c r="FC65" s="65"/>
      <c r="FD65" s="65"/>
      <c r="FE65" s="65"/>
      <c r="FF65" s="65"/>
      <c r="FG65" s="65"/>
      <c r="FH65" s="65"/>
      <c r="FI65" s="65"/>
      <c r="FJ65" s="65"/>
      <c r="FK65" s="65"/>
      <c r="FL65" s="65"/>
      <c r="FM65" s="65"/>
      <c r="FN65" s="65"/>
      <c r="FO65" s="65"/>
      <c r="FP65" s="65"/>
      <c r="FQ65" s="65"/>
      <c r="FR65" s="65"/>
      <c r="FS65" s="65"/>
      <c r="FT65" s="65"/>
      <c r="FU65" s="65"/>
      <c r="FV65" s="65"/>
      <c r="FW65" s="65"/>
      <c r="FX65" s="65"/>
      <c r="FY65" s="65"/>
      <c r="FZ65" s="65"/>
      <c r="GA65" s="65"/>
      <c r="GB65" s="65"/>
      <c r="GC65" s="65"/>
      <c r="GD65" s="65"/>
      <c r="GE65" s="65"/>
      <c r="GF65" s="65"/>
      <c r="GG65" s="65"/>
      <c r="GH65" s="65"/>
      <c r="GI65" s="65"/>
      <c r="GJ65" s="65"/>
      <c r="GK65" s="65"/>
      <c r="GL65" s="65"/>
      <c r="GM65" s="65"/>
      <c r="GN65" s="65"/>
      <c r="GO65" s="65"/>
      <c r="GP65" s="65"/>
      <c r="GQ65" s="65"/>
      <c r="GR65" s="65"/>
      <c r="GS65" s="65"/>
      <c r="GT65" s="65"/>
      <c r="GU65" s="65"/>
      <c r="GV65" s="65"/>
      <c r="GW65" s="65"/>
      <c r="GX65" s="65"/>
      <c r="GY65" s="65"/>
      <c r="GZ65" s="65"/>
      <c r="HA65" s="65"/>
      <c r="HB65" s="65"/>
      <c r="HC65" s="65"/>
      <c r="HD65" s="65"/>
      <c r="HE65" s="65"/>
      <c r="HF65" s="65"/>
      <c r="HG65" s="65"/>
      <c r="HH65" s="65"/>
      <c r="HI65" s="65"/>
      <c r="HJ65" s="65"/>
      <c r="HK65" s="65"/>
      <c r="HL65" s="65"/>
      <c r="HM65" s="65"/>
      <c r="HN65" s="65"/>
      <c r="HO65" s="65"/>
      <c r="HP65" s="65"/>
      <c r="HQ65" s="65"/>
      <c r="HR65" s="65"/>
      <c r="HS65" s="65"/>
      <c r="HT65" s="65"/>
      <c r="HU65" s="65"/>
      <c r="HV65" s="65"/>
      <c r="HW65" s="65"/>
      <c r="HX65" s="65"/>
      <c r="HY65" s="65"/>
      <c r="HZ65" s="65"/>
      <c r="IA65" s="65"/>
      <c r="IB65" s="65"/>
      <c r="IC65" s="65"/>
      <c r="ID65" s="65"/>
      <c r="IE65" s="65"/>
      <c r="IF65" s="65"/>
      <c r="IG65" s="65"/>
      <c r="IH65" s="65"/>
      <c r="II65" s="65"/>
      <c r="IJ65" s="65"/>
      <c r="IK65" s="65"/>
      <c r="IL65" s="65"/>
      <c r="IM65" s="65"/>
      <c r="IN65" s="65"/>
      <c r="IO65" s="65"/>
      <c r="IP65" s="65"/>
      <c r="IQ65" s="65"/>
      <c r="IR65" s="65"/>
      <c r="IS65" s="65"/>
      <c r="IT65" s="65"/>
      <c r="IU65" s="65"/>
      <c r="IV65" s="65"/>
      <c r="IW65" s="65"/>
      <c r="IX65" s="65"/>
      <c r="IY65" s="65"/>
      <c r="IZ65" s="65"/>
      <c r="JA65" s="65"/>
      <c r="JB65" s="65"/>
      <c r="JC65" s="65"/>
      <c r="JD65" s="65"/>
      <c r="JE65" s="65"/>
      <c r="JF65" s="65"/>
      <c r="JG65" s="65"/>
      <c r="JH65" s="65"/>
      <c r="JI65" s="65"/>
      <c r="JJ65" s="65"/>
      <c r="JK65" s="65"/>
      <c r="JL65" s="65"/>
      <c r="JM65" s="65"/>
      <c r="JN65" s="65"/>
      <c r="JO65" s="65"/>
      <c r="JP65" s="65"/>
      <c r="JQ65" s="65"/>
      <c r="JR65" s="65"/>
      <c r="JS65" s="65"/>
      <c r="JT65" s="65"/>
      <c r="JU65" s="65"/>
      <c r="JV65" s="65"/>
      <c r="JW65" s="65"/>
      <c r="JX65" s="65"/>
      <c r="JY65" s="65"/>
      <c r="JZ65" s="65"/>
      <c r="KA65" s="65"/>
      <c r="KB65" s="65"/>
      <c r="KC65" s="65"/>
      <c r="KD65" s="65"/>
      <c r="KE65" s="65"/>
      <c r="KF65" s="65"/>
      <c r="KG65" s="65"/>
      <c r="KH65" s="65"/>
      <c r="KI65" s="65"/>
      <c r="KJ65" s="65"/>
      <c r="KK65" s="65"/>
      <c r="KL65" s="65"/>
      <c r="KM65" s="65"/>
      <c r="KN65" s="65"/>
      <c r="KO65" s="65"/>
      <c r="KP65" s="65"/>
      <c r="KQ65" s="65"/>
      <c r="KR65" s="65"/>
      <c r="KS65" s="65"/>
      <c r="KT65" s="65"/>
      <c r="KU65" s="65"/>
      <c r="KV65" s="65"/>
      <c r="KW65" s="65"/>
      <c r="KX65" s="65"/>
      <c r="KY65" s="65"/>
      <c r="KZ65" s="65"/>
      <c r="LA65" s="65"/>
      <c r="LB65" s="65"/>
      <c r="LC65" s="65"/>
      <c r="LD65" s="65"/>
      <c r="LE65" s="65"/>
      <c r="LF65" s="65"/>
      <c r="LG65" s="65"/>
      <c r="LH65" s="65"/>
      <c r="LI65" s="65"/>
      <c r="LJ65" s="65"/>
      <c r="LK65" s="65"/>
      <c r="LL65" s="65"/>
      <c r="LM65" s="65"/>
      <c r="LN65" s="65"/>
      <c r="LO65" s="65"/>
      <c r="LP65" s="65"/>
      <c r="LQ65" s="65"/>
      <c r="LR65" s="65"/>
      <c r="LS65" s="65"/>
      <c r="LT65" s="65"/>
      <c r="LU65" s="65"/>
      <c r="LV65" s="65"/>
      <c r="LW65" s="65"/>
      <c r="LX65" s="65"/>
      <c r="LY65" s="65"/>
      <c r="LZ65" s="65"/>
      <c r="MA65" s="65"/>
      <c r="MB65" s="65"/>
      <c r="MC65" s="65"/>
      <c r="MD65" s="65"/>
      <c r="ME65" s="65"/>
      <c r="MF65" s="65"/>
      <c r="MG65" s="65"/>
      <c r="MH65" s="65"/>
      <c r="MI65" s="65"/>
      <c r="MJ65" s="65"/>
      <c r="MK65" s="65"/>
      <c r="ML65" s="65"/>
      <c r="MM65" s="65"/>
      <c r="MN65" s="65"/>
      <c r="MO65" s="65"/>
      <c r="MP65" s="65"/>
      <c r="MQ65" s="65"/>
      <c r="MR65" s="65"/>
      <c r="MS65" s="65"/>
      <c r="MT65" s="65"/>
      <c r="MU65" s="65"/>
      <c r="MV65" s="65"/>
      <c r="MW65" s="65"/>
      <c r="MX65" s="65"/>
      <c r="MY65" s="65"/>
      <c r="MZ65" s="65"/>
      <c r="NA65" s="65"/>
      <c r="NB65" s="65"/>
      <c r="NC65" s="65"/>
      <c r="ND65" s="65"/>
      <c r="NE65" s="65"/>
      <c r="NF65" s="65"/>
      <c r="NG65" s="65"/>
    </row>
    <row r="66">
      <c r="A66" s="65"/>
      <c r="B66" s="65"/>
      <c r="C66" s="207"/>
      <c r="D66" s="207"/>
      <c r="E66" s="109"/>
      <c r="F66" s="107" t="s">
        <v>1410</v>
      </c>
      <c r="G66" s="109"/>
      <c r="H66" s="109"/>
      <c r="I66" s="107" t="s">
        <v>1411</v>
      </c>
      <c r="J66" s="111">
        <f t="shared" si="8"/>
        <v>13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  <c r="BE66" s="65"/>
      <c r="BF66" s="65"/>
      <c r="BG66" s="65"/>
      <c r="BH66" s="65"/>
      <c r="BI66" s="65"/>
      <c r="BJ66" s="65"/>
      <c r="BK66" s="65"/>
      <c r="BL66" s="65"/>
      <c r="BM66" s="65"/>
      <c r="BN66" s="65"/>
      <c r="BO66" s="65"/>
      <c r="BP66" s="65"/>
      <c r="BQ66" s="65"/>
      <c r="BR66" s="65"/>
      <c r="BS66" s="65"/>
      <c r="BT66" s="65"/>
      <c r="BU66" s="65"/>
      <c r="BV66" s="65"/>
      <c r="BW66" s="65"/>
      <c r="BX66" s="65"/>
      <c r="BY66" s="65"/>
      <c r="BZ66" s="65"/>
      <c r="CA66" s="65"/>
      <c r="CB66" s="65"/>
      <c r="CC66" s="65"/>
      <c r="CD66" s="65"/>
      <c r="CE66" s="65"/>
      <c r="CF66" s="65"/>
      <c r="CG66" s="65"/>
      <c r="CH66" s="65"/>
      <c r="CI66" s="65"/>
      <c r="CJ66" s="65"/>
      <c r="CK66" s="65"/>
      <c r="CL66" s="65"/>
      <c r="CM66" s="65"/>
      <c r="CN66" s="65"/>
      <c r="CO66" s="65"/>
      <c r="CP66" s="65"/>
      <c r="CQ66" s="65"/>
      <c r="CR66" s="65"/>
      <c r="CS66" s="65"/>
      <c r="CT66" s="65"/>
      <c r="CU66" s="65"/>
      <c r="CV66" s="65"/>
      <c r="CW66" s="65"/>
      <c r="CX66" s="65"/>
      <c r="CY66" s="65"/>
      <c r="CZ66" s="65"/>
      <c r="DA66" s="65"/>
      <c r="DB66" s="65"/>
      <c r="DC66" s="65"/>
      <c r="DD66" s="65"/>
      <c r="DE66" s="65"/>
      <c r="DF66" s="65"/>
      <c r="DG66" s="65"/>
      <c r="DH66" s="65"/>
      <c r="DI66" s="65"/>
      <c r="DJ66" s="65"/>
      <c r="DK66" s="65"/>
      <c r="DL66" s="65"/>
      <c r="DM66" s="65"/>
      <c r="DN66" s="65"/>
      <c r="DO66" s="65"/>
      <c r="DP66" s="65"/>
      <c r="DQ66" s="65"/>
      <c r="DR66" s="65"/>
      <c r="DS66" s="65"/>
      <c r="DT66" s="65"/>
      <c r="DU66" s="65"/>
      <c r="DV66" s="65"/>
      <c r="DW66" s="65"/>
      <c r="DX66" s="65"/>
      <c r="DY66" s="65"/>
      <c r="DZ66" s="65"/>
      <c r="EA66" s="65"/>
      <c r="EB66" s="65"/>
      <c r="EC66" s="65"/>
      <c r="ED66" s="65"/>
      <c r="EE66" s="65"/>
      <c r="EF66" s="65"/>
      <c r="EG66" s="65"/>
      <c r="EH66" s="65"/>
      <c r="EI66" s="65"/>
      <c r="EJ66" s="65"/>
      <c r="EK66" s="65"/>
      <c r="EL66" s="65"/>
      <c r="EM66" s="65"/>
      <c r="EN66" s="65"/>
      <c r="EO66" s="65"/>
      <c r="EP66" s="65"/>
      <c r="EQ66" s="65"/>
      <c r="ER66" s="65"/>
      <c r="ES66" s="65"/>
      <c r="ET66" s="65"/>
      <c r="EU66" s="65"/>
      <c r="EV66" s="65"/>
      <c r="EW66" s="65"/>
      <c r="EX66" s="65"/>
      <c r="EY66" s="65"/>
      <c r="EZ66" s="65"/>
      <c r="FA66" s="65"/>
      <c r="FB66" s="65"/>
      <c r="FC66" s="65"/>
      <c r="FD66" s="65"/>
      <c r="FE66" s="65"/>
      <c r="FF66" s="65"/>
      <c r="FG66" s="65"/>
      <c r="FH66" s="65"/>
      <c r="FI66" s="65"/>
      <c r="FJ66" s="65"/>
      <c r="FK66" s="65"/>
      <c r="FL66" s="65"/>
      <c r="FM66" s="65"/>
      <c r="FN66" s="65"/>
      <c r="FO66" s="65"/>
      <c r="FP66" s="65"/>
      <c r="FQ66" s="65"/>
      <c r="FR66" s="65"/>
      <c r="FS66" s="65"/>
      <c r="FT66" s="65"/>
      <c r="FU66" s="65"/>
      <c r="FV66" s="65"/>
      <c r="FW66" s="65"/>
      <c r="FX66" s="65"/>
      <c r="FY66" s="65"/>
      <c r="FZ66" s="65"/>
      <c r="GA66" s="65"/>
      <c r="GB66" s="65"/>
      <c r="GC66" s="65"/>
      <c r="GD66" s="65"/>
      <c r="GE66" s="65"/>
      <c r="GF66" s="65"/>
      <c r="GG66" s="65"/>
      <c r="GH66" s="65"/>
      <c r="GI66" s="65"/>
      <c r="GJ66" s="65"/>
      <c r="GK66" s="65"/>
      <c r="GL66" s="65"/>
      <c r="GM66" s="65"/>
      <c r="GN66" s="65"/>
      <c r="GO66" s="65"/>
      <c r="GP66" s="65"/>
      <c r="GQ66" s="65"/>
      <c r="GR66" s="65"/>
      <c r="GS66" s="65"/>
      <c r="GT66" s="65"/>
      <c r="GU66" s="65"/>
      <c r="GV66" s="65"/>
      <c r="GW66" s="65"/>
      <c r="GX66" s="65"/>
      <c r="GY66" s="65"/>
      <c r="GZ66" s="65"/>
      <c r="HA66" s="65"/>
      <c r="HB66" s="65"/>
      <c r="HC66" s="65"/>
      <c r="HD66" s="65"/>
      <c r="HE66" s="65"/>
      <c r="HF66" s="65"/>
      <c r="HG66" s="65"/>
      <c r="HH66" s="65"/>
      <c r="HI66" s="65"/>
      <c r="HJ66" s="65"/>
      <c r="HK66" s="65"/>
      <c r="HL66" s="65"/>
      <c r="HM66" s="65"/>
      <c r="HN66" s="65"/>
      <c r="HO66" s="65"/>
      <c r="HP66" s="65"/>
      <c r="HQ66" s="65"/>
      <c r="HR66" s="65"/>
      <c r="HS66" s="65"/>
      <c r="HT66" s="65"/>
      <c r="HU66" s="65"/>
      <c r="HV66" s="65"/>
      <c r="HW66" s="65"/>
      <c r="HX66" s="65"/>
      <c r="HY66" s="65"/>
      <c r="HZ66" s="65"/>
      <c r="IA66" s="65"/>
      <c r="IB66" s="65"/>
      <c r="IC66" s="65"/>
      <c r="ID66" s="65"/>
      <c r="IE66" s="65"/>
      <c r="IF66" s="65"/>
      <c r="IG66" s="65"/>
      <c r="IH66" s="65"/>
      <c r="II66" s="65"/>
      <c r="IJ66" s="65"/>
      <c r="IK66" s="65"/>
      <c r="IL66" s="65"/>
      <c r="IM66" s="65"/>
      <c r="IN66" s="65"/>
      <c r="IO66" s="65"/>
      <c r="IP66" s="65"/>
      <c r="IQ66" s="65"/>
      <c r="IR66" s="65"/>
      <c r="IS66" s="65"/>
      <c r="IT66" s="65"/>
      <c r="IU66" s="65"/>
      <c r="IV66" s="65"/>
      <c r="IW66" s="65"/>
      <c r="IX66" s="65"/>
      <c r="IY66" s="65"/>
      <c r="IZ66" s="65"/>
      <c r="JA66" s="65"/>
      <c r="JB66" s="65"/>
      <c r="JC66" s="65"/>
      <c r="JD66" s="65"/>
      <c r="JE66" s="65"/>
      <c r="JF66" s="65"/>
      <c r="JG66" s="65"/>
      <c r="JH66" s="65"/>
      <c r="JI66" s="65"/>
      <c r="JJ66" s="65"/>
      <c r="JK66" s="65"/>
      <c r="JL66" s="65"/>
      <c r="JM66" s="65"/>
      <c r="JN66" s="65"/>
      <c r="JO66" s="65"/>
      <c r="JP66" s="65"/>
      <c r="JQ66" s="65"/>
      <c r="JR66" s="65"/>
      <c r="JS66" s="65"/>
      <c r="JT66" s="65"/>
      <c r="JU66" s="65"/>
      <c r="JV66" s="65"/>
      <c r="JW66" s="65"/>
      <c r="JX66" s="65"/>
      <c r="JY66" s="65"/>
      <c r="JZ66" s="65"/>
      <c r="KA66" s="65"/>
      <c r="KB66" s="65"/>
      <c r="KC66" s="65"/>
      <c r="KD66" s="65"/>
      <c r="KE66" s="65"/>
      <c r="KF66" s="65"/>
      <c r="KG66" s="65"/>
      <c r="KH66" s="65"/>
      <c r="KI66" s="65"/>
      <c r="KJ66" s="65"/>
      <c r="KK66" s="65"/>
      <c r="KL66" s="65"/>
      <c r="KM66" s="65"/>
      <c r="KN66" s="65"/>
      <c r="KO66" s="65"/>
      <c r="KP66" s="65"/>
      <c r="KQ66" s="65"/>
      <c r="KR66" s="65"/>
      <c r="KS66" s="65"/>
      <c r="KT66" s="65"/>
      <c r="KU66" s="65"/>
      <c r="KV66" s="65"/>
      <c r="KW66" s="65"/>
      <c r="KX66" s="65"/>
      <c r="KY66" s="65"/>
      <c r="KZ66" s="65"/>
      <c r="LA66" s="65"/>
      <c r="LB66" s="65"/>
      <c r="LC66" s="65"/>
      <c r="LD66" s="65"/>
      <c r="LE66" s="65"/>
      <c r="LF66" s="65"/>
      <c r="LG66" s="65"/>
      <c r="LH66" s="65"/>
      <c r="LI66" s="65"/>
      <c r="LJ66" s="65"/>
      <c r="LK66" s="65"/>
      <c r="LL66" s="65"/>
      <c r="LM66" s="65"/>
      <c r="LN66" s="65"/>
      <c r="LO66" s="65"/>
      <c r="LP66" s="65"/>
      <c r="LQ66" s="65"/>
      <c r="LR66" s="65"/>
      <c r="LS66" s="65"/>
      <c r="LT66" s="65"/>
      <c r="LU66" s="65"/>
      <c r="LV66" s="65"/>
      <c r="LW66" s="65"/>
      <c r="LX66" s="65"/>
      <c r="LY66" s="65"/>
      <c r="LZ66" s="65"/>
      <c r="MA66" s="65"/>
      <c r="MB66" s="65"/>
      <c r="MC66" s="65"/>
      <c r="MD66" s="65"/>
      <c r="ME66" s="65"/>
      <c r="MF66" s="65"/>
      <c r="MG66" s="65"/>
      <c r="MH66" s="65"/>
      <c r="MI66" s="65"/>
      <c r="MJ66" s="65"/>
      <c r="MK66" s="65"/>
      <c r="ML66" s="65"/>
      <c r="MM66" s="65"/>
      <c r="MN66" s="65"/>
      <c r="MO66" s="65"/>
      <c r="MP66" s="65"/>
      <c r="MQ66" s="65"/>
      <c r="MR66" s="65"/>
      <c r="MS66" s="65"/>
      <c r="MT66" s="65"/>
      <c r="MU66" s="65"/>
      <c r="MV66" s="65"/>
      <c r="MW66" s="65"/>
      <c r="MX66" s="65"/>
      <c r="MY66" s="65"/>
      <c r="MZ66" s="65"/>
      <c r="NA66" s="65"/>
      <c r="NB66" s="65"/>
      <c r="NC66" s="65"/>
      <c r="ND66" s="65"/>
      <c r="NE66" s="65"/>
      <c r="NF66" s="65"/>
      <c r="NG66" s="65"/>
    </row>
    <row r="67">
      <c r="A67" s="65"/>
      <c r="B67" s="65"/>
      <c r="C67" s="207"/>
      <c r="D67" s="207"/>
      <c r="E67" s="109"/>
      <c r="F67" s="107" t="s">
        <v>1412</v>
      </c>
      <c r="G67" s="109"/>
      <c r="H67" s="109"/>
      <c r="I67" s="107" t="s">
        <v>1413</v>
      </c>
      <c r="J67" s="111">
        <f t="shared" si="8"/>
        <v>3</v>
      </c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5"/>
      <c r="BS67" s="65"/>
      <c r="BT67" s="65"/>
      <c r="BU67" s="65"/>
      <c r="BV67" s="65"/>
      <c r="BW67" s="65"/>
      <c r="BX67" s="65"/>
      <c r="BY67" s="65"/>
      <c r="BZ67" s="65"/>
      <c r="CA67" s="65"/>
      <c r="CB67" s="65"/>
      <c r="CC67" s="65"/>
      <c r="CD67" s="65"/>
      <c r="CE67" s="65"/>
      <c r="CF67" s="65"/>
      <c r="CG67" s="65"/>
      <c r="CH67" s="65"/>
      <c r="CI67" s="65"/>
      <c r="CJ67" s="65"/>
      <c r="CK67" s="65"/>
      <c r="CL67" s="65"/>
      <c r="CM67" s="65"/>
      <c r="CN67" s="65"/>
      <c r="CO67" s="65"/>
      <c r="CP67" s="65"/>
      <c r="CQ67" s="65"/>
      <c r="CR67" s="65"/>
      <c r="CS67" s="65"/>
      <c r="CT67" s="65"/>
      <c r="CU67" s="65"/>
      <c r="CV67" s="65"/>
      <c r="CW67" s="65"/>
      <c r="CX67" s="65"/>
      <c r="CY67" s="65"/>
      <c r="CZ67" s="65"/>
      <c r="DA67" s="65"/>
      <c r="DB67" s="65"/>
      <c r="DC67" s="65"/>
      <c r="DD67" s="65"/>
      <c r="DE67" s="65"/>
      <c r="DF67" s="65"/>
      <c r="DG67" s="65"/>
      <c r="DH67" s="65"/>
      <c r="DI67" s="65"/>
      <c r="DJ67" s="65"/>
      <c r="DK67" s="65"/>
      <c r="DL67" s="65"/>
      <c r="DM67" s="65"/>
      <c r="DN67" s="65"/>
      <c r="DO67" s="65"/>
      <c r="DP67" s="65"/>
      <c r="DQ67" s="65"/>
      <c r="DR67" s="65"/>
      <c r="DS67" s="65"/>
      <c r="DT67" s="65"/>
      <c r="DU67" s="65"/>
      <c r="DV67" s="65"/>
      <c r="DW67" s="65"/>
      <c r="DX67" s="65"/>
      <c r="DY67" s="65"/>
      <c r="DZ67" s="65"/>
      <c r="EA67" s="65"/>
      <c r="EB67" s="65"/>
      <c r="EC67" s="65"/>
      <c r="ED67" s="65"/>
      <c r="EE67" s="65"/>
      <c r="EF67" s="65"/>
      <c r="EG67" s="65"/>
      <c r="EH67" s="65"/>
      <c r="EI67" s="65"/>
      <c r="EJ67" s="65"/>
      <c r="EK67" s="65"/>
      <c r="EL67" s="65"/>
      <c r="EM67" s="65"/>
      <c r="EN67" s="65"/>
      <c r="EO67" s="65"/>
      <c r="EP67" s="65"/>
      <c r="EQ67" s="65"/>
      <c r="ER67" s="65"/>
      <c r="ES67" s="65"/>
      <c r="ET67" s="65"/>
      <c r="EU67" s="65"/>
      <c r="EV67" s="65"/>
      <c r="EW67" s="65"/>
      <c r="EX67" s="65"/>
      <c r="EY67" s="65"/>
      <c r="EZ67" s="65"/>
      <c r="FA67" s="65"/>
      <c r="FB67" s="65"/>
      <c r="FC67" s="65"/>
      <c r="FD67" s="65"/>
      <c r="FE67" s="65"/>
      <c r="FF67" s="65"/>
      <c r="FG67" s="65"/>
      <c r="FH67" s="65"/>
      <c r="FI67" s="65"/>
      <c r="FJ67" s="65"/>
      <c r="FK67" s="65"/>
      <c r="FL67" s="65"/>
      <c r="FM67" s="65"/>
      <c r="FN67" s="65"/>
      <c r="FO67" s="65"/>
      <c r="FP67" s="65"/>
      <c r="FQ67" s="65"/>
      <c r="FR67" s="65"/>
      <c r="FS67" s="65"/>
      <c r="FT67" s="65"/>
      <c r="FU67" s="65"/>
      <c r="FV67" s="65"/>
      <c r="FW67" s="65"/>
      <c r="FX67" s="65"/>
      <c r="FY67" s="65"/>
      <c r="FZ67" s="65"/>
      <c r="GA67" s="65"/>
      <c r="GB67" s="65"/>
      <c r="GC67" s="65"/>
      <c r="GD67" s="65"/>
      <c r="GE67" s="65"/>
      <c r="GF67" s="65"/>
      <c r="GG67" s="65"/>
      <c r="GH67" s="65"/>
      <c r="GI67" s="65"/>
      <c r="GJ67" s="65"/>
      <c r="GK67" s="65"/>
      <c r="GL67" s="65"/>
      <c r="GM67" s="65"/>
      <c r="GN67" s="65"/>
      <c r="GO67" s="65"/>
      <c r="GP67" s="65"/>
      <c r="GQ67" s="65"/>
      <c r="GR67" s="65"/>
      <c r="GS67" s="65"/>
      <c r="GT67" s="65"/>
      <c r="GU67" s="65"/>
      <c r="GV67" s="65"/>
      <c r="GW67" s="65"/>
      <c r="GX67" s="65"/>
      <c r="GY67" s="65"/>
      <c r="GZ67" s="65"/>
      <c r="HA67" s="65"/>
      <c r="HB67" s="65"/>
      <c r="HC67" s="65"/>
      <c r="HD67" s="65"/>
      <c r="HE67" s="65"/>
      <c r="HF67" s="65"/>
      <c r="HG67" s="65"/>
      <c r="HH67" s="65"/>
      <c r="HI67" s="65"/>
      <c r="HJ67" s="65"/>
      <c r="HK67" s="65"/>
      <c r="HL67" s="65"/>
      <c r="HM67" s="65"/>
      <c r="HN67" s="65"/>
      <c r="HO67" s="65"/>
      <c r="HP67" s="65"/>
      <c r="HQ67" s="65"/>
      <c r="HR67" s="65"/>
      <c r="HS67" s="65"/>
      <c r="HT67" s="65"/>
      <c r="HU67" s="65"/>
      <c r="HV67" s="65"/>
      <c r="HW67" s="65"/>
      <c r="HX67" s="65"/>
      <c r="HY67" s="65"/>
      <c r="HZ67" s="65"/>
      <c r="IA67" s="65"/>
      <c r="IB67" s="65"/>
      <c r="IC67" s="65"/>
      <c r="ID67" s="65"/>
      <c r="IE67" s="65"/>
      <c r="IF67" s="65"/>
      <c r="IG67" s="65"/>
      <c r="IH67" s="65"/>
      <c r="II67" s="65"/>
      <c r="IJ67" s="65"/>
      <c r="IK67" s="65"/>
      <c r="IL67" s="65"/>
      <c r="IM67" s="65"/>
      <c r="IN67" s="65"/>
      <c r="IO67" s="65"/>
      <c r="IP67" s="65"/>
      <c r="IQ67" s="65"/>
      <c r="IR67" s="65"/>
      <c r="IS67" s="65"/>
      <c r="IT67" s="65"/>
      <c r="IU67" s="65"/>
      <c r="IV67" s="65"/>
      <c r="IW67" s="65"/>
      <c r="IX67" s="65"/>
      <c r="IY67" s="65"/>
      <c r="IZ67" s="65"/>
      <c r="JA67" s="65"/>
      <c r="JB67" s="65"/>
      <c r="JC67" s="65"/>
      <c r="JD67" s="65"/>
      <c r="JE67" s="65"/>
      <c r="JF67" s="65"/>
      <c r="JG67" s="65"/>
      <c r="JH67" s="65"/>
      <c r="JI67" s="65"/>
      <c r="JJ67" s="65"/>
      <c r="JK67" s="65"/>
      <c r="JL67" s="65"/>
      <c r="JM67" s="65"/>
      <c r="JN67" s="65"/>
      <c r="JO67" s="65"/>
      <c r="JP67" s="65"/>
      <c r="JQ67" s="65"/>
      <c r="JR67" s="65"/>
      <c r="JS67" s="65"/>
      <c r="JT67" s="65"/>
      <c r="JU67" s="65"/>
      <c r="JV67" s="65"/>
      <c r="JW67" s="65"/>
      <c r="JX67" s="65"/>
      <c r="JY67" s="65"/>
      <c r="JZ67" s="65"/>
      <c r="KA67" s="65"/>
      <c r="KB67" s="65"/>
      <c r="KC67" s="65"/>
      <c r="KD67" s="65"/>
      <c r="KE67" s="65"/>
      <c r="KF67" s="65"/>
      <c r="KG67" s="65"/>
      <c r="KH67" s="65"/>
      <c r="KI67" s="65"/>
      <c r="KJ67" s="65"/>
      <c r="KK67" s="65"/>
      <c r="KL67" s="65"/>
      <c r="KM67" s="65"/>
      <c r="KN67" s="65"/>
      <c r="KO67" s="65"/>
      <c r="KP67" s="65"/>
      <c r="KQ67" s="65"/>
      <c r="KR67" s="65"/>
      <c r="KS67" s="65"/>
      <c r="KT67" s="65"/>
      <c r="KU67" s="65"/>
      <c r="KV67" s="65"/>
      <c r="KW67" s="65"/>
      <c r="KX67" s="65"/>
      <c r="KY67" s="65"/>
      <c r="KZ67" s="65"/>
      <c r="LA67" s="65"/>
      <c r="LB67" s="65"/>
      <c r="LC67" s="65"/>
      <c r="LD67" s="65"/>
      <c r="LE67" s="65"/>
      <c r="LF67" s="65"/>
      <c r="LG67" s="65"/>
      <c r="LH67" s="65"/>
      <c r="LI67" s="65"/>
      <c r="LJ67" s="65"/>
      <c r="LK67" s="65"/>
      <c r="LL67" s="65"/>
      <c r="LM67" s="65"/>
      <c r="LN67" s="65"/>
      <c r="LO67" s="65"/>
      <c r="LP67" s="65"/>
      <c r="LQ67" s="65"/>
      <c r="LR67" s="65"/>
      <c r="LS67" s="65"/>
      <c r="LT67" s="65"/>
      <c r="LU67" s="65"/>
      <c r="LV67" s="65"/>
      <c r="LW67" s="65"/>
      <c r="LX67" s="65"/>
      <c r="LY67" s="65"/>
      <c r="LZ67" s="65"/>
      <c r="MA67" s="65"/>
      <c r="MB67" s="65"/>
      <c r="MC67" s="65"/>
      <c r="MD67" s="65"/>
      <c r="ME67" s="65"/>
      <c r="MF67" s="65"/>
      <c r="MG67" s="65"/>
      <c r="MH67" s="65"/>
      <c r="MI67" s="65"/>
      <c r="MJ67" s="65"/>
      <c r="MK67" s="65"/>
      <c r="ML67" s="65"/>
      <c r="MM67" s="65"/>
      <c r="MN67" s="65"/>
      <c r="MO67" s="65"/>
      <c r="MP67" s="65"/>
      <c r="MQ67" s="65"/>
      <c r="MR67" s="65"/>
      <c r="MS67" s="65"/>
      <c r="MT67" s="65"/>
      <c r="MU67" s="65"/>
      <c r="MV67" s="65"/>
      <c r="MW67" s="65"/>
      <c r="MX67" s="65"/>
      <c r="MY67" s="65"/>
      <c r="MZ67" s="65"/>
      <c r="NA67" s="65"/>
      <c r="NB67" s="65"/>
      <c r="NC67" s="65"/>
      <c r="ND67" s="65"/>
      <c r="NE67" s="65"/>
      <c r="NF67" s="65"/>
      <c r="NG67" s="65"/>
    </row>
    <row r="68">
      <c r="A68" s="65"/>
      <c r="B68" s="65"/>
      <c r="C68" s="207"/>
      <c r="D68" s="207"/>
      <c r="E68" s="109"/>
      <c r="F68" s="107" t="s">
        <v>1414</v>
      </c>
      <c r="G68" s="109"/>
      <c r="H68" s="109"/>
      <c r="I68" s="107" t="s">
        <v>1415</v>
      </c>
      <c r="J68" s="111">
        <f t="shared" si="8"/>
        <v>9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  <c r="BE68" s="65"/>
      <c r="BF68" s="65"/>
      <c r="BG68" s="65"/>
      <c r="BH68" s="65"/>
      <c r="BI68" s="65"/>
      <c r="BJ68" s="65"/>
      <c r="BK68" s="65"/>
      <c r="BL68" s="65"/>
      <c r="BM68" s="65"/>
      <c r="BN68" s="65"/>
      <c r="BO68" s="65"/>
      <c r="BP68" s="65"/>
      <c r="BQ68" s="65"/>
      <c r="BR68" s="65"/>
      <c r="BS68" s="65"/>
      <c r="BT68" s="65"/>
      <c r="BU68" s="65"/>
      <c r="BV68" s="65"/>
      <c r="BW68" s="65"/>
      <c r="BX68" s="65"/>
      <c r="BY68" s="65"/>
      <c r="BZ68" s="65"/>
      <c r="CA68" s="65"/>
      <c r="CB68" s="65"/>
      <c r="CC68" s="65"/>
      <c r="CD68" s="65"/>
      <c r="CE68" s="65"/>
      <c r="CF68" s="65"/>
      <c r="CG68" s="65"/>
      <c r="CH68" s="65"/>
      <c r="CI68" s="65"/>
      <c r="CJ68" s="65"/>
      <c r="CK68" s="65"/>
      <c r="CL68" s="65"/>
      <c r="CM68" s="65"/>
      <c r="CN68" s="65"/>
      <c r="CO68" s="65"/>
      <c r="CP68" s="65"/>
      <c r="CQ68" s="65"/>
      <c r="CR68" s="65"/>
      <c r="CS68" s="65"/>
      <c r="CT68" s="65"/>
      <c r="CU68" s="65"/>
      <c r="CV68" s="65"/>
      <c r="CW68" s="65"/>
      <c r="CX68" s="65"/>
      <c r="CY68" s="65"/>
      <c r="CZ68" s="65"/>
      <c r="DA68" s="65"/>
      <c r="DB68" s="65"/>
      <c r="DC68" s="65"/>
      <c r="DD68" s="65"/>
      <c r="DE68" s="65"/>
      <c r="DF68" s="65"/>
      <c r="DG68" s="65"/>
      <c r="DH68" s="65"/>
      <c r="DI68" s="65"/>
      <c r="DJ68" s="65"/>
      <c r="DK68" s="65"/>
      <c r="DL68" s="65"/>
      <c r="DM68" s="65"/>
      <c r="DN68" s="65"/>
      <c r="DO68" s="65"/>
      <c r="DP68" s="65"/>
      <c r="DQ68" s="65"/>
      <c r="DR68" s="65"/>
      <c r="DS68" s="65"/>
      <c r="DT68" s="65"/>
      <c r="DU68" s="65"/>
      <c r="DV68" s="65"/>
      <c r="DW68" s="65"/>
      <c r="DX68" s="65"/>
      <c r="DY68" s="65"/>
      <c r="DZ68" s="65"/>
      <c r="EA68" s="65"/>
      <c r="EB68" s="65"/>
      <c r="EC68" s="65"/>
      <c r="ED68" s="65"/>
      <c r="EE68" s="65"/>
      <c r="EF68" s="65"/>
      <c r="EG68" s="65"/>
      <c r="EH68" s="65"/>
      <c r="EI68" s="65"/>
      <c r="EJ68" s="65"/>
      <c r="EK68" s="65"/>
      <c r="EL68" s="65"/>
      <c r="EM68" s="65"/>
      <c r="EN68" s="65"/>
      <c r="EO68" s="65"/>
      <c r="EP68" s="65"/>
      <c r="EQ68" s="65"/>
      <c r="ER68" s="65"/>
      <c r="ES68" s="65"/>
      <c r="ET68" s="65"/>
      <c r="EU68" s="65"/>
      <c r="EV68" s="65"/>
      <c r="EW68" s="65"/>
      <c r="EX68" s="65"/>
      <c r="EY68" s="65"/>
      <c r="EZ68" s="65"/>
      <c r="FA68" s="65"/>
      <c r="FB68" s="65"/>
      <c r="FC68" s="65"/>
      <c r="FD68" s="65"/>
      <c r="FE68" s="65"/>
      <c r="FF68" s="65"/>
      <c r="FG68" s="65"/>
      <c r="FH68" s="65"/>
      <c r="FI68" s="65"/>
      <c r="FJ68" s="65"/>
      <c r="FK68" s="65"/>
      <c r="FL68" s="65"/>
      <c r="FM68" s="65"/>
      <c r="FN68" s="65"/>
      <c r="FO68" s="65"/>
      <c r="FP68" s="65"/>
      <c r="FQ68" s="65"/>
      <c r="FR68" s="65"/>
      <c r="FS68" s="65"/>
      <c r="FT68" s="65"/>
      <c r="FU68" s="65"/>
      <c r="FV68" s="65"/>
      <c r="FW68" s="65"/>
      <c r="FX68" s="65"/>
      <c r="FY68" s="65"/>
      <c r="FZ68" s="65"/>
      <c r="GA68" s="65"/>
      <c r="GB68" s="65"/>
      <c r="GC68" s="65"/>
      <c r="GD68" s="65"/>
      <c r="GE68" s="65"/>
      <c r="GF68" s="65"/>
      <c r="GG68" s="65"/>
      <c r="GH68" s="65"/>
      <c r="GI68" s="65"/>
      <c r="GJ68" s="65"/>
      <c r="GK68" s="65"/>
      <c r="GL68" s="65"/>
      <c r="GM68" s="65"/>
      <c r="GN68" s="65"/>
      <c r="GO68" s="65"/>
      <c r="GP68" s="65"/>
      <c r="GQ68" s="65"/>
      <c r="GR68" s="65"/>
      <c r="GS68" s="65"/>
      <c r="GT68" s="65"/>
      <c r="GU68" s="65"/>
      <c r="GV68" s="65"/>
      <c r="GW68" s="65"/>
      <c r="GX68" s="65"/>
      <c r="GY68" s="65"/>
      <c r="GZ68" s="65"/>
      <c r="HA68" s="65"/>
      <c r="HB68" s="65"/>
      <c r="HC68" s="65"/>
      <c r="HD68" s="65"/>
      <c r="HE68" s="65"/>
      <c r="HF68" s="65"/>
      <c r="HG68" s="65"/>
      <c r="HH68" s="65"/>
      <c r="HI68" s="65"/>
      <c r="HJ68" s="65"/>
      <c r="HK68" s="65"/>
      <c r="HL68" s="65"/>
      <c r="HM68" s="65"/>
      <c r="HN68" s="65"/>
      <c r="HO68" s="65"/>
      <c r="HP68" s="65"/>
      <c r="HQ68" s="65"/>
      <c r="HR68" s="65"/>
      <c r="HS68" s="65"/>
      <c r="HT68" s="65"/>
      <c r="HU68" s="65"/>
      <c r="HV68" s="65"/>
      <c r="HW68" s="65"/>
      <c r="HX68" s="65"/>
      <c r="HY68" s="65"/>
      <c r="HZ68" s="65"/>
      <c r="IA68" s="65"/>
      <c r="IB68" s="65"/>
      <c r="IC68" s="65"/>
      <c r="ID68" s="65"/>
      <c r="IE68" s="65"/>
      <c r="IF68" s="65"/>
      <c r="IG68" s="65"/>
      <c r="IH68" s="65"/>
      <c r="II68" s="65"/>
      <c r="IJ68" s="65"/>
      <c r="IK68" s="65"/>
      <c r="IL68" s="65"/>
      <c r="IM68" s="65"/>
      <c r="IN68" s="65"/>
      <c r="IO68" s="65"/>
      <c r="IP68" s="65"/>
      <c r="IQ68" s="65"/>
      <c r="IR68" s="65"/>
      <c r="IS68" s="65"/>
      <c r="IT68" s="65"/>
      <c r="IU68" s="65"/>
      <c r="IV68" s="65"/>
      <c r="IW68" s="65"/>
      <c r="IX68" s="65"/>
      <c r="IY68" s="65"/>
      <c r="IZ68" s="65"/>
      <c r="JA68" s="65"/>
      <c r="JB68" s="65"/>
      <c r="JC68" s="65"/>
      <c r="JD68" s="65"/>
      <c r="JE68" s="65"/>
      <c r="JF68" s="65"/>
      <c r="JG68" s="65"/>
      <c r="JH68" s="65"/>
      <c r="JI68" s="65"/>
      <c r="JJ68" s="65"/>
      <c r="JK68" s="65"/>
      <c r="JL68" s="65"/>
      <c r="JM68" s="65"/>
      <c r="JN68" s="65"/>
      <c r="JO68" s="65"/>
      <c r="JP68" s="65"/>
      <c r="JQ68" s="65"/>
      <c r="JR68" s="65"/>
      <c r="JS68" s="65"/>
      <c r="JT68" s="65"/>
      <c r="JU68" s="65"/>
      <c r="JV68" s="65"/>
      <c r="JW68" s="65"/>
      <c r="JX68" s="65"/>
      <c r="JY68" s="65"/>
      <c r="JZ68" s="65"/>
      <c r="KA68" s="65"/>
      <c r="KB68" s="65"/>
      <c r="KC68" s="65"/>
      <c r="KD68" s="65"/>
      <c r="KE68" s="65"/>
      <c r="KF68" s="65"/>
      <c r="KG68" s="65"/>
      <c r="KH68" s="65"/>
      <c r="KI68" s="65"/>
      <c r="KJ68" s="65"/>
      <c r="KK68" s="65"/>
      <c r="KL68" s="65"/>
      <c r="KM68" s="65"/>
      <c r="KN68" s="65"/>
      <c r="KO68" s="65"/>
      <c r="KP68" s="65"/>
      <c r="KQ68" s="65"/>
      <c r="KR68" s="65"/>
      <c r="KS68" s="65"/>
      <c r="KT68" s="65"/>
      <c r="KU68" s="65"/>
      <c r="KV68" s="65"/>
      <c r="KW68" s="65"/>
      <c r="KX68" s="65"/>
      <c r="KY68" s="65"/>
      <c r="KZ68" s="65"/>
      <c r="LA68" s="65"/>
      <c r="LB68" s="65"/>
      <c r="LC68" s="65"/>
      <c r="LD68" s="65"/>
      <c r="LE68" s="65"/>
      <c r="LF68" s="65"/>
      <c r="LG68" s="65"/>
      <c r="LH68" s="65"/>
      <c r="LI68" s="65"/>
      <c r="LJ68" s="65"/>
      <c r="LK68" s="65"/>
      <c r="LL68" s="65"/>
      <c r="LM68" s="65"/>
      <c r="LN68" s="65"/>
      <c r="LO68" s="65"/>
      <c r="LP68" s="65"/>
      <c r="LQ68" s="65"/>
      <c r="LR68" s="65"/>
      <c r="LS68" s="65"/>
      <c r="LT68" s="65"/>
      <c r="LU68" s="65"/>
      <c r="LV68" s="65"/>
      <c r="LW68" s="65"/>
      <c r="LX68" s="65"/>
      <c r="LY68" s="65"/>
      <c r="LZ68" s="65"/>
      <c r="MA68" s="65"/>
      <c r="MB68" s="65"/>
      <c r="MC68" s="65"/>
      <c r="MD68" s="65"/>
      <c r="ME68" s="65"/>
      <c r="MF68" s="65"/>
      <c r="MG68" s="65"/>
      <c r="MH68" s="65"/>
      <c r="MI68" s="65"/>
      <c r="MJ68" s="65"/>
      <c r="MK68" s="65"/>
      <c r="ML68" s="65"/>
      <c r="MM68" s="65"/>
      <c r="MN68" s="65"/>
      <c r="MO68" s="65"/>
      <c r="MP68" s="65"/>
      <c r="MQ68" s="65"/>
      <c r="MR68" s="65"/>
      <c r="MS68" s="65"/>
      <c r="MT68" s="65"/>
      <c r="MU68" s="65"/>
      <c r="MV68" s="65"/>
      <c r="MW68" s="65"/>
      <c r="MX68" s="65"/>
      <c r="MY68" s="65"/>
      <c r="MZ68" s="65"/>
      <c r="NA68" s="65"/>
      <c r="NB68" s="65"/>
      <c r="NC68" s="65"/>
      <c r="ND68" s="65"/>
      <c r="NE68" s="65"/>
      <c r="NF68" s="65"/>
      <c r="NG68" s="65"/>
    </row>
    <row r="69">
      <c r="A69" s="65"/>
      <c r="B69" s="65"/>
      <c r="C69" s="201"/>
      <c r="D69" s="201"/>
      <c r="E69" s="109"/>
      <c r="F69" s="107" t="s">
        <v>1416</v>
      </c>
      <c r="G69" s="109"/>
      <c r="H69" s="109"/>
      <c r="I69" s="107" t="s">
        <v>1417</v>
      </c>
      <c r="J69" s="111">
        <f t="shared" si="8"/>
        <v>4</v>
      </c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  <c r="BE69" s="65"/>
      <c r="BF69" s="65"/>
      <c r="BG69" s="65"/>
      <c r="BH69" s="65"/>
      <c r="BI69" s="65"/>
      <c r="BJ69" s="65"/>
      <c r="BK69" s="65"/>
      <c r="BL69" s="65"/>
      <c r="BM69" s="65"/>
      <c r="BN69" s="65"/>
      <c r="BO69" s="65"/>
      <c r="BP69" s="65"/>
      <c r="BQ69" s="65"/>
      <c r="BR69" s="65"/>
      <c r="BS69" s="65"/>
      <c r="BT69" s="65"/>
      <c r="BU69" s="65"/>
      <c r="BV69" s="65"/>
      <c r="BW69" s="65"/>
      <c r="BX69" s="65"/>
      <c r="BY69" s="65"/>
      <c r="BZ69" s="65"/>
      <c r="CA69" s="65"/>
      <c r="CB69" s="65"/>
      <c r="CC69" s="65"/>
      <c r="CD69" s="65"/>
      <c r="CE69" s="65"/>
      <c r="CF69" s="65"/>
      <c r="CG69" s="65"/>
      <c r="CH69" s="65"/>
      <c r="CI69" s="65"/>
      <c r="CJ69" s="65"/>
      <c r="CK69" s="65"/>
      <c r="CL69" s="65"/>
      <c r="CM69" s="65"/>
      <c r="CN69" s="65"/>
      <c r="CO69" s="65"/>
      <c r="CP69" s="65"/>
      <c r="CQ69" s="65"/>
      <c r="CR69" s="65"/>
      <c r="CS69" s="65"/>
      <c r="CT69" s="65"/>
      <c r="CU69" s="65"/>
      <c r="CV69" s="65"/>
      <c r="CW69" s="65"/>
      <c r="CX69" s="65"/>
      <c r="CY69" s="65"/>
      <c r="CZ69" s="65"/>
      <c r="DA69" s="65"/>
      <c r="DB69" s="65"/>
      <c r="DC69" s="65"/>
      <c r="DD69" s="65"/>
      <c r="DE69" s="65"/>
      <c r="DF69" s="65"/>
      <c r="DG69" s="65"/>
      <c r="DH69" s="65"/>
      <c r="DI69" s="65"/>
      <c r="DJ69" s="65"/>
      <c r="DK69" s="65"/>
      <c r="DL69" s="65"/>
      <c r="DM69" s="65"/>
      <c r="DN69" s="65"/>
      <c r="DO69" s="65"/>
      <c r="DP69" s="65"/>
      <c r="DQ69" s="65"/>
      <c r="DR69" s="65"/>
      <c r="DS69" s="65"/>
      <c r="DT69" s="65"/>
      <c r="DU69" s="65"/>
      <c r="DV69" s="65"/>
      <c r="DW69" s="65"/>
      <c r="DX69" s="65"/>
      <c r="DY69" s="65"/>
      <c r="DZ69" s="65"/>
      <c r="EA69" s="65"/>
      <c r="EB69" s="65"/>
      <c r="EC69" s="65"/>
      <c r="ED69" s="65"/>
      <c r="EE69" s="65"/>
      <c r="EF69" s="65"/>
      <c r="EG69" s="65"/>
      <c r="EH69" s="65"/>
      <c r="EI69" s="65"/>
      <c r="EJ69" s="65"/>
      <c r="EK69" s="65"/>
      <c r="EL69" s="65"/>
      <c r="EM69" s="65"/>
      <c r="EN69" s="65"/>
      <c r="EO69" s="65"/>
      <c r="EP69" s="65"/>
      <c r="EQ69" s="65"/>
      <c r="ER69" s="65"/>
      <c r="ES69" s="65"/>
      <c r="ET69" s="65"/>
      <c r="EU69" s="65"/>
      <c r="EV69" s="65"/>
      <c r="EW69" s="65"/>
      <c r="EX69" s="65"/>
      <c r="EY69" s="65"/>
      <c r="EZ69" s="65"/>
      <c r="FA69" s="65"/>
      <c r="FB69" s="65"/>
      <c r="FC69" s="65"/>
      <c r="FD69" s="65"/>
      <c r="FE69" s="65"/>
      <c r="FF69" s="65"/>
      <c r="FG69" s="65"/>
      <c r="FH69" s="65"/>
      <c r="FI69" s="65"/>
      <c r="FJ69" s="65"/>
      <c r="FK69" s="65"/>
      <c r="FL69" s="65"/>
      <c r="FM69" s="65"/>
      <c r="FN69" s="65"/>
      <c r="FO69" s="65"/>
      <c r="FP69" s="65"/>
      <c r="FQ69" s="65"/>
      <c r="FR69" s="65"/>
      <c r="FS69" s="65"/>
      <c r="FT69" s="65"/>
      <c r="FU69" s="65"/>
      <c r="FV69" s="65"/>
      <c r="FW69" s="65"/>
      <c r="FX69" s="65"/>
      <c r="FY69" s="65"/>
      <c r="FZ69" s="65"/>
      <c r="GA69" s="65"/>
      <c r="GB69" s="65"/>
      <c r="GC69" s="65"/>
      <c r="GD69" s="65"/>
      <c r="GE69" s="65"/>
      <c r="GF69" s="65"/>
      <c r="GG69" s="65"/>
      <c r="GH69" s="65"/>
      <c r="GI69" s="65"/>
      <c r="GJ69" s="65"/>
      <c r="GK69" s="65"/>
      <c r="GL69" s="65"/>
      <c r="GM69" s="65"/>
      <c r="GN69" s="65"/>
      <c r="GO69" s="65"/>
      <c r="GP69" s="65"/>
      <c r="GQ69" s="65"/>
      <c r="GR69" s="65"/>
      <c r="GS69" s="65"/>
      <c r="GT69" s="65"/>
      <c r="GU69" s="65"/>
      <c r="GV69" s="65"/>
      <c r="GW69" s="65"/>
      <c r="GX69" s="65"/>
      <c r="GY69" s="65"/>
      <c r="GZ69" s="65"/>
      <c r="HA69" s="65"/>
      <c r="HB69" s="65"/>
      <c r="HC69" s="65"/>
      <c r="HD69" s="65"/>
      <c r="HE69" s="65"/>
      <c r="HF69" s="65"/>
      <c r="HG69" s="65"/>
      <c r="HH69" s="65"/>
      <c r="HI69" s="65"/>
      <c r="HJ69" s="65"/>
      <c r="HK69" s="65"/>
      <c r="HL69" s="65"/>
      <c r="HM69" s="65"/>
      <c r="HN69" s="65"/>
      <c r="HO69" s="65"/>
      <c r="HP69" s="65"/>
      <c r="HQ69" s="65"/>
      <c r="HR69" s="65"/>
      <c r="HS69" s="65"/>
      <c r="HT69" s="65"/>
      <c r="HU69" s="65"/>
      <c r="HV69" s="65"/>
      <c r="HW69" s="65"/>
      <c r="HX69" s="65"/>
      <c r="HY69" s="65"/>
      <c r="HZ69" s="65"/>
      <c r="IA69" s="65"/>
      <c r="IB69" s="65"/>
      <c r="IC69" s="65"/>
      <c r="ID69" s="65"/>
      <c r="IE69" s="65"/>
      <c r="IF69" s="65"/>
      <c r="IG69" s="65"/>
      <c r="IH69" s="65"/>
      <c r="II69" s="65"/>
      <c r="IJ69" s="65"/>
      <c r="IK69" s="65"/>
      <c r="IL69" s="65"/>
      <c r="IM69" s="65"/>
      <c r="IN69" s="65"/>
      <c r="IO69" s="65"/>
      <c r="IP69" s="65"/>
      <c r="IQ69" s="65"/>
      <c r="IR69" s="65"/>
      <c r="IS69" s="65"/>
      <c r="IT69" s="65"/>
      <c r="IU69" s="65"/>
      <c r="IV69" s="65"/>
      <c r="IW69" s="65"/>
      <c r="IX69" s="65"/>
      <c r="IY69" s="65"/>
      <c r="IZ69" s="65"/>
      <c r="JA69" s="65"/>
      <c r="JB69" s="65"/>
      <c r="JC69" s="65"/>
      <c r="JD69" s="65"/>
      <c r="JE69" s="65"/>
      <c r="JF69" s="65"/>
      <c r="JG69" s="65"/>
      <c r="JH69" s="65"/>
      <c r="JI69" s="65"/>
      <c r="JJ69" s="65"/>
      <c r="JK69" s="65"/>
      <c r="JL69" s="65"/>
      <c r="JM69" s="65"/>
      <c r="JN69" s="65"/>
      <c r="JO69" s="65"/>
      <c r="JP69" s="65"/>
      <c r="JQ69" s="65"/>
      <c r="JR69" s="65"/>
      <c r="JS69" s="65"/>
      <c r="JT69" s="65"/>
      <c r="JU69" s="65"/>
      <c r="JV69" s="65"/>
      <c r="JW69" s="65"/>
      <c r="JX69" s="65"/>
      <c r="JY69" s="65"/>
      <c r="JZ69" s="65"/>
      <c r="KA69" s="65"/>
      <c r="KB69" s="65"/>
      <c r="KC69" s="65"/>
      <c r="KD69" s="65"/>
      <c r="KE69" s="65"/>
      <c r="KF69" s="65"/>
      <c r="KG69" s="65"/>
      <c r="KH69" s="65"/>
      <c r="KI69" s="65"/>
      <c r="KJ69" s="65"/>
      <c r="KK69" s="65"/>
      <c r="KL69" s="65"/>
      <c r="KM69" s="65"/>
      <c r="KN69" s="65"/>
      <c r="KO69" s="65"/>
      <c r="KP69" s="65"/>
      <c r="KQ69" s="65"/>
      <c r="KR69" s="65"/>
      <c r="KS69" s="65"/>
      <c r="KT69" s="65"/>
      <c r="KU69" s="65"/>
      <c r="KV69" s="65"/>
      <c r="KW69" s="65"/>
      <c r="KX69" s="65"/>
      <c r="KY69" s="65"/>
      <c r="KZ69" s="65"/>
      <c r="LA69" s="65"/>
      <c r="LB69" s="65"/>
      <c r="LC69" s="65"/>
      <c r="LD69" s="65"/>
      <c r="LE69" s="65"/>
      <c r="LF69" s="65"/>
      <c r="LG69" s="65"/>
      <c r="LH69" s="65"/>
      <c r="LI69" s="65"/>
      <c r="LJ69" s="65"/>
      <c r="LK69" s="65"/>
      <c r="LL69" s="65"/>
      <c r="LM69" s="65"/>
      <c r="LN69" s="65"/>
      <c r="LO69" s="65"/>
      <c r="LP69" s="65"/>
      <c r="LQ69" s="65"/>
      <c r="LR69" s="65"/>
      <c r="LS69" s="65"/>
      <c r="LT69" s="65"/>
      <c r="LU69" s="65"/>
      <c r="LV69" s="65"/>
      <c r="LW69" s="65"/>
      <c r="LX69" s="65"/>
      <c r="LY69" s="65"/>
      <c r="LZ69" s="65"/>
      <c r="MA69" s="65"/>
      <c r="MB69" s="65"/>
      <c r="MC69" s="65"/>
      <c r="MD69" s="65"/>
      <c r="ME69" s="65"/>
      <c r="MF69" s="65"/>
      <c r="MG69" s="65"/>
      <c r="MH69" s="65"/>
      <c r="MI69" s="65"/>
      <c r="MJ69" s="65"/>
      <c r="MK69" s="65"/>
      <c r="ML69" s="65"/>
      <c r="MM69" s="65"/>
      <c r="MN69" s="65"/>
      <c r="MO69" s="65"/>
      <c r="MP69" s="65"/>
      <c r="MQ69" s="65"/>
      <c r="MR69" s="65"/>
      <c r="MS69" s="65"/>
      <c r="MT69" s="65"/>
      <c r="MU69" s="65"/>
      <c r="MV69" s="65"/>
      <c r="MW69" s="65"/>
      <c r="MX69" s="65"/>
      <c r="MY69" s="65"/>
      <c r="MZ69" s="65"/>
      <c r="NA69" s="65"/>
      <c r="NB69" s="65"/>
      <c r="NC69" s="65"/>
      <c r="ND69" s="65"/>
      <c r="NE69" s="65"/>
      <c r="NF69" s="65"/>
      <c r="NG69" s="65"/>
    </row>
    <row r="70">
      <c r="A70" s="65"/>
      <c r="B70" s="65"/>
      <c r="C70" s="209"/>
      <c r="D70" s="209"/>
      <c r="E70" s="65"/>
      <c r="F70" s="210"/>
      <c r="G70" s="65"/>
      <c r="H70" s="65"/>
      <c r="I70" s="210"/>
      <c r="J70" s="210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5"/>
      <c r="CA70" s="65"/>
      <c r="CB70" s="65"/>
      <c r="CC70" s="65"/>
      <c r="CD70" s="65"/>
      <c r="CE70" s="65"/>
      <c r="CF70" s="65"/>
      <c r="CG70" s="65"/>
      <c r="CH70" s="65"/>
      <c r="CI70" s="65"/>
      <c r="CJ70" s="65"/>
      <c r="CK70" s="65"/>
      <c r="CL70" s="65"/>
      <c r="CM70" s="65"/>
      <c r="CN70" s="65"/>
      <c r="CO70" s="65"/>
      <c r="CP70" s="65"/>
      <c r="CQ70" s="65"/>
      <c r="CR70" s="65"/>
      <c r="CS70" s="65"/>
      <c r="CT70" s="65"/>
      <c r="CU70" s="65"/>
      <c r="CV70" s="65"/>
      <c r="CW70" s="65"/>
      <c r="CX70" s="65"/>
      <c r="CY70" s="65"/>
      <c r="CZ70" s="65"/>
      <c r="DA70" s="65"/>
      <c r="DB70" s="65"/>
      <c r="DC70" s="65"/>
      <c r="DD70" s="65"/>
      <c r="DE70" s="65"/>
      <c r="DF70" s="65"/>
      <c r="DG70" s="65"/>
      <c r="DH70" s="65"/>
      <c r="DI70" s="65"/>
      <c r="DJ70" s="65"/>
      <c r="DK70" s="65"/>
      <c r="DL70" s="65"/>
      <c r="DM70" s="65"/>
      <c r="DN70" s="65"/>
      <c r="DO70" s="65"/>
      <c r="DP70" s="65"/>
      <c r="DQ70" s="65"/>
      <c r="DR70" s="65"/>
      <c r="DS70" s="65"/>
      <c r="DT70" s="65"/>
      <c r="DU70" s="65"/>
      <c r="DV70" s="65"/>
      <c r="DW70" s="65"/>
      <c r="DX70" s="65"/>
      <c r="DY70" s="65"/>
      <c r="DZ70" s="65"/>
      <c r="EA70" s="65"/>
      <c r="EB70" s="65"/>
      <c r="EC70" s="65"/>
      <c r="ED70" s="65"/>
      <c r="EE70" s="65"/>
      <c r="EF70" s="65"/>
      <c r="EG70" s="65"/>
      <c r="EH70" s="65"/>
      <c r="EI70" s="65"/>
      <c r="EJ70" s="65"/>
      <c r="EK70" s="65"/>
      <c r="EL70" s="65"/>
      <c r="EM70" s="65"/>
      <c r="EN70" s="65"/>
      <c r="EO70" s="65"/>
      <c r="EP70" s="65"/>
      <c r="EQ70" s="65"/>
      <c r="ER70" s="65"/>
      <c r="ES70" s="65"/>
      <c r="ET70" s="65"/>
      <c r="EU70" s="65"/>
      <c r="EV70" s="65"/>
      <c r="EW70" s="65"/>
      <c r="EX70" s="65"/>
      <c r="EY70" s="65"/>
      <c r="EZ70" s="65"/>
      <c r="FA70" s="65"/>
      <c r="FB70" s="65"/>
      <c r="FC70" s="65"/>
      <c r="FD70" s="65"/>
      <c r="FE70" s="65"/>
      <c r="FF70" s="65"/>
      <c r="FG70" s="65"/>
      <c r="FH70" s="65"/>
      <c r="FI70" s="65"/>
      <c r="FJ70" s="65"/>
      <c r="FK70" s="65"/>
      <c r="FL70" s="65"/>
      <c r="FM70" s="65"/>
      <c r="FN70" s="65"/>
      <c r="FO70" s="65"/>
      <c r="FP70" s="65"/>
      <c r="FQ70" s="65"/>
      <c r="FR70" s="65"/>
      <c r="FS70" s="65"/>
      <c r="FT70" s="65"/>
      <c r="FU70" s="65"/>
      <c r="FV70" s="65"/>
      <c r="FW70" s="65"/>
      <c r="FX70" s="65"/>
      <c r="FY70" s="65"/>
      <c r="FZ70" s="65"/>
      <c r="GA70" s="65"/>
      <c r="GB70" s="65"/>
      <c r="GC70" s="65"/>
      <c r="GD70" s="65"/>
      <c r="GE70" s="65"/>
      <c r="GF70" s="65"/>
      <c r="GG70" s="65"/>
      <c r="GH70" s="65"/>
      <c r="GI70" s="65"/>
      <c r="GJ70" s="65"/>
      <c r="GK70" s="65"/>
      <c r="GL70" s="65"/>
      <c r="GM70" s="65"/>
      <c r="GN70" s="65"/>
      <c r="GO70" s="65"/>
      <c r="GP70" s="65"/>
      <c r="GQ70" s="65"/>
      <c r="GR70" s="65"/>
      <c r="GS70" s="65"/>
      <c r="GT70" s="65"/>
      <c r="GU70" s="65"/>
      <c r="GV70" s="65"/>
      <c r="GW70" s="65"/>
      <c r="GX70" s="65"/>
      <c r="GY70" s="65"/>
      <c r="GZ70" s="65"/>
      <c r="HA70" s="65"/>
      <c r="HB70" s="65"/>
      <c r="HC70" s="65"/>
      <c r="HD70" s="65"/>
      <c r="HE70" s="65"/>
      <c r="HF70" s="65"/>
      <c r="HG70" s="65"/>
      <c r="HH70" s="65"/>
      <c r="HI70" s="65"/>
      <c r="HJ70" s="65"/>
      <c r="HK70" s="65"/>
      <c r="HL70" s="65"/>
      <c r="HM70" s="65"/>
      <c r="HN70" s="65"/>
      <c r="HO70" s="65"/>
      <c r="HP70" s="65"/>
      <c r="HQ70" s="65"/>
      <c r="HR70" s="65"/>
      <c r="HS70" s="65"/>
      <c r="HT70" s="65"/>
      <c r="HU70" s="65"/>
      <c r="HV70" s="65"/>
      <c r="HW70" s="65"/>
      <c r="HX70" s="65"/>
      <c r="HY70" s="65"/>
      <c r="HZ70" s="65"/>
      <c r="IA70" s="65"/>
      <c r="IB70" s="65"/>
      <c r="IC70" s="65"/>
      <c r="ID70" s="65"/>
      <c r="IE70" s="65"/>
      <c r="IF70" s="65"/>
      <c r="IG70" s="65"/>
      <c r="IH70" s="65"/>
      <c r="II70" s="65"/>
      <c r="IJ70" s="65"/>
      <c r="IK70" s="65"/>
      <c r="IL70" s="65"/>
      <c r="IM70" s="65"/>
      <c r="IN70" s="65"/>
      <c r="IO70" s="65"/>
      <c r="IP70" s="65"/>
      <c r="IQ70" s="65"/>
      <c r="IR70" s="65"/>
      <c r="IS70" s="65"/>
      <c r="IT70" s="65"/>
      <c r="IU70" s="65"/>
      <c r="IV70" s="65"/>
      <c r="IW70" s="65"/>
      <c r="IX70" s="65"/>
      <c r="IY70" s="65"/>
      <c r="IZ70" s="65"/>
      <c r="JA70" s="65"/>
      <c r="JB70" s="65"/>
      <c r="JC70" s="65"/>
      <c r="JD70" s="65"/>
      <c r="JE70" s="65"/>
      <c r="JF70" s="65"/>
      <c r="JG70" s="65"/>
      <c r="JH70" s="65"/>
      <c r="JI70" s="65"/>
      <c r="JJ70" s="65"/>
      <c r="JK70" s="65"/>
      <c r="JL70" s="65"/>
      <c r="JM70" s="65"/>
      <c r="JN70" s="65"/>
      <c r="JO70" s="65"/>
      <c r="JP70" s="65"/>
      <c r="JQ70" s="65"/>
      <c r="JR70" s="65"/>
      <c r="JS70" s="65"/>
      <c r="JT70" s="65"/>
      <c r="JU70" s="65"/>
      <c r="JV70" s="65"/>
      <c r="JW70" s="65"/>
      <c r="JX70" s="65"/>
      <c r="JY70" s="65"/>
      <c r="JZ70" s="65"/>
      <c r="KA70" s="65"/>
      <c r="KB70" s="65"/>
      <c r="KC70" s="65"/>
      <c r="KD70" s="65"/>
      <c r="KE70" s="65"/>
      <c r="KF70" s="65"/>
      <c r="KG70" s="65"/>
      <c r="KH70" s="65"/>
      <c r="KI70" s="65"/>
      <c r="KJ70" s="65"/>
      <c r="KK70" s="65"/>
      <c r="KL70" s="65"/>
      <c r="KM70" s="65"/>
      <c r="KN70" s="65"/>
      <c r="KO70" s="65"/>
      <c r="KP70" s="65"/>
      <c r="KQ70" s="65"/>
      <c r="KR70" s="65"/>
      <c r="KS70" s="65"/>
      <c r="KT70" s="65"/>
      <c r="KU70" s="65"/>
      <c r="KV70" s="65"/>
      <c r="KW70" s="65"/>
      <c r="KX70" s="65"/>
      <c r="KY70" s="65"/>
      <c r="KZ70" s="65"/>
      <c r="LA70" s="65"/>
      <c r="LB70" s="65"/>
      <c r="LC70" s="65"/>
      <c r="LD70" s="65"/>
      <c r="LE70" s="65"/>
      <c r="LF70" s="65"/>
      <c r="LG70" s="65"/>
      <c r="LH70" s="65"/>
      <c r="LI70" s="65"/>
      <c r="LJ70" s="65"/>
      <c r="LK70" s="65"/>
      <c r="LL70" s="65"/>
      <c r="LM70" s="65"/>
      <c r="LN70" s="65"/>
      <c r="LO70" s="65"/>
      <c r="LP70" s="65"/>
      <c r="LQ70" s="65"/>
      <c r="LR70" s="65"/>
      <c r="LS70" s="65"/>
      <c r="LT70" s="65"/>
      <c r="LU70" s="65"/>
      <c r="LV70" s="65"/>
      <c r="LW70" s="65"/>
      <c r="LX70" s="65"/>
      <c r="LY70" s="65"/>
      <c r="LZ70" s="65"/>
      <c r="MA70" s="65"/>
      <c r="MB70" s="65"/>
      <c r="MC70" s="65"/>
      <c r="MD70" s="65"/>
      <c r="ME70" s="65"/>
      <c r="MF70" s="65"/>
      <c r="MG70" s="65"/>
      <c r="MH70" s="65"/>
      <c r="MI70" s="65"/>
      <c r="MJ70" s="65"/>
      <c r="MK70" s="65"/>
      <c r="ML70" s="65"/>
      <c r="MM70" s="65"/>
      <c r="MN70" s="65"/>
      <c r="MO70" s="65"/>
      <c r="MP70" s="65"/>
      <c r="MQ70" s="65"/>
      <c r="MR70" s="65"/>
      <c r="MS70" s="65"/>
      <c r="MT70" s="65"/>
      <c r="MU70" s="65"/>
      <c r="MV70" s="65"/>
      <c r="MW70" s="65"/>
      <c r="MX70" s="65"/>
      <c r="MY70" s="65"/>
      <c r="MZ70" s="65"/>
      <c r="NA70" s="65"/>
      <c r="NB70" s="65"/>
      <c r="NC70" s="65"/>
      <c r="ND70" s="65"/>
      <c r="NE70" s="65"/>
      <c r="NF70" s="65"/>
      <c r="NG70" s="65"/>
    </row>
    <row r="71">
      <c r="A71" s="65"/>
      <c r="B71" s="65"/>
      <c r="C71" s="205">
        <v>13.0</v>
      </c>
      <c r="D71" s="205" t="s">
        <v>112</v>
      </c>
      <c r="E71" s="109"/>
      <c r="F71" s="107" t="s">
        <v>1418</v>
      </c>
      <c r="G71" s="109"/>
      <c r="H71" s="109"/>
      <c r="I71" s="107" t="s">
        <v>1419</v>
      </c>
      <c r="J71" s="107" t="str">
        <f>REPLACE(F71,6,6,":white")</f>
        <v>Black:white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  <c r="BE71" s="65"/>
      <c r="BF71" s="65"/>
      <c r="BG71" s="65"/>
      <c r="BH71" s="65"/>
      <c r="BI71" s="65"/>
      <c r="BJ71" s="65"/>
      <c r="BK71" s="65"/>
      <c r="BL71" s="65"/>
      <c r="BM71" s="65"/>
      <c r="BN71" s="65"/>
      <c r="BO71" s="65"/>
      <c r="BP71" s="65"/>
      <c r="BQ71" s="65"/>
      <c r="BR71" s="65"/>
      <c r="BS71" s="65"/>
      <c r="BT71" s="65"/>
      <c r="BU71" s="65"/>
      <c r="BV71" s="65"/>
      <c r="BW71" s="65"/>
      <c r="BX71" s="65"/>
      <c r="BY71" s="65"/>
      <c r="BZ71" s="65"/>
      <c r="CA71" s="65"/>
      <c r="CB71" s="65"/>
      <c r="CC71" s="65"/>
      <c r="CD71" s="65"/>
      <c r="CE71" s="65"/>
      <c r="CF71" s="65"/>
      <c r="CG71" s="65"/>
      <c r="CH71" s="65"/>
      <c r="CI71" s="65"/>
      <c r="CJ71" s="65"/>
      <c r="CK71" s="65"/>
      <c r="CL71" s="65"/>
      <c r="CM71" s="65"/>
      <c r="CN71" s="65"/>
      <c r="CO71" s="65"/>
      <c r="CP71" s="65"/>
      <c r="CQ71" s="65"/>
      <c r="CR71" s="65"/>
      <c r="CS71" s="65"/>
      <c r="CT71" s="65"/>
      <c r="CU71" s="65"/>
      <c r="CV71" s="65"/>
      <c r="CW71" s="65"/>
      <c r="CX71" s="65"/>
      <c r="CY71" s="65"/>
      <c r="CZ71" s="65"/>
      <c r="DA71" s="65"/>
      <c r="DB71" s="65"/>
      <c r="DC71" s="65"/>
      <c r="DD71" s="65"/>
      <c r="DE71" s="65"/>
      <c r="DF71" s="65"/>
      <c r="DG71" s="65"/>
      <c r="DH71" s="65"/>
      <c r="DI71" s="65"/>
      <c r="DJ71" s="65"/>
      <c r="DK71" s="65"/>
      <c r="DL71" s="65"/>
      <c r="DM71" s="65"/>
      <c r="DN71" s="65"/>
      <c r="DO71" s="65"/>
      <c r="DP71" s="65"/>
      <c r="DQ71" s="65"/>
      <c r="DR71" s="65"/>
      <c r="DS71" s="65"/>
      <c r="DT71" s="65"/>
      <c r="DU71" s="65"/>
      <c r="DV71" s="65"/>
      <c r="DW71" s="65"/>
      <c r="DX71" s="65"/>
      <c r="DY71" s="65"/>
      <c r="DZ71" s="65"/>
      <c r="EA71" s="65"/>
      <c r="EB71" s="65"/>
      <c r="EC71" s="65"/>
      <c r="ED71" s="65"/>
      <c r="EE71" s="65"/>
      <c r="EF71" s="65"/>
      <c r="EG71" s="65"/>
      <c r="EH71" s="65"/>
      <c r="EI71" s="65"/>
      <c r="EJ71" s="65"/>
      <c r="EK71" s="65"/>
      <c r="EL71" s="65"/>
      <c r="EM71" s="65"/>
      <c r="EN71" s="65"/>
      <c r="EO71" s="65"/>
      <c r="EP71" s="65"/>
      <c r="EQ71" s="65"/>
      <c r="ER71" s="65"/>
      <c r="ES71" s="65"/>
      <c r="ET71" s="65"/>
      <c r="EU71" s="65"/>
      <c r="EV71" s="65"/>
      <c r="EW71" s="65"/>
      <c r="EX71" s="65"/>
      <c r="EY71" s="65"/>
      <c r="EZ71" s="65"/>
      <c r="FA71" s="65"/>
      <c r="FB71" s="65"/>
      <c r="FC71" s="65"/>
      <c r="FD71" s="65"/>
      <c r="FE71" s="65"/>
      <c r="FF71" s="65"/>
      <c r="FG71" s="65"/>
      <c r="FH71" s="65"/>
      <c r="FI71" s="65"/>
      <c r="FJ71" s="65"/>
      <c r="FK71" s="65"/>
      <c r="FL71" s="65"/>
      <c r="FM71" s="65"/>
      <c r="FN71" s="65"/>
      <c r="FO71" s="65"/>
      <c r="FP71" s="65"/>
      <c r="FQ71" s="65"/>
      <c r="FR71" s="65"/>
      <c r="FS71" s="65"/>
      <c r="FT71" s="65"/>
      <c r="FU71" s="65"/>
      <c r="FV71" s="65"/>
      <c r="FW71" s="65"/>
      <c r="FX71" s="65"/>
      <c r="FY71" s="65"/>
      <c r="FZ71" s="65"/>
      <c r="GA71" s="65"/>
      <c r="GB71" s="65"/>
      <c r="GC71" s="65"/>
      <c r="GD71" s="65"/>
      <c r="GE71" s="65"/>
      <c r="GF71" s="65"/>
      <c r="GG71" s="65"/>
      <c r="GH71" s="65"/>
      <c r="GI71" s="65"/>
      <c r="GJ71" s="65"/>
      <c r="GK71" s="65"/>
      <c r="GL71" s="65"/>
      <c r="GM71" s="65"/>
      <c r="GN71" s="65"/>
      <c r="GO71" s="65"/>
      <c r="GP71" s="65"/>
      <c r="GQ71" s="65"/>
      <c r="GR71" s="65"/>
      <c r="GS71" s="65"/>
      <c r="GT71" s="65"/>
      <c r="GU71" s="65"/>
      <c r="GV71" s="65"/>
      <c r="GW71" s="65"/>
      <c r="GX71" s="65"/>
      <c r="GY71" s="65"/>
      <c r="GZ71" s="65"/>
      <c r="HA71" s="65"/>
      <c r="HB71" s="65"/>
      <c r="HC71" s="65"/>
      <c r="HD71" s="65"/>
      <c r="HE71" s="65"/>
      <c r="HF71" s="65"/>
      <c r="HG71" s="65"/>
      <c r="HH71" s="65"/>
      <c r="HI71" s="65"/>
      <c r="HJ71" s="65"/>
      <c r="HK71" s="65"/>
      <c r="HL71" s="65"/>
      <c r="HM71" s="65"/>
      <c r="HN71" s="65"/>
      <c r="HO71" s="65"/>
      <c r="HP71" s="65"/>
      <c r="HQ71" s="65"/>
      <c r="HR71" s="65"/>
      <c r="HS71" s="65"/>
      <c r="HT71" s="65"/>
      <c r="HU71" s="65"/>
      <c r="HV71" s="65"/>
      <c r="HW71" s="65"/>
      <c r="HX71" s="65"/>
      <c r="HY71" s="65"/>
      <c r="HZ71" s="65"/>
      <c r="IA71" s="65"/>
      <c r="IB71" s="65"/>
      <c r="IC71" s="65"/>
      <c r="ID71" s="65"/>
      <c r="IE71" s="65"/>
      <c r="IF71" s="65"/>
      <c r="IG71" s="65"/>
      <c r="IH71" s="65"/>
      <c r="II71" s="65"/>
      <c r="IJ71" s="65"/>
      <c r="IK71" s="65"/>
      <c r="IL71" s="65"/>
      <c r="IM71" s="65"/>
      <c r="IN71" s="65"/>
      <c r="IO71" s="65"/>
      <c r="IP71" s="65"/>
      <c r="IQ71" s="65"/>
      <c r="IR71" s="65"/>
      <c r="IS71" s="65"/>
      <c r="IT71" s="65"/>
      <c r="IU71" s="65"/>
      <c r="IV71" s="65"/>
      <c r="IW71" s="65"/>
      <c r="IX71" s="65"/>
      <c r="IY71" s="65"/>
      <c r="IZ71" s="65"/>
      <c r="JA71" s="65"/>
      <c r="JB71" s="65"/>
      <c r="JC71" s="65"/>
      <c r="JD71" s="65"/>
      <c r="JE71" s="65"/>
      <c r="JF71" s="65"/>
      <c r="JG71" s="65"/>
      <c r="JH71" s="65"/>
      <c r="JI71" s="65"/>
      <c r="JJ71" s="65"/>
      <c r="JK71" s="65"/>
      <c r="JL71" s="65"/>
      <c r="JM71" s="65"/>
      <c r="JN71" s="65"/>
      <c r="JO71" s="65"/>
      <c r="JP71" s="65"/>
      <c r="JQ71" s="65"/>
      <c r="JR71" s="65"/>
      <c r="JS71" s="65"/>
      <c r="JT71" s="65"/>
      <c r="JU71" s="65"/>
      <c r="JV71" s="65"/>
      <c r="JW71" s="65"/>
      <c r="JX71" s="65"/>
      <c r="JY71" s="65"/>
      <c r="JZ71" s="65"/>
      <c r="KA71" s="65"/>
      <c r="KB71" s="65"/>
      <c r="KC71" s="65"/>
      <c r="KD71" s="65"/>
      <c r="KE71" s="65"/>
      <c r="KF71" s="65"/>
      <c r="KG71" s="65"/>
      <c r="KH71" s="65"/>
      <c r="KI71" s="65"/>
      <c r="KJ71" s="65"/>
      <c r="KK71" s="65"/>
      <c r="KL71" s="65"/>
      <c r="KM71" s="65"/>
      <c r="KN71" s="65"/>
      <c r="KO71" s="65"/>
      <c r="KP71" s="65"/>
      <c r="KQ71" s="65"/>
      <c r="KR71" s="65"/>
      <c r="KS71" s="65"/>
      <c r="KT71" s="65"/>
      <c r="KU71" s="65"/>
      <c r="KV71" s="65"/>
      <c r="KW71" s="65"/>
      <c r="KX71" s="65"/>
      <c r="KY71" s="65"/>
      <c r="KZ71" s="65"/>
      <c r="LA71" s="65"/>
      <c r="LB71" s="65"/>
      <c r="LC71" s="65"/>
      <c r="LD71" s="65"/>
      <c r="LE71" s="65"/>
      <c r="LF71" s="65"/>
      <c r="LG71" s="65"/>
      <c r="LH71" s="65"/>
      <c r="LI71" s="65"/>
      <c r="LJ71" s="65"/>
      <c r="LK71" s="65"/>
      <c r="LL71" s="65"/>
      <c r="LM71" s="65"/>
      <c r="LN71" s="65"/>
      <c r="LO71" s="65"/>
      <c r="LP71" s="65"/>
      <c r="LQ71" s="65"/>
      <c r="LR71" s="65"/>
      <c r="LS71" s="65"/>
      <c r="LT71" s="65"/>
      <c r="LU71" s="65"/>
      <c r="LV71" s="65"/>
      <c r="LW71" s="65"/>
      <c r="LX71" s="65"/>
      <c r="LY71" s="65"/>
      <c r="LZ71" s="65"/>
      <c r="MA71" s="65"/>
      <c r="MB71" s="65"/>
      <c r="MC71" s="65"/>
      <c r="MD71" s="65"/>
      <c r="ME71" s="65"/>
      <c r="MF71" s="65"/>
      <c r="MG71" s="65"/>
      <c r="MH71" s="65"/>
      <c r="MI71" s="65"/>
      <c r="MJ71" s="65"/>
      <c r="MK71" s="65"/>
      <c r="ML71" s="65"/>
      <c r="MM71" s="65"/>
      <c r="MN71" s="65"/>
      <c r="MO71" s="65"/>
      <c r="MP71" s="65"/>
      <c r="MQ71" s="65"/>
      <c r="MR71" s="65"/>
      <c r="MS71" s="65"/>
      <c r="MT71" s="65"/>
      <c r="MU71" s="65"/>
      <c r="MV71" s="65"/>
      <c r="MW71" s="65"/>
      <c r="MX71" s="65"/>
      <c r="MY71" s="65"/>
      <c r="MZ71" s="65"/>
      <c r="NA71" s="65"/>
      <c r="NB71" s="65"/>
      <c r="NC71" s="65"/>
      <c r="ND71" s="65"/>
      <c r="NE71" s="65"/>
      <c r="NF71" s="65"/>
      <c r="NG71" s="65"/>
    </row>
    <row r="72">
      <c r="A72" s="65"/>
      <c r="B72" s="65"/>
      <c r="C72" s="207"/>
      <c r="D72" s="207"/>
      <c r="E72" s="109"/>
      <c r="F72" s="107" t="s">
        <v>1420</v>
      </c>
      <c r="G72" s="109"/>
      <c r="H72" s="109"/>
      <c r="I72" s="107" t="s">
        <v>1421</v>
      </c>
      <c r="J72" s="107" t="str">
        <f>REPLACE(F72,6,6,"1")</f>
        <v>Court1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  <c r="IX72" s="65"/>
      <c r="IY72" s="65"/>
      <c r="IZ72" s="65"/>
      <c r="JA72" s="65"/>
      <c r="JB72" s="65"/>
      <c r="JC72" s="65"/>
      <c r="JD72" s="65"/>
      <c r="JE72" s="65"/>
      <c r="JF72" s="65"/>
      <c r="JG72" s="65"/>
      <c r="JH72" s="65"/>
      <c r="JI72" s="65"/>
      <c r="JJ72" s="65"/>
      <c r="JK72" s="65"/>
      <c r="JL72" s="65"/>
      <c r="JM72" s="65"/>
      <c r="JN72" s="65"/>
      <c r="JO72" s="65"/>
      <c r="JP72" s="65"/>
      <c r="JQ72" s="65"/>
      <c r="JR72" s="65"/>
      <c r="JS72" s="65"/>
      <c r="JT72" s="65"/>
      <c r="JU72" s="65"/>
      <c r="JV72" s="65"/>
      <c r="JW72" s="65"/>
      <c r="JX72" s="65"/>
      <c r="JY72" s="65"/>
      <c r="JZ72" s="65"/>
      <c r="KA72" s="65"/>
      <c r="KB72" s="65"/>
      <c r="KC72" s="65"/>
      <c r="KD72" s="65"/>
      <c r="KE72" s="65"/>
      <c r="KF72" s="65"/>
      <c r="KG72" s="65"/>
      <c r="KH72" s="65"/>
      <c r="KI72" s="65"/>
      <c r="KJ72" s="65"/>
      <c r="KK72" s="65"/>
      <c r="KL72" s="65"/>
      <c r="KM72" s="65"/>
      <c r="KN72" s="65"/>
      <c r="KO72" s="65"/>
      <c r="KP72" s="65"/>
      <c r="KQ72" s="65"/>
      <c r="KR72" s="65"/>
      <c r="KS72" s="65"/>
      <c r="KT72" s="65"/>
      <c r="KU72" s="65"/>
      <c r="KV72" s="65"/>
      <c r="KW72" s="65"/>
      <c r="KX72" s="65"/>
      <c r="KY72" s="65"/>
      <c r="KZ72" s="65"/>
      <c r="LA72" s="65"/>
      <c r="LB72" s="65"/>
      <c r="LC72" s="65"/>
      <c r="LD72" s="65"/>
      <c r="LE72" s="65"/>
      <c r="LF72" s="65"/>
      <c r="LG72" s="65"/>
      <c r="LH72" s="65"/>
      <c r="LI72" s="65"/>
      <c r="LJ72" s="65"/>
      <c r="LK72" s="65"/>
      <c r="LL72" s="65"/>
      <c r="LM72" s="65"/>
      <c r="LN72" s="65"/>
      <c r="LO72" s="65"/>
      <c r="LP72" s="65"/>
      <c r="LQ72" s="65"/>
      <c r="LR72" s="65"/>
      <c r="LS72" s="65"/>
      <c r="LT72" s="65"/>
      <c r="LU72" s="65"/>
      <c r="LV72" s="65"/>
      <c r="LW72" s="65"/>
      <c r="LX72" s="65"/>
      <c r="LY72" s="65"/>
      <c r="LZ72" s="65"/>
      <c r="MA72" s="65"/>
      <c r="MB72" s="65"/>
      <c r="MC72" s="65"/>
      <c r="MD72" s="65"/>
      <c r="ME72" s="65"/>
      <c r="MF72" s="65"/>
      <c r="MG72" s="65"/>
      <c r="MH72" s="65"/>
      <c r="MI72" s="65"/>
      <c r="MJ72" s="65"/>
      <c r="MK72" s="65"/>
      <c r="ML72" s="65"/>
      <c r="MM72" s="65"/>
      <c r="MN72" s="65"/>
      <c r="MO72" s="65"/>
      <c r="MP72" s="65"/>
      <c r="MQ72" s="65"/>
      <c r="MR72" s="65"/>
      <c r="MS72" s="65"/>
      <c r="MT72" s="65"/>
      <c r="MU72" s="65"/>
      <c r="MV72" s="65"/>
      <c r="MW72" s="65"/>
      <c r="MX72" s="65"/>
      <c r="MY72" s="65"/>
      <c r="MZ72" s="65"/>
      <c r="NA72" s="65"/>
      <c r="NB72" s="65"/>
      <c r="NC72" s="65"/>
      <c r="ND72" s="65"/>
      <c r="NE72" s="65"/>
      <c r="NF72" s="65"/>
      <c r="NG72" s="65"/>
    </row>
    <row r="73">
      <c r="A73" s="65"/>
      <c r="B73" s="65"/>
      <c r="C73" s="207"/>
      <c r="D73" s="207"/>
      <c r="E73" s="109"/>
      <c r="F73" s="107" t="s">
        <v>1422</v>
      </c>
      <c r="G73" s="109"/>
      <c r="H73" s="109"/>
      <c r="I73" s="107" t="s">
        <v>1423</v>
      </c>
      <c r="J73" s="107" t="str">
        <f>REPLACE(F73,6,6,"Bee")</f>
        <v>HoneyBee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  <c r="BE73" s="65"/>
      <c r="BF73" s="65"/>
      <c r="BG73" s="65"/>
      <c r="BH73" s="65"/>
      <c r="BI73" s="65"/>
      <c r="BJ73" s="65"/>
      <c r="BK73" s="65"/>
      <c r="BL73" s="65"/>
      <c r="BM73" s="65"/>
      <c r="BN73" s="65"/>
      <c r="BO73" s="65"/>
      <c r="BP73" s="65"/>
      <c r="BQ73" s="65"/>
      <c r="BR73" s="65"/>
      <c r="BS73" s="65"/>
      <c r="BT73" s="65"/>
      <c r="BU73" s="65"/>
      <c r="BV73" s="65"/>
      <c r="BW73" s="65"/>
      <c r="BX73" s="65"/>
      <c r="BY73" s="65"/>
      <c r="BZ73" s="65"/>
      <c r="CA73" s="65"/>
      <c r="CB73" s="65"/>
      <c r="CC73" s="65"/>
      <c r="CD73" s="65"/>
      <c r="CE73" s="65"/>
      <c r="CF73" s="65"/>
      <c r="CG73" s="65"/>
      <c r="CH73" s="65"/>
      <c r="CI73" s="65"/>
      <c r="CJ73" s="65"/>
      <c r="CK73" s="65"/>
      <c r="CL73" s="65"/>
      <c r="CM73" s="65"/>
      <c r="CN73" s="65"/>
      <c r="CO73" s="65"/>
      <c r="CP73" s="65"/>
      <c r="CQ73" s="65"/>
      <c r="CR73" s="65"/>
      <c r="CS73" s="65"/>
      <c r="CT73" s="65"/>
      <c r="CU73" s="65"/>
      <c r="CV73" s="65"/>
      <c r="CW73" s="65"/>
      <c r="CX73" s="65"/>
      <c r="CY73" s="65"/>
      <c r="CZ73" s="65"/>
      <c r="DA73" s="65"/>
      <c r="DB73" s="65"/>
      <c r="DC73" s="65"/>
      <c r="DD73" s="65"/>
      <c r="DE73" s="65"/>
      <c r="DF73" s="65"/>
      <c r="DG73" s="65"/>
      <c r="DH73" s="65"/>
      <c r="DI73" s="65"/>
      <c r="DJ73" s="65"/>
      <c r="DK73" s="65"/>
      <c r="DL73" s="65"/>
      <c r="DM73" s="65"/>
      <c r="DN73" s="65"/>
      <c r="DO73" s="65"/>
      <c r="DP73" s="65"/>
      <c r="DQ73" s="65"/>
      <c r="DR73" s="65"/>
      <c r="DS73" s="65"/>
      <c r="DT73" s="65"/>
      <c r="DU73" s="65"/>
      <c r="DV73" s="65"/>
      <c r="DW73" s="65"/>
      <c r="DX73" s="65"/>
      <c r="DY73" s="65"/>
      <c r="DZ73" s="65"/>
      <c r="EA73" s="65"/>
      <c r="EB73" s="65"/>
      <c r="EC73" s="65"/>
      <c r="ED73" s="65"/>
      <c r="EE73" s="65"/>
      <c r="EF73" s="65"/>
      <c r="EG73" s="65"/>
      <c r="EH73" s="65"/>
      <c r="EI73" s="65"/>
      <c r="EJ73" s="65"/>
      <c r="EK73" s="65"/>
      <c r="EL73" s="65"/>
      <c r="EM73" s="65"/>
      <c r="EN73" s="65"/>
      <c r="EO73" s="65"/>
      <c r="EP73" s="65"/>
      <c r="EQ73" s="65"/>
      <c r="ER73" s="65"/>
      <c r="ES73" s="65"/>
      <c r="ET73" s="65"/>
      <c r="EU73" s="65"/>
      <c r="EV73" s="65"/>
      <c r="EW73" s="65"/>
      <c r="EX73" s="65"/>
      <c r="EY73" s="65"/>
      <c r="EZ73" s="65"/>
      <c r="FA73" s="65"/>
      <c r="FB73" s="65"/>
      <c r="FC73" s="65"/>
      <c r="FD73" s="65"/>
      <c r="FE73" s="65"/>
      <c r="FF73" s="65"/>
      <c r="FG73" s="65"/>
      <c r="FH73" s="65"/>
      <c r="FI73" s="65"/>
      <c r="FJ73" s="65"/>
      <c r="FK73" s="65"/>
      <c r="FL73" s="65"/>
      <c r="FM73" s="65"/>
      <c r="FN73" s="65"/>
      <c r="FO73" s="65"/>
      <c r="FP73" s="65"/>
      <c r="FQ73" s="65"/>
      <c r="FR73" s="65"/>
      <c r="FS73" s="65"/>
      <c r="FT73" s="65"/>
      <c r="FU73" s="65"/>
      <c r="FV73" s="65"/>
      <c r="FW73" s="65"/>
      <c r="FX73" s="65"/>
      <c r="FY73" s="65"/>
      <c r="FZ73" s="65"/>
      <c r="GA73" s="65"/>
      <c r="GB73" s="65"/>
      <c r="GC73" s="65"/>
      <c r="GD73" s="65"/>
      <c r="GE73" s="65"/>
      <c r="GF73" s="65"/>
      <c r="GG73" s="65"/>
      <c r="GH73" s="65"/>
      <c r="GI73" s="65"/>
      <c r="GJ73" s="65"/>
      <c r="GK73" s="65"/>
      <c r="GL73" s="65"/>
      <c r="GM73" s="65"/>
      <c r="GN73" s="65"/>
      <c r="GO73" s="65"/>
      <c r="GP73" s="65"/>
      <c r="GQ73" s="65"/>
      <c r="GR73" s="65"/>
      <c r="GS73" s="65"/>
      <c r="GT73" s="65"/>
      <c r="GU73" s="65"/>
      <c r="GV73" s="65"/>
      <c r="GW73" s="65"/>
      <c r="GX73" s="65"/>
      <c r="GY73" s="65"/>
      <c r="GZ73" s="65"/>
      <c r="HA73" s="65"/>
      <c r="HB73" s="65"/>
      <c r="HC73" s="65"/>
      <c r="HD73" s="65"/>
      <c r="HE73" s="65"/>
      <c r="HF73" s="65"/>
      <c r="HG73" s="65"/>
      <c r="HH73" s="65"/>
      <c r="HI73" s="65"/>
      <c r="HJ73" s="65"/>
      <c r="HK73" s="65"/>
      <c r="HL73" s="65"/>
      <c r="HM73" s="65"/>
      <c r="HN73" s="65"/>
      <c r="HO73" s="65"/>
      <c r="HP73" s="65"/>
      <c r="HQ73" s="65"/>
      <c r="HR73" s="65"/>
      <c r="HS73" s="65"/>
      <c r="HT73" s="65"/>
      <c r="HU73" s="65"/>
      <c r="HV73" s="65"/>
      <c r="HW73" s="65"/>
      <c r="HX73" s="65"/>
      <c r="HY73" s="65"/>
      <c r="HZ73" s="65"/>
      <c r="IA73" s="65"/>
      <c r="IB73" s="65"/>
      <c r="IC73" s="65"/>
      <c r="ID73" s="65"/>
      <c r="IE73" s="65"/>
      <c r="IF73" s="65"/>
      <c r="IG73" s="65"/>
      <c r="IH73" s="65"/>
      <c r="II73" s="65"/>
      <c r="IJ73" s="65"/>
      <c r="IK73" s="65"/>
      <c r="IL73" s="65"/>
      <c r="IM73" s="65"/>
      <c r="IN73" s="65"/>
      <c r="IO73" s="65"/>
      <c r="IP73" s="65"/>
      <c r="IQ73" s="65"/>
      <c r="IR73" s="65"/>
      <c r="IS73" s="65"/>
      <c r="IT73" s="65"/>
      <c r="IU73" s="65"/>
      <c r="IV73" s="65"/>
      <c r="IW73" s="65"/>
      <c r="IX73" s="65"/>
      <c r="IY73" s="65"/>
      <c r="IZ73" s="65"/>
      <c r="JA73" s="65"/>
      <c r="JB73" s="65"/>
      <c r="JC73" s="65"/>
      <c r="JD73" s="65"/>
      <c r="JE73" s="65"/>
      <c r="JF73" s="65"/>
      <c r="JG73" s="65"/>
      <c r="JH73" s="65"/>
      <c r="JI73" s="65"/>
      <c r="JJ73" s="65"/>
      <c r="JK73" s="65"/>
      <c r="JL73" s="65"/>
      <c r="JM73" s="65"/>
      <c r="JN73" s="65"/>
      <c r="JO73" s="65"/>
      <c r="JP73" s="65"/>
      <c r="JQ73" s="65"/>
      <c r="JR73" s="65"/>
      <c r="JS73" s="65"/>
      <c r="JT73" s="65"/>
      <c r="JU73" s="65"/>
      <c r="JV73" s="65"/>
      <c r="JW73" s="65"/>
      <c r="JX73" s="65"/>
      <c r="JY73" s="65"/>
      <c r="JZ73" s="65"/>
      <c r="KA73" s="65"/>
      <c r="KB73" s="65"/>
      <c r="KC73" s="65"/>
      <c r="KD73" s="65"/>
      <c r="KE73" s="65"/>
      <c r="KF73" s="65"/>
      <c r="KG73" s="65"/>
      <c r="KH73" s="65"/>
      <c r="KI73" s="65"/>
      <c r="KJ73" s="65"/>
      <c r="KK73" s="65"/>
      <c r="KL73" s="65"/>
      <c r="KM73" s="65"/>
      <c r="KN73" s="65"/>
      <c r="KO73" s="65"/>
      <c r="KP73" s="65"/>
      <c r="KQ73" s="65"/>
      <c r="KR73" s="65"/>
      <c r="KS73" s="65"/>
      <c r="KT73" s="65"/>
      <c r="KU73" s="65"/>
      <c r="KV73" s="65"/>
      <c r="KW73" s="65"/>
      <c r="KX73" s="65"/>
      <c r="KY73" s="65"/>
      <c r="KZ73" s="65"/>
      <c r="LA73" s="65"/>
      <c r="LB73" s="65"/>
      <c r="LC73" s="65"/>
      <c r="LD73" s="65"/>
      <c r="LE73" s="65"/>
      <c r="LF73" s="65"/>
      <c r="LG73" s="65"/>
      <c r="LH73" s="65"/>
      <c r="LI73" s="65"/>
      <c r="LJ73" s="65"/>
      <c r="LK73" s="65"/>
      <c r="LL73" s="65"/>
      <c r="LM73" s="65"/>
      <c r="LN73" s="65"/>
      <c r="LO73" s="65"/>
      <c r="LP73" s="65"/>
      <c r="LQ73" s="65"/>
      <c r="LR73" s="65"/>
      <c r="LS73" s="65"/>
      <c r="LT73" s="65"/>
      <c r="LU73" s="65"/>
      <c r="LV73" s="65"/>
      <c r="LW73" s="65"/>
      <c r="LX73" s="65"/>
      <c r="LY73" s="65"/>
      <c r="LZ73" s="65"/>
      <c r="MA73" s="65"/>
      <c r="MB73" s="65"/>
      <c r="MC73" s="65"/>
      <c r="MD73" s="65"/>
      <c r="ME73" s="65"/>
      <c r="MF73" s="65"/>
      <c r="MG73" s="65"/>
      <c r="MH73" s="65"/>
      <c r="MI73" s="65"/>
      <c r="MJ73" s="65"/>
      <c r="MK73" s="65"/>
      <c r="ML73" s="65"/>
      <c r="MM73" s="65"/>
      <c r="MN73" s="65"/>
      <c r="MO73" s="65"/>
      <c r="MP73" s="65"/>
      <c r="MQ73" s="65"/>
      <c r="MR73" s="65"/>
      <c r="MS73" s="65"/>
      <c r="MT73" s="65"/>
      <c r="MU73" s="65"/>
      <c r="MV73" s="65"/>
      <c r="MW73" s="65"/>
      <c r="MX73" s="65"/>
      <c r="MY73" s="65"/>
      <c r="MZ73" s="65"/>
      <c r="NA73" s="65"/>
      <c r="NB73" s="65"/>
      <c r="NC73" s="65"/>
      <c r="ND73" s="65"/>
      <c r="NE73" s="65"/>
      <c r="NF73" s="65"/>
      <c r="NG73" s="65"/>
    </row>
    <row r="74">
      <c r="A74" s="65"/>
      <c r="B74" s="65"/>
      <c r="C74" s="207"/>
      <c r="D74" s="207"/>
      <c r="E74" s="109"/>
      <c r="F74" s="107" t="s">
        <v>1424</v>
      </c>
      <c r="G74" s="109"/>
      <c r="H74" s="109"/>
      <c r="I74" s="107" t="s">
        <v>1425</v>
      </c>
      <c r="J74" s="107" t="str">
        <f>REPLACE(F74,3,5,"25")</f>
        <v>co25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  <c r="BE74" s="65"/>
      <c r="BF74" s="65"/>
      <c r="BG74" s="65"/>
      <c r="BH74" s="65"/>
      <c r="BI74" s="65"/>
      <c r="BJ74" s="65"/>
      <c r="BK74" s="65"/>
      <c r="BL74" s="65"/>
      <c r="BM74" s="65"/>
      <c r="BN74" s="65"/>
      <c r="BO74" s="65"/>
      <c r="BP74" s="65"/>
      <c r="BQ74" s="65"/>
      <c r="BR74" s="65"/>
      <c r="BS74" s="65"/>
      <c r="BT74" s="65"/>
      <c r="BU74" s="65"/>
      <c r="BV74" s="65"/>
      <c r="BW74" s="65"/>
      <c r="BX74" s="65"/>
      <c r="BY74" s="65"/>
      <c r="BZ74" s="65"/>
      <c r="CA74" s="65"/>
      <c r="CB74" s="65"/>
      <c r="CC74" s="65"/>
      <c r="CD74" s="65"/>
      <c r="CE74" s="65"/>
      <c r="CF74" s="65"/>
      <c r="CG74" s="65"/>
      <c r="CH74" s="65"/>
      <c r="CI74" s="65"/>
      <c r="CJ74" s="65"/>
      <c r="CK74" s="65"/>
      <c r="CL74" s="65"/>
      <c r="CM74" s="65"/>
      <c r="CN74" s="65"/>
      <c r="CO74" s="65"/>
      <c r="CP74" s="65"/>
      <c r="CQ74" s="65"/>
      <c r="CR74" s="65"/>
      <c r="CS74" s="65"/>
      <c r="CT74" s="65"/>
      <c r="CU74" s="65"/>
      <c r="CV74" s="65"/>
      <c r="CW74" s="65"/>
      <c r="CX74" s="65"/>
      <c r="CY74" s="65"/>
      <c r="CZ74" s="65"/>
      <c r="DA74" s="65"/>
      <c r="DB74" s="65"/>
      <c r="DC74" s="65"/>
      <c r="DD74" s="65"/>
      <c r="DE74" s="65"/>
      <c r="DF74" s="65"/>
      <c r="DG74" s="65"/>
      <c r="DH74" s="65"/>
      <c r="DI74" s="65"/>
      <c r="DJ74" s="65"/>
      <c r="DK74" s="65"/>
      <c r="DL74" s="65"/>
      <c r="DM74" s="65"/>
      <c r="DN74" s="65"/>
      <c r="DO74" s="65"/>
      <c r="DP74" s="65"/>
      <c r="DQ74" s="65"/>
      <c r="DR74" s="65"/>
      <c r="DS74" s="65"/>
      <c r="DT74" s="65"/>
      <c r="DU74" s="65"/>
      <c r="DV74" s="65"/>
      <c r="DW74" s="65"/>
      <c r="DX74" s="65"/>
      <c r="DY74" s="65"/>
      <c r="DZ74" s="65"/>
      <c r="EA74" s="65"/>
      <c r="EB74" s="65"/>
      <c r="EC74" s="65"/>
      <c r="ED74" s="65"/>
      <c r="EE74" s="65"/>
      <c r="EF74" s="65"/>
      <c r="EG74" s="65"/>
      <c r="EH74" s="65"/>
      <c r="EI74" s="65"/>
      <c r="EJ74" s="65"/>
      <c r="EK74" s="65"/>
      <c r="EL74" s="65"/>
      <c r="EM74" s="65"/>
      <c r="EN74" s="65"/>
      <c r="EO74" s="65"/>
      <c r="EP74" s="65"/>
      <c r="EQ74" s="65"/>
      <c r="ER74" s="65"/>
      <c r="ES74" s="65"/>
      <c r="ET74" s="65"/>
      <c r="EU74" s="65"/>
      <c r="EV74" s="65"/>
      <c r="EW74" s="65"/>
      <c r="EX74" s="65"/>
      <c r="EY74" s="65"/>
      <c r="EZ74" s="65"/>
      <c r="FA74" s="65"/>
      <c r="FB74" s="65"/>
      <c r="FC74" s="65"/>
      <c r="FD74" s="65"/>
      <c r="FE74" s="65"/>
      <c r="FF74" s="65"/>
      <c r="FG74" s="65"/>
      <c r="FH74" s="65"/>
      <c r="FI74" s="65"/>
      <c r="FJ74" s="65"/>
      <c r="FK74" s="65"/>
      <c r="FL74" s="65"/>
      <c r="FM74" s="65"/>
      <c r="FN74" s="65"/>
      <c r="FO74" s="65"/>
      <c r="FP74" s="65"/>
      <c r="FQ74" s="65"/>
      <c r="FR74" s="65"/>
      <c r="FS74" s="65"/>
      <c r="FT74" s="65"/>
      <c r="FU74" s="65"/>
      <c r="FV74" s="65"/>
      <c r="FW74" s="65"/>
      <c r="FX74" s="65"/>
      <c r="FY74" s="65"/>
      <c r="FZ74" s="65"/>
      <c r="GA74" s="65"/>
      <c r="GB74" s="65"/>
      <c r="GC74" s="65"/>
      <c r="GD74" s="65"/>
      <c r="GE74" s="65"/>
      <c r="GF74" s="65"/>
      <c r="GG74" s="65"/>
      <c r="GH74" s="65"/>
      <c r="GI74" s="65"/>
      <c r="GJ74" s="65"/>
      <c r="GK74" s="65"/>
      <c r="GL74" s="65"/>
      <c r="GM74" s="65"/>
      <c r="GN74" s="65"/>
      <c r="GO74" s="65"/>
      <c r="GP74" s="65"/>
      <c r="GQ74" s="65"/>
      <c r="GR74" s="65"/>
      <c r="GS74" s="65"/>
      <c r="GT74" s="65"/>
      <c r="GU74" s="65"/>
      <c r="GV74" s="65"/>
      <c r="GW74" s="65"/>
      <c r="GX74" s="65"/>
      <c r="GY74" s="65"/>
      <c r="GZ74" s="65"/>
      <c r="HA74" s="65"/>
      <c r="HB74" s="65"/>
      <c r="HC74" s="65"/>
      <c r="HD74" s="65"/>
      <c r="HE74" s="65"/>
      <c r="HF74" s="65"/>
      <c r="HG74" s="65"/>
      <c r="HH74" s="65"/>
      <c r="HI74" s="65"/>
      <c r="HJ74" s="65"/>
      <c r="HK74" s="65"/>
      <c r="HL74" s="65"/>
      <c r="HM74" s="65"/>
      <c r="HN74" s="65"/>
      <c r="HO74" s="65"/>
      <c r="HP74" s="65"/>
      <c r="HQ74" s="65"/>
      <c r="HR74" s="65"/>
      <c r="HS74" s="65"/>
      <c r="HT74" s="65"/>
      <c r="HU74" s="65"/>
      <c r="HV74" s="65"/>
      <c r="HW74" s="65"/>
      <c r="HX74" s="65"/>
      <c r="HY74" s="65"/>
      <c r="HZ74" s="65"/>
      <c r="IA74" s="65"/>
      <c r="IB74" s="65"/>
      <c r="IC74" s="65"/>
      <c r="ID74" s="65"/>
      <c r="IE74" s="65"/>
      <c r="IF74" s="65"/>
      <c r="IG74" s="65"/>
      <c r="IH74" s="65"/>
      <c r="II74" s="65"/>
      <c r="IJ74" s="65"/>
      <c r="IK74" s="65"/>
      <c r="IL74" s="65"/>
      <c r="IM74" s="65"/>
      <c r="IN74" s="65"/>
      <c r="IO74" s="65"/>
      <c r="IP74" s="65"/>
      <c r="IQ74" s="65"/>
      <c r="IR74" s="65"/>
      <c r="IS74" s="65"/>
      <c r="IT74" s="65"/>
      <c r="IU74" s="65"/>
      <c r="IV74" s="65"/>
      <c r="IW74" s="65"/>
      <c r="IX74" s="65"/>
      <c r="IY74" s="65"/>
      <c r="IZ74" s="65"/>
      <c r="JA74" s="65"/>
      <c r="JB74" s="65"/>
      <c r="JC74" s="65"/>
      <c r="JD74" s="65"/>
      <c r="JE74" s="65"/>
      <c r="JF74" s="65"/>
      <c r="JG74" s="65"/>
      <c r="JH74" s="65"/>
      <c r="JI74" s="65"/>
      <c r="JJ74" s="65"/>
      <c r="JK74" s="65"/>
      <c r="JL74" s="65"/>
      <c r="JM74" s="65"/>
      <c r="JN74" s="65"/>
      <c r="JO74" s="65"/>
      <c r="JP74" s="65"/>
      <c r="JQ74" s="65"/>
      <c r="JR74" s="65"/>
      <c r="JS74" s="65"/>
      <c r="JT74" s="65"/>
      <c r="JU74" s="65"/>
      <c r="JV74" s="65"/>
      <c r="JW74" s="65"/>
      <c r="JX74" s="65"/>
      <c r="JY74" s="65"/>
      <c r="JZ74" s="65"/>
      <c r="KA74" s="65"/>
      <c r="KB74" s="65"/>
      <c r="KC74" s="65"/>
      <c r="KD74" s="65"/>
      <c r="KE74" s="65"/>
      <c r="KF74" s="65"/>
      <c r="KG74" s="65"/>
      <c r="KH74" s="65"/>
      <c r="KI74" s="65"/>
      <c r="KJ74" s="65"/>
      <c r="KK74" s="65"/>
      <c r="KL74" s="65"/>
      <c r="KM74" s="65"/>
      <c r="KN74" s="65"/>
      <c r="KO74" s="65"/>
      <c r="KP74" s="65"/>
      <c r="KQ74" s="65"/>
      <c r="KR74" s="65"/>
      <c r="KS74" s="65"/>
      <c r="KT74" s="65"/>
      <c r="KU74" s="65"/>
      <c r="KV74" s="65"/>
      <c r="KW74" s="65"/>
      <c r="KX74" s="65"/>
      <c r="KY74" s="65"/>
      <c r="KZ74" s="65"/>
      <c r="LA74" s="65"/>
      <c r="LB74" s="65"/>
      <c r="LC74" s="65"/>
      <c r="LD74" s="65"/>
      <c r="LE74" s="65"/>
      <c r="LF74" s="65"/>
      <c r="LG74" s="65"/>
      <c r="LH74" s="65"/>
      <c r="LI74" s="65"/>
      <c r="LJ74" s="65"/>
      <c r="LK74" s="65"/>
      <c r="LL74" s="65"/>
      <c r="LM74" s="65"/>
      <c r="LN74" s="65"/>
      <c r="LO74" s="65"/>
      <c r="LP74" s="65"/>
      <c r="LQ74" s="65"/>
      <c r="LR74" s="65"/>
      <c r="LS74" s="65"/>
      <c r="LT74" s="65"/>
      <c r="LU74" s="65"/>
      <c r="LV74" s="65"/>
      <c r="LW74" s="65"/>
      <c r="LX74" s="65"/>
      <c r="LY74" s="65"/>
      <c r="LZ74" s="65"/>
      <c r="MA74" s="65"/>
      <c r="MB74" s="65"/>
      <c r="MC74" s="65"/>
      <c r="MD74" s="65"/>
      <c r="ME74" s="65"/>
      <c r="MF74" s="65"/>
      <c r="MG74" s="65"/>
      <c r="MH74" s="65"/>
      <c r="MI74" s="65"/>
      <c r="MJ74" s="65"/>
      <c r="MK74" s="65"/>
      <c r="ML74" s="65"/>
      <c r="MM74" s="65"/>
      <c r="MN74" s="65"/>
      <c r="MO74" s="65"/>
      <c r="MP74" s="65"/>
      <c r="MQ74" s="65"/>
      <c r="MR74" s="65"/>
      <c r="MS74" s="65"/>
      <c r="MT74" s="65"/>
      <c r="MU74" s="65"/>
      <c r="MV74" s="65"/>
      <c r="MW74" s="65"/>
      <c r="MX74" s="65"/>
      <c r="MY74" s="65"/>
      <c r="MZ74" s="65"/>
      <c r="NA74" s="65"/>
      <c r="NB74" s="65"/>
      <c r="NC74" s="65"/>
      <c r="ND74" s="65"/>
      <c r="NE74" s="65"/>
      <c r="NF74" s="65"/>
      <c r="NG74" s="65"/>
    </row>
    <row r="75">
      <c r="A75" s="65"/>
      <c r="B75" s="65"/>
      <c r="C75" s="201"/>
      <c r="D75" s="201"/>
      <c r="E75" s="109"/>
      <c r="F75" s="107" t="s">
        <v>1426</v>
      </c>
      <c r="G75" s="109"/>
      <c r="H75" s="109"/>
      <c r="I75" s="107" t="s">
        <v>1427</v>
      </c>
      <c r="J75" s="107" t="str">
        <f>REPLACE(F75,6,6,"1")</f>
        <v>Numbe1</v>
      </c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  <c r="BE75" s="65"/>
      <c r="BF75" s="65"/>
      <c r="BG75" s="65"/>
      <c r="BH75" s="65"/>
      <c r="BI75" s="65"/>
      <c r="BJ75" s="65"/>
      <c r="BK75" s="65"/>
      <c r="BL75" s="65"/>
      <c r="BM75" s="65"/>
      <c r="BN75" s="65"/>
      <c r="BO75" s="65"/>
      <c r="BP75" s="65"/>
      <c r="BQ75" s="65"/>
      <c r="BR75" s="65"/>
      <c r="BS75" s="65"/>
      <c r="BT75" s="65"/>
      <c r="BU75" s="65"/>
      <c r="BV75" s="65"/>
      <c r="BW75" s="65"/>
      <c r="BX75" s="65"/>
      <c r="BY75" s="65"/>
      <c r="BZ75" s="65"/>
      <c r="CA75" s="65"/>
      <c r="CB75" s="65"/>
      <c r="CC75" s="65"/>
      <c r="CD75" s="65"/>
      <c r="CE75" s="65"/>
      <c r="CF75" s="65"/>
      <c r="CG75" s="65"/>
      <c r="CH75" s="65"/>
      <c r="CI75" s="65"/>
      <c r="CJ75" s="65"/>
      <c r="CK75" s="65"/>
      <c r="CL75" s="65"/>
      <c r="CM75" s="65"/>
      <c r="CN75" s="65"/>
      <c r="CO75" s="65"/>
      <c r="CP75" s="65"/>
      <c r="CQ75" s="65"/>
      <c r="CR75" s="65"/>
      <c r="CS75" s="65"/>
      <c r="CT75" s="65"/>
      <c r="CU75" s="65"/>
      <c r="CV75" s="65"/>
      <c r="CW75" s="65"/>
      <c r="CX75" s="65"/>
      <c r="CY75" s="65"/>
      <c r="CZ75" s="65"/>
      <c r="DA75" s="65"/>
      <c r="DB75" s="65"/>
      <c r="DC75" s="65"/>
      <c r="DD75" s="65"/>
      <c r="DE75" s="65"/>
      <c r="DF75" s="65"/>
      <c r="DG75" s="65"/>
      <c r="DH75" s="65"/>
      <c r="DI75" s="65"/>
      <c r="DJ75" s="65"/>
      <c r="DK75" s="65"/>
      <c r="DL75" s="65"/>
      <c r="DM75" s="65"/>
      <c r="DN75" s="65"/>
      <c r="DO75" s="65"/>
      <c r="DP75" s="65"/>
      <c r="DQ75" s="65"/>
      <c r="DR75" s="65"/>
      <c r="DS75" s="65"/>
      <c r="DT75" s="65"/>
      <c r="DU75" s="65"/>
      <c r="DV75" s="65"/>
      <c r="DW75" s="65"/>
      <c r="DX75" s="65"/>
      <c r="DY75" s="65"/>
      <c r="DZ75" s="65"/>
      <c r="EA75" s="65"/>
      <c r="EB75" s="65"/>
      <c r="EC75" s="65"/>
      <c r="ED75" s="65"/>
      <c r="EE75" s="65"/>
      <c r="EF75" s="65"/>
      <c r="EG75" s="65"/>
      <c r="EH75" s="65"/>
      <c r="EI75" s="65"/>
      <c r="EJ75" s="65"/>
      <c r="EK75" s="65"/>
      <c r="EL75" s="65"/>
      <c r="EM75" s="65"/>
      <c r="EN75" s="65"/>
      <c r="EO75" s="65"/>
      <c r="EP75" s="65"/>
      <c r="EQ75" s="65"/>
      <c r="ER75" s="65"/>
      <c r="ES75" s="65"/>
      <c r="ET75" s="65"/>
      <c r="EU75" s="65"/>
      <c r="EV75" s="65"/>
      <c r="EW75" s="65"/>
      <c r="EX75" s="65"/>
      <c r="EY75" s="65"/>
      <c r="EZ75" s="65"/>
      <c r="FA75" s="65"/>
      <c r="FB75" s="65"/>
      <c r="FC75" s="65"/>
      <c r="FD75" s="65"/>
      <c r="FE75" s="65"/>
      <c r="FF75" s="65"/>
      <c r="FG75" s="65"/>
      <c r="FH75" s="65"/>
      <c r="FI75" s="65"/>
      <c r="FJ75" s="65"/>
      <c r="FK75" s="65"/>
      <c r="FL75" s="65"/>
      <c r="FM75" s="65"/>
      <c r="FN75" s="65"/>
      <c r="FO75" s="65"/>
      <c r="FP75" s="65"/>
      <c r="FQ75" s="65"/>
      <c r="FR75" s="65"/>
      <c r="FS75" s="65"/>
      <c r="FT75" s="65"/>
      <c r="FU75" s="65"/>
      <c r="FV75" s="65"/>
      <c r="FW75" s="65"/>
      <c r="FX75" s="65"/>
      <c r="FY75" s="65"/>
      <c r="FZ75" s="65"/>
      <c r="GA75" s="65"/>
      <c r="GB75" s="65"/>
      <c r="GC75" s="65"/>
      <c r="GD75" s="65"/>
      <c r="GE75" s="65"/>
      <c r="GF75" s="65"/>
      <c r="GG75" s="65"/>
      <c r="GH75" s="65"/>
      <c r="GI75" s="65"/>
      <c r="GJ75" s="65"/>
      <c r="GK75" s="65"/>
      <c r="GL75" s="65"/>
      <c r="GM75" s="65"/>
      <c r="GN75" s="65"/>
      <c r="GO75" s="65"/>
      <c r="GP75" s="65"/>
      <c r="GQ75" s="65"/>
      <c r="GR75" s="65"/>
      <c r="GS75" s="65"/>
      <c r="GT75" s="65"/>
      <c r="GU75" s="65"/>
      <c r="GV75" s="65"/>
      <c r="GW75" s="65"/>
      <c r="GX75" s="65"/>
      <c r="GY75" s="65"/>
      <c r="GZ75" s="65"/>
      <c r="HA75" s="65"/>
      <c r="HB75" s="65"/>
      <c r="HC75" s="65"/>
      <c r="HD75" s="65"/>
      <c r="HE75" s="65"/>
      <c r="HF75" s="65"/>
      <c r="HG75" s="65"/>
      <c r="HH75" s="65"/>
      <c r="HI75" s="65"/>
      <c r="HJ75" s="65"/>
      <c r="HK75" s="65"/>
      <c r="HL75" s="65"/>
      <c r="HM75" s="65"/>
      <c r="HN75" s="65"/>
      <c r="HO75" s="65"/>
      <c r="HP75" s="65"/>
      <c r="HQ75" s="65"/>
      <c r="HR75" s="65"/>
      <c r="HS75" s="65"/>
      <c r="HT75" s="65"/>
      <c r="HU75" s="65"/>
      <c r="HV75" s="65"/>
      <c r="HW75" s="65"/>
      <c r="HX75" s="65"/>
      <c r="HY75" s="65"/>
      <c r="HZ75" s="65"/>
      <c r="IA75" s="65"/>
      <c r="IB75" s="65"/>
      <c r="IC75" s="65"/>
      <c r="ID75" s="65"/>
      <c r="IE75" s="65"/>
      <c r="IF75" s="65"/>
      <c r="IG75" s="65"/>
      <c r="IH75" s="65"/>
      <c r="II75" s="65"/>
      <c r="IJ75" s="65"/>
      <c r="IK75" s="65"/>
      <c r="IL75" s="65"/>
      <c r="IM75" s="65"/>
      <c r="IN75" s="65"/>
      <c r="IO75" s="65"/>
      <c r="IP75" s="65"/>
      <c r="IQ75" s="65"/>
      <c r="IR75" s="65"/>
      <c r="IS75" s="65"/>
      <c r="IT75" s="65"/>
      <c r="IU75" s="65"/>
      <c r="IV75" s="65"/>
      <c r="IW75" s="65"/>
      <c r="IX75" s="65"/>
      <c r="IY75" s="65"/>
      <c r="IZ75" s="65"/>
      <c r="JA75" s="65"/>
      <c r="JB75" s="65"/>
      <c r="JC75" s="65"/>
      <c r="JD75" s="65"/>
      <c r="JE75" s="65"/>
      <c r="JF75" s="65"/>
      <c r="JG75" s="65"/>
      <c r="JH75" s="65"/>
      <c r="JI75" s="65"/>
      <c r="JJ75" s="65"/>
      <c r="JK75" s="65"/>
      <c r="JL75" s="65"/>
      <c r="JM75" s="65"/>
      <c r="JN75" s="65"/>
      <c r="JO75" s="65"/>
      <c r="JP75" s="65"/>
      <c r="JQ75" s="65"/>
      <c r="JR75" s="65"/>
      <c r="JS75" s="65"/>
      <c r="JT75" s="65"/>
      <c r="JU75" s="65"/>
      <c r="JV75" s="65"/>
      <c r="JW75" s="65"/>
      <c r="JX75" s="65"/>
      <c r="JY75" s="65"/>
      <c r="JZ75" s="65"/>
      <c r="KA75" s="65"/>
      <c r="KB75" s="65"/>
      <c r="KC75" s="65"/>
      <c r="KD75" s="65"/>
      <c r="KE75" s="65"/>
      <c r="KF75" s="65"/>
      <c r="KG75" s="65"/>
      <c r="KH75" s="65"/>
      <c r="KI75" s="65"/>
      <c r="KJ75" s="65"/>
      <c r="KK75" s="65"/>
      <c r="KL75" s="65"/>
      <c r="KM75" s="65"/>
      <c r="KN75" s="65"/>
      <c r="KO75" s="65"/>
      <c r="KP75" s="65"/>
      <c r="KQ75" s="65"/>
      <c r="KR75" s="65"/>
      <c r="KS75" s="65"/>
      <c r="KT75" s="65"/>
      <c r="KU75" s="65"/>
      <c r="KV75" s="65"/>
      <c r="KW75" s="65"/>
      <c r="KX75" s="65"/>
      <c r="KY75" s="65"/>
      <c r="KZ75" s="65"/>
      <c r="LA75" s="65"/>
      <c r="LB75" s="65"/>
      <c r="LC75" s="65"/>
      <c r="LD75" s="65"/>
      <c r="LE75" s="65"/>
      <c r="LF75" s="65"/>
      <c r="LG75" s="65"/>
      <c r="LH75" s="65"/>
      <c r="LI75" s="65"/>
      <c r="LJ75" s="65"/>
      <c r="LK75" s="65"/>
      <c r="LL75" s="65"/>
      <c r="LM75" s="65"/>
      <c r="LN75" s="65"/>
      <c r="LO75" s="65"/>
      <c r="LP75" s="65"/>
      <c r="LQ75" s="65"/>
      <c r="LR75" s="65"/>
      <c r="LS75" s="65"/>
      <c r="LT75" s="65"/>
      <c r="LU75" s="65"/>
      <c r="LV75" s="65"/>
      <c r="LW75" s="65"/>
      <c r="LX75" s="65"/>
      <c r="LY75" s="65"/>
      <c r="LZ75" s="65"/>
      <c r="MA75" s="65"/>
      <c r="MB75" s="65"/>
      <c r="MC75" s="65"/>
      <c r="MD75" s="65"/>
      <c r="ME75" s="65"/>
      <c r="MF75" s="65"/>
      <c r="MG75" s="65"/>
      <c r="MH75" s="65"/>
      <c r="MI75" s="65"/>
      <c r="MJ75" s="65"/>
      <c r="MK75" s="65"/>
      <c r="ML75" s="65"/>
      <c r="MM75" s="65"/>
      <c r="MN75" s="65"/>
      <c r="MO75" s="65"/>
      <c r="MP75" s="65"/>
      <c r="MQ75" s="65"/>
      <c r="MR75" s="65"/>
      <c r="MS75" s="65"/>
      <c r="MT75" s="65"/>
      <c r="MU75" s="65"/>
      <c r="MV75" s="65"/>
      <c r="MW75" s="65"/>
      <c r="MX75" s="65"/>
      <c r="MY75" s="65"/>
      <c r="MZ75" s="65"/>
      <c r="NA75" s="65"/>
      <c r="NB75" s="65"/>
      <c r="NC75" s="65"/>
      <c r="ND75" s="65"/>
      <c r="NE75" s="65"/>
      <c r="NF75" s="65"/>
      <c r="NG75" s="65"/>
    </row>
    <row r="76">
      <c r="A76" s="65"/>
      <c r="B76" s="65"/>
      <c r="C76" s="209"/>
      <c r="D76" s="209"/>
      <c r="E76" s="65"/>
      <c r="F76" s="210"/>
      <c r="G76" s="65"/>
      <c r="H76" s="65"/>
      <c r="I76" s="210"/>
      <c r="J76" s="210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  <c r="BE76" s="65"/>
      <c r="BF76" s="65"/>
      <c r="BG76" s="65"/>
      <c r="BH76" s="65"/>
      <c r="BI76" s="65"/>
      <c r="BJ76" s="65"/>
      <c r="BK76" s="65"/>
      <c r="BL76" s="65"/>
      <c r="BM76" s="65"/>
      <c r="BN76" s="65"/>
      <c r="BO76" s="65"/>
      <c r="BP76" s="65"/>
      <c r="BQ76" s="65"/>
      <c r="BR76" s="65"/>
      <c r="BS76" s="65"/>
      <c r="BT76" s="65"/>
      <c r="BU76" s="65"/>
      <c r="BV76" s="65"/>
      <c r="BW76" s="65"/>
      <c r="BX76" s="65"/>
      <c r="BY76" s="65"/>
      <c r="BZ76" s="65"/>
      <c r="CA76" s="65"/>
      <c r="CB76" s="65"/>
      <c r="CC76" s="65"/>
      <c r="CD76" s="65"/>
      <c r="CE76" s="65"/>
      <c r="CF76" s="65"/>
      <c r="CG76" s="65"/>
      <c r="CH76" s="65"/>
      <c r="CI76" s="65"/>
      <c r="CJ76" s="65"/>
      <c r="CK76" s="65"/>
      <c r="CL76" s="65"/>
      <c r="CM76" s="65"/>
      <c r="CN76" s="65"/>
      <c r="CO76" s="65"/>
      <c r="CP76" s="65"/>
      <c r="CQ76" s="65"/>
      <c r="CR76" s="65"/>
      <c r="CS76" s="65"/>
      <c r="CT76" s="65"/>
      <c r="CU76" s="65"/>
      <c r="CV76" s="65"/>
      <c r="CW76" s="65"/>
      <c r="CX76" s="65"/>
      <c r="CY76" s="65"/>
      <c r="CZ76" s="65"/>
      <c r="DA76" s="65"/>
      <c r="DB76" s="65"/>
      <c r="DC76" s="65"/>
      <c r="DD76" s="65"/>
      <c r="DE76" s="65"/>
      <c r="DF76" s="65"/>
      <c r="DG76" s="65"/>
      <c r="DH76" s="65"/>
      <c r="DI76" s="65"/>
      <c r="DJ76" s="65"/>
      <c r="DK76" s="65"/>
      <c r="DL76" s="65"/>
      <c r="DM76" s="65"/>
      <c r="DN76" s="65"/>
      <c r="DO76" s="65"/>
      <c r="DP76" s="65"/>
      <c r="DQ76" s="65"/>
      <c r="DR76" s="65"/>
      <c r="DS76" s="65"/>
      <c r="DT76" s="65"/>
      <c r="DU76" s="65"/>
      <c r="DV76" s="65"/>
      <c r="DW76" s="65"/>
      <c r="DX76" s="65"/>
      <c r="DY76" s="65"/>
      <c r="DZ76" s="65"/>
      <c r="EA76" s="65"/>
      <c r="EB76" s="65"/>
      <c r="EC76" s="65"/>
      <c r="ED76" s="65"/>
      <c r="EE76" s="65"/>
      <c r="EF76" s="65"/>
      <c r="EG76" s="65"/>
      <c r="EH76" s="65"/>
      <c r="EI76" s="65"/>
      <c r="EJ76" s="65"/>
      <c r="EK76" s="65"/>
      <c r="EL76" s="65"/>
      <c r="EM76" s="65"/>
      <c r="EN76" s="65"/>
      <c r="EO76" s="65"/>
      <c r="EP76" s="65"/>
      <c r="EQ76" s="65"/>
      <c r="ER76" s="65"/>
      <c r="ES76" s="65"/>
      <c r="ET76" s="65"/>
      <c r="EU76" s="65"/>
      <c r="EV76" s="65"/>
      <c r="EW76" s="65"/>
      <c r="EX76" s="65"/>
      <c r="EY76" s="65"/>
      <c r="EZ76" s="65"/>
      <c r="FA76" s="65"/>
      <c r="FB76" s="65"/>
      <c r="FC76" s="65"/>
      <c r="FD76" s="65"/>
      <c r="FE76" s="65"/>
      <c r="FF76" s="65"/>
      <c r="FG76" s="65"/>
      <c r="FH76" s="65"/>
      <c r="FI76" s="65"/>
      <c r="FJ76" s="65"/>
      <c r="FK76" s="65"/>
      <c r="FL76" s="65"/>
      <c r="FM76" s="65"/>
      <c r="FN76" s="65"/>
      <c r="FO76" s="65"/>
      <c r="FP76" s="65"/>
      <c r="FQ76" s="65"/>
      <c r="FR76" s="65"/>
      <c r="FS76" s="65"/>
      <c r="FT76" s="65"/>
      <c r="FU76" s="65"/>
      <c r="FV76" s="65"/>
      <c r="FW76" s="65"/>
      <c r="FX76" s="65"/>
      <c r="FY76" s="65"/>
      <c r="FZ76" s="65"/>
      <c r="GA76" s="65"/>
      <c r="GB76" s="65"/>
      <c r="GC76" s="65"/>
      <c r="GD76" s="65"/>
      <c r="GE76" s="65"/>
      <c r="GF76" s="65"/>
      <c r="GG76" s="65"/>
      <c r="GH76" s="65"/>
      <c r="GI76" s="65"/>
      <c r="GJ76" s="65"/>
      <c r="GK76" s="65"/>
      <c r="GL76" s="65"/>
      <c r="GM76" s="65"/>
      <c r="GN76" s="65"/>
      <c r="GO76" s="65"/>
      <c r="GP76" s="65"/>
      <c r="GQ76" s="65"/>
      <c r="GR76" s="65"/>
      <c r="GS76" s="65"/>
      <c r="GT76" s="65"/>
      <c r="GU76" s="65"/>
      <c r="GV76" s="65"/>
      <c r="GW76" s="65"/>
      <c r="GX76" s="65"/>
      <c r="GY76" s="65"/>
      <c r="GZ76" s="65"/>
      <c r="HA76" s="65"/>
      <c r="HB76" s="65"/>
      <c r="HC76" s="65"/>
      <c r="HD76" s="65"/>
      <c r="HE76" s="65"/>
      <c r="HF76" s="65"/>
      <c r="HG76" s="65"/>
      <c r="HH76" s="65"/>
      <c r="HI76" s="65"/>
      <c r="HJ76" s="65"/>
      <c r="HK76" s="65"/>
      <c r="HL76" s="65"/>
      <c r="HM76" s="65"/>
      <c r="HN76" s="65"/>
      <c r="HO76" s="65"/>
      <c r="HP76" s="65"/>
      <c r="HQ76" s="65"/>
      <c r="HR76" s="65"/>
      <c r="HS76" s="65"/>
      <c r="HT76" s="65"/>
      <c r="HU76" s="65"/>
      <c r="HV76" s="65"/>
      <c r="HW76" s="65"/>
      <c r="HX76" s="65"/>
      <c r="HY76" s="65"/>
      <c r="HZ76" s="65"/>
      <c r="IA76" s="65"/>
      <c r="IB76" s="65"/>
      <c r="IC76" s="65"/>
      <c r="ID76" s="65"/>
      <c r="IE76" s="65"/>
      <c r="IF76" s="65"/>
      <c r="IG76" s="65"/>
      <c r="IH76" s="65"/>
      <c r="II76" s="65"/>
      <c r="IJ76" s="65"/>
      <c r="IK76" s="65"/>
      <c r="IL76" s="65"/>
      <c r="IM76" s="65"/>
      <c r="IN76" s="65"/>
      <c r="IO76" s="65"/>
      <c r="IP76" s="65"/>
      <c r="IQ76" s="65"/>
      <c r="IR76" s="65"/>
      <c r="IS76" s="65"/>
      <c r="IT76" s="65"/>
      <c r="IU76" s="65"/>
      <c r="IV76" s="65"/>
      <c r="IW76" s="65"/>
      <c r="IX76" s="65"/>
      <c r="IY76" s="65"/>
      <c r="IZ76" s="65"/>
      <c r="JA76" s="65"/>
      <c r="JB76" s="65"/>
      <c r="JC76" s="65"/>
      <c r="JD76" s="65"/>
      <c r="JE76" s="65"/>
      <c r="JF76" s="65"/>
      <c r="JG76" s="65"/>
      <c r="JH76" s="65"/>
      <c r="JI76" s="65"/>
      <c r="JJ76" s="65"/>
      <c r="JK76" s="65"/>
      <c r="JL76" s="65"/>
      <c r="JM76" s="65"/>
      <c r="JN76" s="65"/>
      <c r="JO76" s="65"/>
      <c r="JP76" s="65"/>
      <c r="JQ76" s="65"/>
      <c r="JR76" s="65"/>
      <c r="JS76" s="65"/>
      <c r="JT76" s="65"/>
      <c r="JU76" s="65"/>
      <c r="JV76" s="65"/>
      <c r="JW76" s="65"/>
      <c r="JX76" s="65"/>
      <c r="JY76" s="65"/>
      <c r="JZ76" s="65"/>
      <c r="KA76" s="65"/>
      <c r="KB76" s="65"/>
      <c r="KC76" s="65"/>
      <c r="KD76" s="65"/>
      <c r="KE76" s="65"/>
      <c r="KF76" s="65"/>
      <c r="KG76" s="65"/>
      <c r="KH76" s="65"/>
      <c r="KI76" s="65"/>
      <c r="KJ76" s="65"/>
      <c r="KK76" s="65"/>
      <c r="KL76" s="65"/>
      <c r="KM76" s="65"/>
      <c r="KN76" s="65"/>
      <c r="KO76" s="65"/>
      <c r="KP76" s="65"/>
      <c r="KQ76" s="65"/>
      <c r="KR76" s="65"/>
      <c r="KS76" s="65"/>
      <c r="KT76" s="65"/>
      <c r="KU76" s="65"/>
      <c r="KV76" s="65"/>
      <c r="KW76" s="65"/>
      <c r="KX76" s="65"/>
      <c r="KY76" s="65"/>
      <c r="KZ76" s="65"/>
      <c r="LA76" s="65"/>
      <c r="LB76" s="65"/>
      <c r="LC76" s="65"/>
      <c r="LD76" s="65"/>
      <c r="LE76" s="65"/>
      <c r="LF76" s="65"/>
      <c r="LG76" s="65"/>
      <c r="LH76" s="65"/>
      <c r="LI76" s="65"/>
      <c r="LJ76" s="65"/>
      <c r="LK76" s="65"/>
      <c r="LL76" s="65"/>
      <c r="LM76" s="65"/>
      <c r="LN76" s="65"/>
      <c r="LO76" s="65"/>
      <c r="LP76" s="65"/>
      <c r="LQ76" s="65"/>
      <c r="LR76" s="65"/>
      <c r="LS76" s="65"/>
      <c r="LT76" s="65"/>
      <c r="LU76" s="65"/>
      <c r="LV76" s="65"/>
      <c r="LW76" s="65"/>
      <c r="LX76" s="65"/>
      <c r="LY76" s="65"/>
      <c r="LZ76" s="65"/>
      <c r="MA76" s="65"/>
      <c r="MB76" s="65"/>
      <c r="MC76" s="65"/>
      <c r="MD76" s="65"/>
      <c r="ME76" s="65"/>
      <c r="MF76" s="65"/>
      <c r="MG76" s="65"/>
      <c r="MH76" s="65"/>
      <c r="MI76" s="65"/>
      <c r="MJ76" s="65"/>
      <c r="MK76" s="65"/>
      <c r="ML76" s="65"/>
      <c r="MM76" s="65"/>
      <c r="MN76" s="65"/>
      <c r="MO76" s="65"/>
      <c r="MP76" s="65"/>
      <c r="MQ76" s="65"/>
      <c r="MR76" s="65"/>
      <c r="MS76" s="65"/>
      <c r="MT76" s="65"/>
      <c r="MU76" s="65"/>
      <c r="MV76" s="65"/>
      <c r="MW76" s="65"/>
      <c r="MX76" s="65"/>
      <c r="MY76" s="65"/>
      <c r="MZ76" s="65"/>
      <c r="NA76" s="65"/>
      <c r="NB76" s="65"/>
      <c r="NC76" s="65"/>
      <c r="ND76" s="65"/>
      <c r="NE76" s="65"/>
      <c r="NF76" s="65"/>
      <c r="NG76" s="65"/>
    </row>
    <row r="77">
      <c r="A77" s="65"/>
      <c r="B77" s="65"/>
      <c r="C77" s="205">
        <v>14.0</v>
      </c>
      <c r="D77" s="205" t="s">
        <v>101</v>
      </c>
      <c r="E77" s="109"/>
      <c r="F77" s="107" t="s">
        <v>1428</v>
      </c>
      <c r="G77" s="109"/>
      <c r="H77" s="109"/>
      <c r="I77" s="107" t="s">
        <v>1429</v>
      </c>
      <c r="J77" s="107" t="str">
        <f t="shared" ref="J77:J81" si="9">PROPER(F77)</f>
        <v>Beauty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  <c r="BE77" s="65"/>
      <c r="BF77" s="65"/>
      <c r="BG77" s="65"/>
      <c r="BH77" s="65"/>
      <c r="BI77" s="65"/>
      <c r="BJ77" s="65"/>
      <c r="BK77" s="65"/>
      <c r="BL77" s="65"/>
      <c r="BM77" s="65"/>
      <c r="BN77" s="65"/>
      <c r="BO77" s="65"/>
      <c r="BP77" s="65"/>
      <c r="BQ77" s="65"/>
      <c r="BR77" s="65"/>
      <c r="BS77" s="65"/>
      <c r="BT77" s="65"/>
      <c r="BU77" s="65"/>
      <c r="BV77" s="65"/>
      <c r="BW77" s="65"/>
      <c r="BX77" s="65"/>
      <c r="BY77" s="65"/>
      <c r="BZ77" s="65"/>
      <c r="CA77" s="65"/>
      <c r="CB77" s="65"/>
      <c r="CC77" s="65"/>
      <c r="CD77" s="65"/>
      <c r="CE77" s="65"/>
      <c r="CF77" s="65"/>
      <c r="CG77" s="65"/>
      <c r="CH77" s="65"/>
      <c r="CI77" s="65"/>
      <c r="CJ77" s="65"/>
      <c r="CK77" s="65"/>
      <c r="CL77" s="65"/>
      <c r="CM77" s="65"/>
      <c r="CN77" s="65"/>
      <c r="CO77" s="65"/>
      <c r="CP77" s="65"/>
      <c r="CQ77" s="65"/>
      <c r="CR77" s="65"/>
      <c r="CS77" s="65"/>
      <c r="CT77" s="65"/>
      <c r="CU77" s="65"/>
      <c r="CV77" s="65"/>
      <c r="CW77" s="65"/>
      <c r="CX77" s="65"/>
      <c r="CY77" s="65"/>
      <c r="CZ77" s="65"/>
      <c r="DA77" s="65"/>
      <c r="DB77" s="65"/>
      <c r="DC77" s="65"/>
      <c r="DD77" s="65"/>
      <c r="DE77" s="65"/>
      <c r="DF77" s="65"/>
      <c r="DG77" s="65"/>
      <c r="DH77" s="65"/>
      <c r="DI77" s="65"/>
      <c r="DJ77" s="65"/>
      <c r="DK77" s="65"/>
      <c r="DL77" s="65"/>
      <c r="DM77" s="65"/>
      <c r="DN77" s="65"/>
      <c r="DO77" s="65"/>
      <c r="DP77" s="65"/>
      <c r="DQ77" s="65"/>
      <c r="DR77" s="65"/>
      <c r="DS77" s="65"/>
      <c r="DT77" s="65"/>
      <c r="DU77" s="65"/>
      <c r="DV77" s="65"/>
      <c r="DW77" s="65"/>
      <c r="DX77" s="65"/>
      <c r="DY77" s="65"/>
      <c r="DZ77" s="65"/>
      <c r="EA77" s="65"/>
      <c r="EB77" s="65"/>
      <c r="EC77" s="65"/>
      <c r="ED77" s="65"/>
      <c r="EE77" s="65"/>
      <c r="EF77" s="65"/>
      <c r="EG77" s="65"/>
      <c r="EH77" s="65"/>
      <c r="EI77" s="65"/>
      <c r="EJ77" s="65"/>
      <c r="EK77" s="65"/>
      <c r="EL77" s="65"/>
      <c r="EM77" s="65"/>
      <c r="EN77" s="65"/>
      <c r="EO77" s="65"/>
      <c r="EP77" s="65"/>
      <c r="EQ77" s="65"/>
      <c r="ER77" s="65"/>
      <c r="ES77" s="65"/>
      <c r="ET77" s="65"/>
      <c r="EU77" s="65"/>
      <c r="EV77" s="65"/>
      <c r="EW77" s="65"/>
      <c r="EX77" s="65"/>
      <c r="EY77" s="65"/>
      <c r="EZ77" s="65"/>
      <c r="FA77" s="65"/>
      <c r="FB77" s="65"/>
      <c r="FC77" s="65"/>
      <c r="FD77" s="65"/>
      <c r="FE77" s="65"/>
      <c r="FF77" s="65"/>
      <c r="FG77" s="65"/>
      <c r="FH77" s="65"/>
      <c r="FI77" s="65"/>
      <c r="FJ77" s="65"/>
      <c r="FK77" s="65"/>
      <c r="FL77" s="65"/>
      <c r="FM77" s="65"/>
      <c r="FN77" s="65"/>
      <c r="FO77" s="65"/>
      <c r="FP77" s="65"/>
      <c r="FQ77" s="65"/>
      <c r="FR77" s="65"/>
      <c r="FS77" s="65"/>
      <c r="FT77" s="65"/>
      <c r="FU77" s="65"/>
      <c r="FV77" s="65"/>
      <c r="FW77" s="65"/>
      <c r="FX77" s="65"/>
      <c r="FY77" s="65"/>
      <c r="FZ77" s="65"/>
      <c r="GA77" s="65"/>
      <c r="GB77" s="65"/>
      <c r="GC77" s="65"/>
      <c r="GD77" s="65"/>
      <c r="GE77" s="65"/>
      <c r="GF77" s="65"/>
      <c r="GG77" s="65"/>
      <c r="GH77" s="65"/>
      <c r="GI77" s="65"/>
      <c r="GJ77" s="65"/>
      <c r="GK77" s="65"/>
      <c r="GL77" s="65"/>
      <c r="GM77" s="65"/>
      <c r="GN77" s="65"/>
      <c r="GO77" s="65"/>
      <c r="GP77" s="65"/>
      <c r="GQ77" s="65"/>
      <c r="GR77" s="65"/>
      <c r="GS77" s="65"/>
      <c r="GT77" s="65"/>
      <c r="GU77" s="65"/>
      <c r="GV77" s="65"/>
      <c r="GW77" s="65"/>
      <c r="GX77" s="65"/>
      <c r="GY77" s="65"/>
      <c r="GZ77" s="65"/>
      <c r="HA77" s="65"/>
      <c r="HB77" s="65"/>
      <c r="HC77" s="65"/>
      <c r="HD77" s="65"/>
      <c r="HE77" s="65"/>
      <c r="HF77" s="65"/>
      <c r="HG77" s="65"/>
      <c r="HH77" s="65"/>
      <c r="HI77" s="65"/>
      <c r="HJ77" s="65"/>
      <c r="HK77" s="65"/>
      <c r="HL77" s="65"/>
      <c r="HM77" s="65"/>
      <c r="HN77" s="65"/>
      <c r="HO77" s="65"/>
      <c r="HP77" s="65"/>
      <c r="HQ77" s="65"/>
      <c r="HR77" s="65"/>
      <c r="HS77" s="65"/>
      <c r="HT77" s="65"/>
      <c r="HU77" s="65"/>
      <c r="HV77" s="65"/>
      <c r="HW77" s="65"/>
      <c r="HX77" s="65"/>
      <c r="HY77" s="65"/>
      <c r="HZ77" s="65"/>
      <c r="IA77" s="65"/>
      <c r="IB77" s="65"/>
      <c r="IC77" s="65"/>
      <c r="ID77" s="65"/>
      <c r="IE77" s="65"/>
      <c r="IF77" s="65"/>
      <c r="IG77" s="65"/>
      <c r="IH77" s="65"/>
      <c r="II77" s="65"/>
      <c r="IJ77" s="65"/>
      <c r="IK77" s="65"/>
      <c r="IL77" s="65"/>
      <c r="IM77" s="65"/>
      <c r="IN77" s="65"/>
      <c r="IO77" s="65"/>
      <c r="IP77" s="65"/>
      <c r="IQ77" s="65"/>
      <c r="IR77" s="65"/>
      <c r="IS77" s="65"/>
      <c r="IT77" s="65"/>
      <c r="IU77" s="65"/>
      <c r="IV77" s="65"/>
      <c r="IW77" s="65"/>
      <c r="IX77" s="65"/>
      <c r="IY77" s="65"/>
      <c r="IZ77" s="65"/>
      <c r="JA77" s="65"/>
      <c r="JB77" s="65"/>
      <c r="JC77" s="65"/>
      <c r="JD77" s="65"/>
      <c r="JE77" s="65"/>
      <c r="JF77" s="65"/>
      <c r="JG77" s="65"/>
      <c r="JH77" s="65"/>
      <c r="JI77" s="65"/>
      <c r="JJ77" s="65"/>
      <c r="JK77" s="65"/>
      <c r="JL77" s="65"/>
      <c r="JM77" s="65"/>
      <c r="JN77" s="65"/>
      <c r="JO77" s="65"/>
      <c r="JP77" s="65"/>
      <c r="JQ77" s="65"/>
      <c r="JR77" s="65"/>
      <c r="JS77" s="65"/>
      <c r="JT77" s="65"/>
      <c r="JU77" s="65"/>
      <c r="JV77" s="65"/>
      <c r="JW77" s="65"/>
      <c r="JX77" s="65"/>
      <c r="JY77" s="65"/>
      <c r="JZ77" s="65"/>
      <c r="KA77" s="65"/>
      <c r="KB77" s="65"/>
      <c r="KC77" s="65"/>
      <c r="KD77" s="65"/>
      <c r="KE77" s="65"/>
      <c r="KF77" s="65"/>
      <c r="KG77" s="65"/>
      <c r="KH77" s="65"/>
      <c r="KI77" s="65"/>
      <c r="KJ77" s="65"/>
      <c r="KK77" s="65"/>
      <c r="KL77" s="65"/>
      <c r="KM77" s="65"/>
      <c r="KN77" s="65"/>
      <c r="KO77" s="65"/>
      <c r="KP77" s="65"/>
      <c r="KQ77" s="65"/>
      <c r="KR77" s="65"/>
      <c r="KS77" s="65"/>
      <c r="KT77" s="65"/>
      <c r="KU77" s="65"/>
      <c r="KV77" s="65"/>
      <c r="KW77" s="65"/>
      <c r="KX77" s="65"/>
      <c r="KY77" s="65"/>
      <c r="KZ77" s="65"/>
      <c r="LA77" s="65"/>
      <c r="LB77" s="65"/>
      <c r="LC77" s="65"/>
      <c r="LD77" s="65"/>
      <c r="LE77" s="65"/>
      <c r="LF77" s="65"/>
      <c r="LG77" s="65"/>
      <c r="LH77" s="65"/>
      <c r="LI77" s="65"/>
      <c r="LJ77" s="65"/>
      <c r="LK77" s="65"/>
      <c r="LL77" s="65"/>
      <c r="LM77" s="65"/>
      <c r="LN77" s="65"/>
      <c r="LO77" s="65"/>
      <c r="LP77" s="65"/>
      <c r="LQ77" s="65"/>
      <c r="LR77" s="65"/>
      <c r="LS77" s="65"/>
      <c r="LT77" s="65"/>
      <c r="LU77" s="65"/>
      <c r="LV77" s="65"/>
      <c r="LW77" s="65"/>
      <c r="LX77" s="65"/>
      <c r="LY77" s="65"/>
      <c r="LZ77" s="65"/>
      <c r="MA77" s="65"/>
      <c r="MB77" s="65"/>
      <c r="MC77" s="65"/>
      <c r="MD77" s="65"/>
      <c r="ME77" s="65"/>
      <c r="MF77" s="65"/>
      <c r="MG77" s="65"/>
      <c r="MH77" s="65"/>
      <c r="MI77" s="65"/>
      <c r="MJ77" s="65"/>
      <c r="MK77" s="65"/>
      <c r="ML77" s="65"/>
      <c r="MM77" s="65"/>
      <c r="MN77" s="65"/>
      <c r="MO77" s="65"/>
      <c r="MP77" s="65"/>
      <c r="MQ77" s="65"/>
      <c r="MR77" s="65"/>
      <c r="MS77" s="65"/>
      <c r="MT77" s="65"/>
      <c r="MU77" s="65"/>
      <c r="MV77" s="65"/>
      <c r="MW77" s="65"/>
      <c r="MX77" s="65"/>
      <c r="MY77" s="65"/>
      <c r="MZ77" s="65"/>
      <c r="NA77" s="65"/>
      <c r="NB77" s="65"/>
      <c r="NC77" s="65"/>
      <c r="ND77" s="65"/>
      <c r="NE77" s="65"/>
      <c r="NF77" s="65"/>
      <c r="NG77" s="65"/>
    </row>
    <row r="78">
      <c r="A78" s="65"/>
      <c r="B78" s="65"/>
      <c r="C78" s="207"/>
      <c r="D78" s="207"/>
      <c r="E78" s="109"/>
      <c r="F78" s="107" t="s">
        <v>1430</v>
      </c>
      <c r="G78" s="109"/>
      <c r="H78" s="109"/>
      <c r="I78" s="107" t="s">
        <v>1431</v>
      </c>
      <c r="J78" s="107" t="str">
        <f t="shared" si="9"/>
        <v>Aloochaat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  <c r="BE78" s="65"/>
      <c r="BF78" s="65"/>
      <c r="BG78" s="65"/>
      <c r="BH78" s="65"/>
      <c r="BI78" s="65"/>
      <c r="BJ78" s="65"/>
      <c r="BK78" s="65"/>
      <c r="BL78" s="65"/>
      <c r="BM78" s="65"/>
      <c r="BN78" s="65"/>
      <c r="BO78" s="65"/>
      <c r="BP78" s="65"/>
      <c r="BQ78" s="65"/>
      <c r="BR78" s="65"/>
      <c r="BS78" s="65"/>
      <c r="BT78" s="65"/>
      <c r="BU78" s="65"/>
      <c r="BV78" s="65"/>
      <c r="BW78" s="65"/>
      <c r="BX78" s="65"/>
      <c r="BY78" s="65"/>
      <c r="BZ78" s="65"/>
      <c r="CA78" s="65"/>
      <c r="CB78" s="65"/>
      <c r="CC78" s="65"/>
      <c r="CD78" s="65"/>
      <c r="CE78" s="65"/>
      <c r="CF78" s="65"/>
      <c r="CG78" s="65"/>
      <c r="CH78" s="65"/>
      <c r="CI78" s="65"/>
      <c r="CJ78" s="65"/>
      <c r="CK78" s="65"/>
      <c r="CL78" s="65"/>
      <c r="CM78" s="65"/>
      <c r="CN78" s="65"/>
      <c r="CO78" s="65"/>
      <c r="CP78" s="65"/>
      <c r="CQ78" s="65"/>
      <c r="CR78" s="65"/>
      <c r="CS78" s="65"/>
      <c r="CT78" s="65"/>
      <c r="CU78" s="65"/>
      <c r="CV78" s="65"/>
      <c r="CW78" s="65"/>
      <c r="CX78" s="65"/>
      <c r="CY78" s="65"/>
      <c r="CZ78" s="65"/>
      <c r="DA78" s="65"/>
      <c r="DB78" s="65"/>
      <c r="DC78" s="65"/>
      <c r="DD78" s="65"/>
      <c r="DE78" s="65"/>
      <c r="DF78" s="65"/>
      <c r="DG78" s="65"/>
      <c r="DH78" s="65"/>
      <c r="DI78" s="65"/>
      <c r="DJ78" s="65"/>
      <c r="DK78" s="65"/>
      <c r="DL78" s="65"/>
      <c r="DM78" s="65"/>
      <c r="DN78" s="65"/>
      <c r="DO78" s="65"/>
      <c r="DP78" s="65"/>
      <c r="DQ78" s="65"/>
      <c r="DR78" s="65"/>
      <c r="DS78" s="65"/>
      <c r="DT78" s="65"/>
      <c r="DU78" s="65"/>
      <c r="DV78" s="65"/>
      <c r="DW78" s="65"/>
      <c r="DX78" s="65"/>
      <c r="DY78" s="65"/>
      <c r="DZ78" s="65"/>
      <c r="EA78" s="65"/>
      <c r="EB78" s="65"/>
      <c r="EC78" s="65"/>
      <c r="ED78" s="65"/>
      <c r="EE78" s="65"/>
      <c r="EF78" s="65"/>
      <c r="EG78" s="65"/>
      <c r="EH78" s="65"/>
      <c r="EI78" s="65"/>
      <c r="EJ78" s="65"/>
      <c r="EK78" s="65"/>
      <c r="EL78" s="65"/>
      <c r="EM78" s="65"/>
      <c r="EN78" s="65"/>
      <c r="EO78" s="65"/>
      <c r="EP78" s="65"/>
      <c r="EQ78" s="65"/>
      <c r="ER78" s="65"/>
      <c r="ES78" s="65"/>
      <c r="ET78" s="65"/>
      <c r="EU78" s="65"/>
      <c r="EV78" s="65"/>
      <c r="EW78" s="65"/>
      <c r="EX78" s="65"/>
      <c r="EY78" s="65"/>
      <c r="EZ78" s="65"/>
      <c r="FA78" s="65"/>
      <c r="FB78" s="65"/>
      <c r="FC78" s="65"/>
      <c r="FD78" s="65"/>
      <c r="FE78" s="65"/>
      <c r="FF78" s="65"/>
      <c r="FG78" s="65"/>
      <c r="FH78" s="65"/>
      <c r="FI78" s="65"/>
      <c r="FJ78" s="65"/>
      <c r="FK78" s="65"/>
      <c r="FL78" s="65"/>
      <c r="FM78" s="65"/>
      <c r="FN78" s="65"/>
      <c r="FO78" s="65"/>
      <c r="FP78" s="65"/>
      <c r="FQ78" s="65"/>
      <c r="FR78" s="65"/>
      <c r="FS78" s="65"/>
      <c r="FT78" s="65"/>
      <c r="FU78" s="65"/>
      <c r="FV78" s="65"/>
      <c r="FW78" s="65"/>
      <c r="FX78" s="65"/>
      <c r="FY78" s="65"/>
      <c r="FZ78" s="65"/>
      <c r="GA78" s="65"/>
      <c r="GB78" s="65"/>
      <c r="GC78" s="65"/>
      <c r="GD78" s="65"/>
      <c r="GE78" s="65"/>
      <c r="GF78" s="65"/>
      <c r="GG78" s="65"/>
      <c r="GH78" s="65"/>
      <c r="GI78" s="65"/>
      <c r="GJ78" s="65"/>
      <c r="GK78" s="65"/>
      <c r="GL78" s="65"/>
      <c r="GM78" s="65"/>
      <c r="GN78" s="65"/>
      <c r="GO78" s="65"/>
      <c r="GP78" s="65"/>
      <c r="GQ78" s="65"/>
      <c r="GR78" s="65"/>
      <c r="GS78" s="65"/>
      <c r="GT78" s="65"/>
      <c r="GU78" s="65"/>
      <c r="GV78" s="65"/>
      <c r="GW78" s="65"/>
      <c r="GX78" s="65"/>
      <c r="GY78" s="65"/>
      <c r="GZ78" s="65"/>
      <c r="HA78" s="65"/>
      <c r="HB78" s="65"/>
      <c r="HC78" s="65"/>
      <c r="HD78" s="65"/>
      <c r="HE78" s="65"/>
      <c r="HF78" s="65"/>
      <c r="HG78" s="65"/>
      <c r="HH78" s="65"/>
      <c r="HI78" s="65"/>
      <c r="HJ78" s="65"/>
      <c r="HK78" s="65"/>
      <c r="HL78" s="65"/>
      <c r="HM78" s="65"/>
      <c r="HN78" s="65"/>
      <c r="HO78" s="65"/>
      <c r="HP78" s="65"/>
      <c r="HQ78" s="65"/>
      <c r="HR78" s="65"/>
      <c r="HS78" s="65"/>
      <c r="HT78" s="65"/>
      <c r="HU78" s="65"/>
      <c r="HV78" s="65"/>
      <c r="HW78" s="65"/>
      <c r="HX78" s="65"/>
      <c r="HY78" s="65"/>
      <c r="HZ78" s="65"/>
      <c r="IA78" s="65"/>
      <c r="IB78" s="65"/>
      <c r="IC78" s="65"/>
      <c r="ID78" s="65"/>
      <c r="IE78" s="65"/>
      <c r="IF78" s="65"/>
      <c r="IG78" s="65"/>
      <c r="IH78" s="65"/>
      <c r="II78" s="65"/>
      <c r="IJ78" s="65"/>
      <c r="IK78" s="65"/>
      <c r="IL78" s="65"/>
      <c r="IM78" s="65"/>
      <c r="IN78" s="65"/>
      <c r="IO78" s="65"/>
      <c r="IP78" s="65"/>
      <c r="IQ78" s="65"/>
      <c r="IR78" s="65"/>
      <c r="IS78" s="65"/>
      <c r="IT78" s="65"/>
      <c r="IU78" s="65"/>
      <c r="IV78" s="65"/>
      <c r="IW78" s="65"/>
      <c r="IX78" s="65"/>
      <c r="IY78" s="65"/>
      <c r="IZ78" s="65"/>
      <c r="JA78" s="65"/>
      <c r="JB78" s="65"/>
      <c r="JC78" s="65"/>
      <c r="JD78" s="65"/>
      <c r="JE78" s="65"/>
      <c r="JF78" s="65"/>
      <c r="JG78" s="65"/>
      <c r="JH78" s="65"/>
      <c r="JI78" s="65"/>
      <c r="JJ78" s="65"/>
      <c r="JK78" s="65"/>
      <c r="JL78" s="65"/>
      <c r="JM78" s="65"/>
      <c r="JN78" s="65"/>
      <c r="JO78" s="65"/>
      <c r="JP78" s="65"/>
      <c r="JQ78" s="65"/>
      <c r="JR78" s="65"/>
      <c r="JS78" s="65"/>
      <c r="JT78" s="65"/>
      <c r="JU78" s="65"/>
      <c r="JV78" s="65"/>
      <c r="JW78" s="65"/>
      <c r="JX78" s="65"/>
      <c r="JY78" s="65"/>
      <c r="JZ78" s="65"/>
      <c r="KA78" s="65"/>
      <c r="KB78" s="65"/>
      <c r="KC78" s="65"/>
      <c r="KD78" s="65"/>
      <c r="KE78" s="65"/>
      <c r="KF78" s="65"/>
      <c r="KG78" s="65"/>
      <c r="KH78" s="65"/>
      <c r="KI78" s="65"/>
      <c r="KJ78" s="65"/>
      <c r="KK78" s="65"/>
      <c r="KL78" s="65"/>
      <c r="KM78" s="65"/>
      <c r="KN78" s="65"/>
      <c r="KO78" s="65"/>
      <c r="KP78" s="65"/>
      <c r="KQ78" s="65"/>
      <c r="KR78" s="65"/>
      <c r="KS78" s="65"/>
      <c r="KT78" s="65"/>
      <c r="KU78" s="65"/>
      <c r="KV78" s="65"/>
      <c r="KW78" s="65"/>
      <c r="KX78" s="65"/>
      <c r="KY78" s="65"/>
      <c r="KZ78" s="65"/>
      <c r="LA78" s="65"/>
      <c r="LB78" s="65"/>
      <c r="LC78" s="65"/>
      <c r="LD78" s="65"/>
      <c r="LE78" s="65"/>
      <c r="LF78" s="65"/>
      <c r="LG78" s="65"/>
      <c r="LH78" s="65"/>
      <c r="LI78" s="65"/>
      <c r="LJ78" s="65"/>
      <c r="LK78" s="65"/>
      <c r="LL78" s="65"/>
      <c r="LM78" s="65"/>
      <c r="LN78" s="65"/>
      <c r="LO78" s="65"/>
      <c r="LP78" s="65"/>
      <c r="LQ78" s="65"/>
      <c r="LR78" s="65"/>
      <c r="LS78" s="65"/>
      <c r="LT78" s="65"/>
      <c r="LU78" s="65"/>
      <c r="LV78" s="65"/>
      <c r="LW78" s="65"/>
      <c r="LX78" s="65"/>
      <c r="LY78" s="65"/>
      <c r="LZ78" s="65"/>
      <c r="MA78" s="65"/>
      <c r="MB78" s="65"/>
      <c r="MC78" s="65"/>
      <c r="MD78" s="65"/>
      <c r="ME78" s="65"/>
      <c r="MF78" s="65"/>
      <c r="MG78" s="65"/>
      <c r="MH78" s="65"/>
      <c r="MI78" s="65"/>
      <c r="MJ78" s="65"/>
      <c r="MK78" s="65"/>
      <c r="ML78" s="65"/>
      <c r="MM78" s="65"/>
      <c r="MN78" s="65"/>
      <c r="MO78" s="65"/>
      <c r="MP78" s="65"/>
      <c r="MQ78" s="65"/>
      <c r="MR78" s="65"/>
      <c r="MS78" s="65"/>
      <c r="MT78" s="65"/>
      <c r="MU78" s="65"/>
      <c r="MV78" s="65"/>
      <c r="MW78" s="65"/>
      <c r="MX78" s="65"/>
      <c r="MY78" s="65"/>
      <c r="MZ78" s="65"/>
      <c r="NA78" s="65"/>
      <c r="NB78" s="65"/>
      <c r="NC78" s="65"/>
      <c r="ND78" s="65"/>
      <c r="NE78" s="65"/>
      <c r="NF78" s="65"/>
      <c r="NG78" s="65"/>
    </row>
    <row r="79">
      <c r="A79" s="65"/>
      <c r="B79" s="65"/>
      <c r="C79" s="207"/>
      <c r="D79" s="207"/>
      <c r="E79" s="109"/>
      <c r="F79" s="107" t="s">
        <v>1432</v>
      </c>
      <c r="G79" s="109"/>
      <c r="H79" s="109"/>
      <c r="I79" s="107" t="s">
        <v>1433</v>
      </c>
      <c r="J79" s="107" t="str">
        <f t="shared" si="9"/>
        <v>Down-Town</v>
      </c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5"/>
      <c r="BS79" s="65"/>
      <c r="BT79" s="65"/>
      <c r="BU79" s="65"/>
      <c r="BV79" s="65"/>
      <c r="BW79" s="65"/>
      <c r="BX79" s="65"/>
      <c r="BY79" s="65"/>
      <c r="BZ79" s="65"/>
      <c r="CA79" s="65"/>
      <c r="CB79" s="65"/>
      <c r="CC79" s="65"/>
      <c r="CD79" s="65"/>
      <c r="CE79" s="65"/>
      <c r="CF79" s="65"/>
      <c r="CG79" s="65"/>
      <c r="CH79" s="65"/>
      <c r="CI79" s="65"/>
      <c r="CJ79" s="65"/>
      <c r="CK79" s="65"/>
      <c r="CL79" s="65"/>
      <c r="CM79" s="65"/>
      <c r="CN79" s="65"/>
      <c r="CO79" s="65"/>
      <c r="CP79" s="65"/>
      <c r="CQ79" s="65"/>
      <c r="CR79" s="65"/>
      <c r="CS79" s="65"/>
      <c r="CT79" s="65"/>
      <c r="CU79" s="65"/>
      <c r="CV79" s="65"/>
      <c r="CW79" s="65"/>
      <c r="CX79" s="65"/>
      <c r="CY79" s="65"/>
      <c r="CZ79" s="65"/>
      <c r="DA79" s="65"/>
      <c r="DB79" s="65"/>
      <c r="DC79" s="65"/>
      <c r="DD79" s="65"/>
      <c r="DE79" s="65"/>
      <c r="DF79" s="65"/>
      <c r="DG79" s="65"/>
      <c r="DH79" s="65"/>
      <c r="DI79" s="65"/>
      <c r="DJ79" s="65"/>
      <c r="DK79" s="65"/>
      <c r="DL79" s="65"/>
      <c r="DM79" s="65"/>
      <c r="DN79" s="65"/>
      <c r="DO79" s="65"/>
      <c r="DP79" s="65"/>
      <c r="DQ79" s="65"/>
      <c r="DR79" s="65"/>
      <c r="DS79" s="65"/>
      <c r="DT79" s="65"/>
      <c r="DU79" s="65"/>
      <c r="DV79" s="65"/>
      <c r="DW79" s="65"/>
      <c r="DX79" s="65"/>
      <c r="DY79" s="65"/>
      <c r="DZ79" s="65"/>
      <c r="EA79" s="65"/>
      <c r="EB79" s="65"/>
      <c r="EC79" s="65"/>
      <c r="ED79" s="65"/>
      <c r="EE79" s="65"/>
      <c r="EF79" s="65"/>
      <c r="EG79" s="65"/>
      <c r="EH79" s="65"/>
      <c r="EI79" s="65"/>
      <c r="EJ79" s="65"/>
      <c r="EK79" s="65"/>
      <c r="EL79" s="65"/>
      <c r="EM79" s="65"/>
      <c r="EN79" s="65"/>
      <c r="EO79" s="65"/>
      <c r="EP79" s="65"/>
      <c r="EQ79" s="65"/>
      <c r="ER79" s="65"/>
      <c r="ES79" s="65"/>
      <c r="ET79" s="65"/>
      <c r="EU79" s="65"/>
      <c r="EV79" s="65"/>
      <c r="EW79" s="65"/>
      <c r="EX79" s="65"/>
      <c r="EY79" s="65"/>
      <c r="EZ79" s="65"/>
      <c r="FA79" s="65"/>
      <c r="FB79" s="65"/>
      <c r="FC79" s="65"/>
      <c r="FD79" s="65"/>
      <c r="FE79" s="65"/>
      <c r="FF79" s="65"/>
      <c r="FG79" s="65"/>
      <c r="FH79" s="65"/>
      <c r="FI79" s="65"/>
      <c r="FJ79" s="65"/>
      <c r="FK79" s="65"/>
      <c r="FL79" s="65"/>
      <c r="FM79" s="65"/>
      <c r="FN79" s="65"/>
      <c r="FO79" s="65"/>
      <c r="FP79" s="65"/>
      <c r="FQ79" s="65"/>
      <c r="FR79" s="65"/>
      <c r="FS79" s="65"/>
      <c r="FT79" s="65"/>
      <c r="FU79" s="65"/>
      <c r="FV79" s="65"/>
      <c r="FW79" s="65"/>
      <c r="FX79" s="65"/>
      <c r="FY79" s="65"/>
      <c r="FZ79" s="65"/>
      <c r="GA79" s="65"/>
      <c r="GB79" s="65"/>
      <c r="GC79" s="65"/>
      <c r="GD79" s="65"/>
      <c r="GE79" s="65"/>
      <c r="GF79" s="65"/>
      <c r="GG79" s="65"/>
      <c r="GH79" s="65"/>
      <c r="GI79" s="65"/>
      <c r="GJ79" s="65"/>
      <c r="GK79" s="65"/>
      <c r="GL79" s="65"/>
      <c r="GM79" s="65"/>
      <c r="GN79" s="65"/>
      <c r="GO79" s="65"/>
      <c r="GP79" s="65"/>
      <c r="GQ79" s="65"/>
      <c r="GR79" s="65"/>
      <c r="GS79" s="65"/>
      <c r="GT79" s="65"/>
      <c r="GU79" s="65"/>
      <c r="GV79" s="65"/>
      <c r="GW79" s="65"/>
      <c r="GX79" s="65"/>
      <c r="GY79" s="65"/>
      <c r="GZ79" s="65"/>
      <c r="HA79" s="65"/>
      <c r="HB79" s="65"/>
      <c r="HC79" s="65"/>
      <c r="HD79" s="65"/>
      <c r="HE79" s="65"/>
      <c r="HF79" s="65"/>
      <c r="HG79" s="65"/>
      <c r="HH79" s="65"/>
      <c r="HI79" s="65"/>
      <c r="HJ79" s="65"/>
      <c r="HK79" s="65"/>
      <c r="HL79" s="65"/>
      <c r="HM79" s="65"/>
      <c r="HN79" s="65"/>
      <c r="HO79" s="65"/>
      <c r="HP79" s="65"/>
      <c r="HQ79" s="65"/>
      <c r="HR79" s="65"/>
      <c r="HS79" s="65"/>
      <c r="HT79" s="65"/>
      <c r="HU79" s="65"/>
      <c r="HV79" s="65"/>
      <c r="HW79" s="65"/>
      <c r="HX79" s="65"/>
      <c r="HY79" s="65"/>
      <c r="HZ79" s="65"/>
      <c r="IA79" s="65"/>
      <c r="IB79" s="65"/>
      <c r="IC79" s="65"/>
      <c r="ID79" s="65"/>
      <c r="IE79" s="65"/>
      <c r="IF79" s="65"/>
      <c r="IG79" s="65"/>
      <c r="IH79" s="65"/>
      <c r="II79" s="65"/>
      <c r="IJ79" s="65"/>
      <c r="IK79" s="65"/>
      <c r="IL79" s="65"/>
      <c r="IM79" s="65"/>
      <c r="IN79" s="65"/>
      <c r="IO79" s="65"/>
      <c r="IP79" s="65"/>
      <c r="IQ79" s="65"/>
      <c r="IR79" s="65"/>
      <c r="IS79" s="65"/>
      <c r="IT79" s="65"/>
      <c r="IU79" s="65"/>
      <c r="IV79" s="65"/>
      <c r="IW79" s="65"/>
      <c r="IX79" s="65"/>
      <c r="IY79" s="65"/>
      <c r="IZ79" s="65"/>
      <c r="JA79" s="65"/>
      <c r="JB79" s="65"/>
      <c r="JC79" s="65"/>
      <c r="JD79" s="65"/>
      <c r="JE79" s="65"/>
      <c r="JF79" s="65"/>
      <c r="JG79" s="65"/>
      <c r="JH79" s="65"/>
      <c r="JI79" s="65"/>
      <c r="JJ79" s="65"/>
      <c r="JK79" s="65"/>
      <c r="JL79" s="65"/>
      <c r="JM79" s="65"/>
      <c r="JN79" s="65"/>
      <c r="JO79" s="65"/>
      <c r="JP79" s="65"/>
      <c r="JQ79" s="65"/>
      <c r="JR79" s="65"/>
      <c r="JS79" s="65"/>
      <c r="JT79" s="65"/>
      <c r="JU79" s="65"/>
      <c r="JV79" s="65"/>
      <c r="JW79" s="65"/>
      <c r="JX79" s="65"/>
      <c r="JY79" s="65"/>
      <c r="JZ79" s="65"/>
      <c r="KA79" s="65"/>
      <c r="KB79" s="65"/>
      <c r="KC79" s="65"/>
      <c r="KD79" s="65"/>
      <c r="KE79" s="65"/>
      <c r="KF79" s="65"/>
      <c r="KG79" s="65"/>
      <c r="KH79" s="65"/>
      <c r="KI79" s="65"/>
      <c r="KJ79" s="65"/>
      <c r="KK79" s="65"/>
      <c r="KL79" s="65"/>
      <c r="KM79" s="65"/>
      <c r="KN79" s="65"/>
      <c r="KO79" s="65"/>
      <c r="KP79" s="65"/>
      <c r="KQ79" s="65"/>
      <c r="KR79" s="65"/>
      <c r="KS79" s="65"/>
      <c r="KT79" s="65"/>
      <c r="KU79" s="65"/>
      <c r="KV79" s="65"/>
      <c r="KW79" s="65"/>
      <c r="KX79" s="65"/>
      <c r="KY79" s="65"/>
      <c r="KZ79" s="65"/>
      <c r="LA79" s="65"/>
      <c r="LB79" s="65"/>
      <c r="LC79" s="65"/>
      <c r="LD79" s="65"/>
      <c r="LE79" s="65"/>
      <c r="LF79" s="65"/>
      <c r="LG79" s="65"/>
      <c r="LH79" s="65"/>
      <c r="LI79" s="65"/>
      <c r="LJ79" s="65"/>
      <c r="LK79" s="65"/>
      <c r="LL79" s="65"/>
      <c r="LM79" s="65"/>
      <c r="LN79" s="65"/>
      <c r="LO79" s="65"/>
      <c r="LP79" s="65"/>
      <c r="LQ79" s="65"/>
      <c r="LR79" s="65"/>
      <c r="LS79" s="65"/>
      <c r="LT79" s="65"/>
      <c r="LU79" s="65"/>
      <c r="LV79" s="65"/>
      <c r="LW79" s="65"/>
      <c r="LX79" s="65"/>
      <c r="LY79" s="65"/>
      <c r="LZ79" s="65"/>
      <c r="MA79" s="65"/>
      <c r="MB79" s="65"/>
      <c r="MC79" s="65"/>
      <c r="MD79" s="65"/>
      <c r="ME79" s="65"/>
      <c r="MF79" s="65"/>
      <c r="MG79" s="65"/>
      <c r="MH79" s="65"/>
      <c r="MI79" s="65"/>
      <c r="MJ79" s="65"/>
      <c r="MK79" s="65"/>
      <c r="ML79" s="65"/>
      <c r="MM79" s="65"/>
      <c r="MN79" s="65"/>
      <c r="MO79" s="65"/>
      <c r="MP79" s="65"/>
      <c r="MQ79" s="65"/>
      <c r="MR79" s="65"/>
      <c r="MS79" s="65"/>
      <c r="MT79" s="65"/>
      <c r="MU79" s="65"/>
      <c r="MV79" s="65"/>
      <c r="MW79" s="65"/>
      <c r="MX79" s="65"/>
      <c r="MY79" s="65"/>
      <c r="MZ79" s="65"/>
      <c r="NA79" s="65"/>
      <c r="NB79" s="65"/>
      <c r="NC79" s="65"/>
      <c r="ND79" s="65"/>
      <c r="NE79" s="65"/>
      <c r="NF79" s="65"/>
      <c r="NG79" s="65"/>
    </row>
    <row r="80">
      <c r="A80" s="65"/>
      <c r="B80" s="65"/>
      <c r="C80" s="207"/>
      <c r="D80" s="207"/>
      <c r="E80" s="109"/>
      <c r="F80" s="107" t="s">
        <v>1434</v>
      </c>
      <c r="G80" s="109"/>
      <c r="H80" s="109"/>
      <c r="I80" s="107" t="s">
        <v>1435</v>
      </c>
      <c r="J80" s="107" t="str">
        <f t="shared" si="9"/>
        <v>Paint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  <c r="BE80" s="65"/>
      <c r="BF80" s="65"/>
      <c r="BG80" s="65"/>
      <c r="BH80" s="65"/>
      <c r="BI80" s="65"/>
      <c r="BJ80" s="65"/>
      <c r="BK80" s="65"/>
      <c r="BL80" s="65"/>
      <c r="BM80" s="65"/>
      <c r="BN80" s="65"/>
      <c r="BO80" s="65"/>
      <c r="BP80" s="65"/>
      <c r="BQ80" s="65"/>
      <c r="BR80" s="65"/>
      <c r="BS80" s="65"/>
      <c r="BT80" s="65"/>
      <c r="BU80" s="65"/>
      <c r="BV80" s="65"/>
      <c r="BW80" s="65"/>
      <c r="BX80" s="65"/>
      <c r="BY80" s="65"/>
      <c r="BZ80" s="65"/>
      <c r="CA80" s="65"/>
      <c r="CB80" s="65"/>
      <c r="CC80" s="65"/>
      <c r="CD80" s="65"/>
      <c r="CE80" s="65"/>
      <c r="CF80" s="65"/>
      <c r="CG80" s="65"/>
      <c r="CH80" s="65"/>
      <c r="CI80" s="65"/>
      <c r="CJ80" s="65"/>
      <c r="CK80" s="65"/>
      <c r="CL80" s="65"/>
      <c r="CM80" s="65"/>
      <c r="CN80" s="65"/>
      <c r="CO80" s="65"/>
      <c r="CP80" s="65"/>
      <c r="CQ80" s="65"/>
      <c r="CR80" s="65"/>
      <c r="CS80" s="65"/>
      <c r="CT80" s="65"/>
      <c r="CU80" s="65"/>
      <c r="CV80" s="65"/>
      <c r="CW80" s="65"/>
      <c r="CX80" s="65"/>
      <c r="CY80" s="65"/>
      <c r="CZ80" s="65"/>
      <c r="DA80" s="65"/>
      <c r="DB80" s="65"/>
      <c r="DC80" s="65"/>
      <c r="DD80" s="65"/>
      <c r="DE80" s="65"/>
      <c r="DF80" s="65"/>
      <c r="DG80" s="65"/>
      <c r="DH80" s="65"/>
      <c r="DI80" s="65"/>
      <c r="DJ80" s="65"/>
      <c r="DK80" s="65"/>
      <c r="DL80" s="65"/>
      <c r="DM80" s="65"/>
      <c r="DN80" s="65"/>
      <c r="DO80" s="65"/>
      <c r="DP80" s="65"/>
      <c r="DQ80" s="65"/>
      <c r="DR80" s="65"/>
      <c r="DS80" s="65"/>
      <c r="DT80" s="65"/>
      <c r="DU80" s="65"/>
      <c r="DV80" s="65"/>
      <c r="DW80" s="65"/>
      <c r="DX80" s="65"/>
      <c r="DY80" s="65"/>
      <c r="DZ80" s="65"/>
      <c r="EA80" s="65"/>
      <c r="EB80" s="65"/>
      <c r="EC80" s="65"/>
      <c r="ED80" s="65"/>
      <c r="EE80" s="65"/>
      <c r="EF80" s="65"/>
      <c r="EG80" s="65"/>
      <c r="EH80" s="65"/>
      <c r="EI80" s="65"/>
      <c r="EJ80" s="65"/>
      <c r="EK80" s="65"/>
      <c r="EL80" s="65"/>
      <c r="EM80" s="65"/>
      <c r="EN80" s="65"/>
      <c r="EO80" s="65"/>
      <c r="EP80" s="65"/>
      <c r="EQ80" s="65"/>
      <c r="ER80" s="65"/>
      <c r="ES80" s="65"/>
      <c r="ET80" s="65"/>
      <c r="EU80" s="65"/>
      <c r="EV80" s="65"/>
      <c r="EW80" s="65"/>
      <c r="EX80" s="65"/>
      <c r="EY80" s="65"/>
      <c r="EZ80" s="65"/>
      <c r="FA80" s="65"/>
      <c r="FB80" s="65"/>
      <c r="FC80" s="65"/>
      <c r="FD80" s="65"/>
      <c r="FE80" s="65"/>
      <c r="FF80" s="65"/>
      <c r="FG80" s="65"/>
      <c r="FH80" s="65"/>
      <c r="FI80" s="65"/>
      <c r="FJ80" s="65"/>
      <c r="FK80" s="65"/>
      <c r="FL80" s="65"/>
      <c r="FM80" s="65"/>
      <c r="FN80" s="65"/>
      <c r="FO80" s="65"/>
      <c r="FP80" s="65"/>
      <c r="FQ80" s="65"/>
      <c r="FR80" s="65"/>
      <c r="FS80" s="65"/>
      <c r="FT80" s="65"/>
      <c r="FU80" s="65"/>
      <c r="FV80" s="65"/>
      <c r="FW80" s="65"/>
      <c r="FX80" s="65"/>
      <c r="FY80" s="65"/>
      <c r="FZ80" s="65"/>
      <c r="GA80" s="65"/>
      <c r="GB80" s="65"/>
      <c r="GC80" s="65"/>
      <c r="GD80" s="65"/>
      <c r="GE80" s="65"/>
      <c r="GF80" s="65"/>
      <c r="GG80" s="65"/>
      <c r="GH80" s="65"/>
      <c r="GI80" s="65"/>
      <c r="GJ80" s="65"/>
      <c r="GK80" s="65"/>
      <c r="GL80" s="65"/>
      <c r="GM80" s="65"/>
      <c r="GN80" s="65"/>
      <c r="GO80" s="65"/>
      <c r="GP80" s="65"/>
      <c r="GQ80" s="65"/>
      <c r="GR80" s="65"/>
      <c r="GS80" s="65"/>
      <c r="GT80" s="65"/>
      <c r="GU80" s="65"/>
      <c r="GV80" s="65"/>
      <c r="GW80" s="65"/>
      <c r="GX80" s="65"/>
      <c r="GY80" s="65"/>
      <c r="GZ80" s="65"/>
      <c r="HA80" s="65"/>
      <c r="HB80" s="65"/>
      <c r="HC80" s="65"/>
      <c r="HD80" s="65"/>
      <c r="HE80" s="65"/>
      <c r="HF80" s="65"/>
      <c r="HG80" s="65"/>
      <c r="HH80" s="65"/>
      <c r="HI80" s="65"/>
      <c r="HJ80" s="65"/>
      <c r="HK80" s="65"/>
      <c r="HL80" s="65"/>
      <c r="HM80" s="65"/>
      <c r="HN80" s="65"/>
      <c r="HO80" s="65"/>
      <c r="HP80" s="65"/>
      <c r="HQ80" s="65"/>
      <c r="HR80" s="65"/>
      <c r="HS80" s="65"/>
      <c r="HT80" s="65"/>
      <c r="HU80" s="65"/>
      <c r="HV80" s="65"/>
      <c r="HW80" s="65"/>
      <c r="HX80" s="65"/>
      <c r="HY80" s="65"/>
      <c r="HZ80" s="65"/>
      <c r="IA80" s="65"/>
      <c r="IB80" s="65"/>
      <c r="IC80" s="65"/>
      <c r="ID80" s="65"/>
      <c r="IE80" s="65"/>
      <c r="IF80" s="65"/>
      <c r="IG80" s="65"/>
      <c r="IH80" s="65"/>
      <c r="II80" s="65"/>
      <c r="IJ80" s="65"/>
      <c r="IK80" s="65"/>
      <c r="IL80" s="65"/>
      <c r="IM80" s="65"/>
      <c r="IN80" s="65"/>
      <c r="IO80" s="65"/>
      <c r="IP80" s="65"/>
      <c r="IQ80" s="65"/>
      <c r="IR80" s="65"/>
      <c r="IS80" s="65"/>
      <c r="IT80" s="65"/>
      <c r="IU80" s="65"/>
      <c r="IV80" s="65"/>
      <c r="IW80" s="65"/>
      <c r="IX80" s="65"/>
      <c r="IY80" s="65"/>
      <c r="IZ80" s="65"/>
      <c r="JA80" s="65"/>
      <c r="JB80" s="65"/>
      <c r="JC80" s="65"/>
      <c r="JD80" s="65"/>
      <c r="JE80" s="65"/>
      <c r="JF80" s="65"/>
      <c r="JG80" s="65"/>
      <c r="JH80" s="65"/>
      <c r="JI80" s="65"/>
      <c r="JJ80" s="65"/>
      <c r="JK80" s="65"/>
      <c r="JL80" s="65"/>
      <c r="JM80" s="65"/>
      <c r="JN80" s="65"/>
      <c r="JO80" s="65"/>
      <c r="JP80" s="65"/>
      <c r="JQ80" s="65"/>
      <c r="JR80" s="65"/>
      <c r="JS80" s="65"/>
      <c r="JT80" s="65"/>
      <c r="JU80" s="65"/>
      <c r="JV80" s="65"/>
      <c r="JW80" s="65"/>
      <c r="JX80" s="65"/>
      <c r="JY80" s="65"/>
      <c r="JZ80" s="65"/>
      <c r="KA80" s="65"/>
      <c r="KB80" s="65"/>
      <c r="KC80" s="65"/>
      <c r="KD80" s="65"/>
      <c r="KE80" s="65"/>
      <c r="KF80" s="65"/>
      <c r="KG80" s="65"/>
      <c r="KH80" s="65"/>
      <c r="KI80" s="65"/>
      <c r="KJ80" s="65"/>
      <c r="KK80" s="65"/>
      <c r="KL80" s="65"/>
      <c r="KM80" s="65"/>
      <c r="KN80" s="65"/>
      <c r="KO80" s="65"/>
      <c r="KP80" s="65"/>
      <c r="KQ80" s="65"/>
      <c r="KR80" s="65"/>
      <c r="KS80" s="65"/>
      <c r="KT80" s="65"/>
      <c r="KU80" s="65"/>
      <c r="KV80" s="65"/>
      <c r="KW80" s="65"/>
      <c r="KX80" s="65"/>
      <c r="KY80" s="65"/>
      <c r="KZ80" s="65"/>
      <c r="LA80" s="65"/>
      <c r="LB80" s="65"/>
      <c r="LC80" s="65"/>
      <c r="LD80" s="65"/>
      <c r="LE80" s="65"/>
      <c r="LF80" s="65"/>
      <c r="LG80" s="65"/>
      <c r="LH80" s="65"/>
      <c r="LI80" s="65"/>
      <c r="LJ80" s="65"/>
      <c r="LK80" s="65"/>
      <c r="LL80" s="65"/>
      <c r="LM80" s="65"/>
      <c r="LN80" s="65"/>
      <c r="LO80" s="65"/>
      <c r="LP80" s="65"/>
      <c r="LQ80" s="65"/>
      <c r="LR80" s="65"/>
      <c r="LS80" s="65"/>
      <c r="LT80" s="65"/>
      <c r="LU80" s="65"/>
      <c r="LV80" s="65"/>
      <c r="LW80" s="65"/>
      <c r="LX80" s="65"/>
      <c r="LY80" s="65"/>
      <c r="LZ80" s="65"/>
      <c r="MA80" s="65"/>
      <c r="MB80" s="65"/>
      <c r="MC80" s="65"/>
      <c r="MD80" s="65"/>
      <c r="ME80" s="65"/>
      <c r="MF80" s="65"/>
      <c r="MG80" s="65"/>
      <c r="MH80" s="65"/>
      <c r="MI80" s="65"/>
      <c r="MJ80" s="65"/>
      <c r="MK80" s="65"/>
      <c r="ML80" s="65"/>
      <c r="MM80" s="65"/>
      <c r="MN80" s="65"/>
      <c r="MO80" s="65"/>
      <c r="MP80" s="65"/>
      <c r="MQ80" s="65"/>
      <c r="MR80" s="65"/>
      <c r="MS80" s="65"/>
      <c r="MT80" s="65"/>
      <c r="MU80" s="65"/>
      <c r="MV80" s="65"/>
      <c r="MW80" s="65"/>
      <c r="MX80" s="65"/>
      <c r="MY80" s="65"/>
      <c r="MZ80" s="65"/>
      <c r="NA80" s="65"/>
      <c r="NB80" s="65"/>
      <c r="NC80" s="65"/>
      <c r="ND80" s="65"/>
      <c r="NE80" s="65"/>
      <c r="NF80" s="65"/>
      <c r="NG80" s="65"/>
    </row>
    <row r="81">
      <c r="A81" s="65"/>
      <c r="B81" s="65"/>
      <c r="C81" s="201"/>
      <c r="D81" s="201"/>
      <c r="E81" s="109"/>
      <c r="F81" s="107" t="s">
        <v>1436</v>
      </c>
      <c r="G81" s="109"/>
      <c r="H81" s="109"/>
      <c r="I81" s="107" t="s">
        <v>1437</v>
      </c>
      <c r="J81" s="107" t="str">
        <f t="shared" si="9"/>
        <v>Sam - 123</v>
      </c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  <c r="BE81" s="65"/>
      <c r="BF81" s="65"/>
      <c r="BG81" s="65"/>
      <c r="BH81" s="65"/>
      <c r="BI81" s="65"/>
      <c r="BJ81" s="65"/>
      <c r="BK81" s="65"/>
      <c r="BL81" s="65"/>
      <c r="BM81" s="65"/>
      <c r="BN81" s="65"/>
      <c r="BO81" s="65"/>
      <c r="BP81" s="65"/>
      <c r="BQ81" s="65"/>
      <c r="BR81" s="65"/>
      <c r="BS81" s="65"/>
      <c r="BT81" s="65"/>
      <c r="BU81" s="65"/>
      <c r="BV81" s="65"/>
      <c r="BW81" s="65"/>
      <c r="BX81" s="65"/>
      <c r="BY81" s="65"/>
      <c r="BZ81" s="65"/>
      <c r="CA81" s="65"/>
      <c r="CB81" s="65"/>
      <c r="CC81" s="65"/>
      <c r="CD81" s="65"/>
      <c r="CE81" s="65"/>
      <c r="CF81" s="65"/>
      <c r="CG81" s="65"/>
      <c r="CH81" s="65"/>
      <c r="CI81" s="65"/>
      <c r="CJ81" s="65"/>
      <c r="CK81" s="65"/>
      <c r="CL81" s="65"/>
      <c r="CM81" s="65"/>
      <c r="CN81" s="65"/>
      <c r="CO81" s="65"/>
      <c r="CP81" s="65"/>
      <c r="CQ81" s="65"/>
      <c r="CR81" s="65"/>
      <c r="CS81" s="65"/>
      <c r="CT81" s="65"/>
      <c r="CU81" s="65"/>
      <c r="CV81" s="65"/>
      <c r="CW81" s="65"/>
      <c r="CX81" s="65"/>
      <c r="CY81" s="65"/>
      <c r="CZ81" s="65"/>
      <c r="DA81" s="65"/>
      <c r="DB81" s="65"/>
      <c r="DC81" s="65"/>
      <c r="DD81" s="65"/>
      <c r="DE81" s="65"/>
      <c r="DF81" s="65"/>
      <c r="DG81" s="65"/>
      <c r="DH81" s="65"/>
      <c r="DI81" s="65"/>
      <c r="DJ81" s="65"/>
      <c r="DK81" s="65"/>
      <c r="DL81" s="65"/>
      <c r="DM81" s="65"/>
      <c r="DN81" s="65"/>
      <c r="DO81" s="65"/>
      <c r="DP81" s="65"/>
      <c r="DQ81" s="65"/>
      <c r="DR81" s="65"/>
      <c r="DS81" s="65"/>
      <c r="DT81" s="65"/>
      <c r="DU81" s="65"/>
      <c r="DV81" s="65"/>
      <c r="DW81" s="65"/>
      <c r="DX81" s="65"/>
      <c r="DY81" s="65"/>
      <c r="DZ81" s="65"/>
      <c r="EA81" s="65"/>
      <c r="EB81" s="65"/>
      <c r="EC81" s="65"/>
      <c r="ED81" s="65"/>
      <c r="EE81" s="65"/>
      <c r="EF81" s="65"/>
      <c r="EG81" s="65"/>
      <c r="EH81" s="65"/>
      <c r="EI81" s="65"/>
      <c r="EJ81" s="65"/>
      <c r="EK81" s="65"/>
      <c r="EL81" s="65"/>
      <c r="EM81" s="65"/>
      <c r="EN81" s="65"/>
      <c r="EO81" s="65"/>
      <c r="EP81" s="65"/>
      <c r="EQ81" s="65"/>
      <c r="ER81" s="65"/>
      <c r="ES81" s="65"/>
      <c r="ET81" s="65"/>
      <c r="EU81" s="65"/>
      <c r="EV81" s="65"/>
      <c r="EW81" s="65"/>
      <c r="EX81" s="65"/>
      <c r="EY81" s="65"/>
      <c r="EZ81" s="65"/>
      <c r="FA81" s="65"/>
      <c r="FB81" s="65"/>
      <c r="FC81" s="65"/>
      <c r="FD81" s="65"/>
      <c r="FE81" s="65"/>
      <c r="FF81" s="65"/>
      <c r="FG81" s="65"/>
      <c r="FH81" s="65"/>
      <c r="FI81" s="65"/>
      <c r="FJ81" s="65"/>
      <c r="FK81" s="65"/>
      <c r="FL81" s="65"/>
      <c r="FM81" s="65"/>
      <c r="FN81" s="65"/>
      <c r="FO81" s="65"/>
      <c r="FP81" s="65"/>
      <c r="FQ81" s="65"/>
      <c r="FR81" s="65"/>
      <c r="FS81" s="65"/>
      <c r="FT81" s="65"/>
      <c r="FU81" s="65"/>
      <c r="FV81" s="65"/>
      <c r="FW81" s="65"/>
      <c r="FX81" s="65"/>
      <c r="FY81" s="65"/>
      <c r="FZ81" s="65"/>
      <c r="GA81" s="65"/>
      <c r="GB81" s="65"/>
      <c r="GC81" s="65"/>
      <c r="GD81" s="65"/>
      <c r="GE81" s="65"/>
      <c r="GF81" s="65"/>
      <c r="GG81" s="65"/>
      <c r="GH81" s="65"/>
      <c r="GI81" s="65"/>
      <c r="GJ81" s="65"/>
      <c r="GK81" s="65"/>
      <c r="GL81" s="65"/>
      <c r="GM81" s="65"/>
      <c r="GN81" s="65"/>
      <c r="GO81" s="65"/>
      <c r="GP81" s="65"/>
      <c r="GQ81" s="65"/>
      <c r="GR81" s="65"/>
      <c r="GS81" s="65"/>
      <c r="GT81" s="65"/>
      <c r="GU81" s="65"/>
      <c r="GV81" s="65"/>
      <c r="GW81" s="65"/>
      <c r="GX81" s="65"/>
      <c r="GY81" s="65"/>
      <c r="GZ81" s="65"/>
      <c r="HA81" s="65"/>
      <c r="HB81" s="65"/>
      <c r="HC81" s="65"/>
      <c r="HD81" s="65"/>
      <c r="HE81" s="65"/>
      <c r="HF81" s="65"/>
      <c r="HG81" s="65"/>
      <c r="HH81" s="65"/>
      <c r="HI81" s="65"/>
      <c r="HJ81" s="65"/>
      <c r="HK81" s="65"/>
      <c r="HL81" s="65"/>
      <c r="HM81" s="65"/>
      <c r="HN81" s="65"/>
      <c r="HO81" s="65"/>
      <c r="HP81" s="65"/>
      <c r="HQ81" s="65"/>
      <c r="HR81" s="65"/>
      <c r="HS81" s="65"/>
      <c r="HT81" s="65"/>
      <c r="HU81" s="65"/>
      <c r="HV81" s="65"/>
      <c r="HW81" s="65"/>
      <c r="HX81" s="65"/>
      <c r="HY81" s="65"/>
      <c r="HZ81" s="65"/>
      <c r="IA81" s="65"/>
      <c r="IB81" s="65"/>
      <c r="IC81" s="65"/>
      <c r="ID81" s="65"/>
      <c r="IE81" s="65"/>
      <c r="IF81" s="65"/>
      <c r="IG81" s="65"/>
      <c r="IH81" s="65"/>
      <c r="II81" s="65"/>
      <c r="IJ81" s="65"/>
      <c r="IK81" s="65"/>
      <c r="IL81" s="65"/>
      <c r="IM81" s="65"/>
      <c r="IN81" s="65"/>
      <c r="IO81" s="65"/>
      <c r="IP81" s="65"/>
      <c r="IQ81" s="65"/>
      <c r="IR81" s="65"/>
      <c r="IS81" s="65"/>
      <c r="IT81" s="65"/>
      <c r="IU81" s="65"/>
      <c r="IV81" s="65"/>
      <c r="IW81" s="65"/>
      <c r="IX81" s="65"/>
      <c r="IY81" s="65"/>
      <c r="IZ81" s="65"/>
      <c r="JA81" s="65"/>
      <c r="JB81" s="65"/>
      <c r="JC81" s="65"/>
      <c r="JD81" s="65"/>
      <c r="JE81" s="65"/>
      <c r="JF81" s="65"/>
      <c r="JG81" s="65"/>
      <c r="JH81" s="65"/>
      <c r="JI81" s="65"/>
      <c r="JJ81" s="65"/>
      <c r="JK81" s="65"/>
      <c r="JL81" s="65"/>
      <c r="JM81" s="65"/>
      <c r="JN81" s="65"/>
      <c r="JO81" s="65"/>
      <c r="JP81" s="65"/>
      <c r="JQ81" s="65"/>
      <c r="JR81" s="65"/>
      <c r="JS81" s="65"/>
      <c r="JT81" s="65"/>
      <c r="JU81" s="65"/>
      <c r="JV81" s="65"/>
      <c r="JW81" s="65"/>
      <c r="JX81" s="65"/>
      <c r="JY81" s="65"/>
      <c r="JZ81" s="65"/>
      <c r="KA81" s="65"/>
      <c r="KB81" s="65"/>
      <c r="KC81" s="65"/>
      <c r="KD81" s="65"/>
      <c r="KE81" s="65"/>
      <c r="KF81" s="65"/>
      <c r="KG81" s="65"/>
      <c r="KH81" s="65"/>
      <c r="KI81" s="65"/>
      <c r="KJ81" s="65"/>
      <c r="KK81" s="65"/>
      <c r="KL81" s="65"/>
      <c r="KM81" s="65"/>
      <c r="KN81" s="65"/>
      <c r="KO81" s="65"/>
      <c r="KP81" s="65"/>
      <c r="KQ81" s="65"/>
      <c r="KR81" s="65"/>
      <c r="KS81" s="65"/>
      <c r="KT81" s="65"/>
      <c r="KU81" s="65"/>
      <c r="KV81" s="65"/>
      <c r="KW81" s="65"/>
      <c r="KX81" s="65"/>
      <c r="KY81" s="65"/>
      <c r="KZ81" s="65"/>
      <c r="LA81" s="65"/>
      <c r="LB81" s="65"/>
      <c r="LC81" s="65"/>
      <c r="LD81" s="65"/>
      <c r="LE81" s="65"/>
      <c r="LF81" s="65"/>
      <c r="LG81" s="65"/>
      <c r="LH81" s="65"/>
      <c r="LI81" s="65"/>
      <c r="LJ81" s="65"/>
      <c r="LK81" s="65"/>
      <c r="LL81" s="65"/>
      <c r="LM81" s="65"/>
      <c r="LN81" s="65"/>
      <c r="LO81" s="65"/>
      <c r="LP81" s="65"/>
      <c r="LQ81" s="65"/>
      <c r="LR81" s="65"/>
      <c r="LS81" s="65"/>
      <c r="LT81" s="65"/>
      <c r="LU81" s="65"/>
      <c r="LV81" s="65"/>
      <c r="LW81" s="65"/>
      <c r="LX81" s="65"/>
      <c r="LY81" s="65"/>
      <c r="LZ81" s="65"/>
      <c r="MA81" s="65"/>
      <c r="MB81" s="65"/>
      <c r="MC81" s="65"/>
      <c r="MD81" s="65"/>
      <c r="ME81" s="65"/>
      <c r="MF81" s="65"/>
      <c r="MG81" s="65"/>
      <c r="MH81" s="65"/>
      <c r="MI81" s="65"/>
      <c r="MJ81" s="65"/>
      <c r="MK81" s="65"/>
      <c r="ML81" s="65"/>
      <c r="MM81" s="65"/>
      <c r="MN81" s="65"/>
      <c r="MO81" s="65"/>
      <c r="MP81" s="65"/>
      <c r="MQ81" s="65"/>
      <c r="MR81" s="65"/>
      <c r="MS81" s="65"/>
      <c r="MT81" s="65"/>
      <c r="MU81" s="65"/>
      <c r="MV81" s="65"/>
      <c r="MW81" s="65"/>
      <c r="MX81" s="65"/>
      <c r="MY81" s="65"/>
      <c r="MZ81" s="65"/>
      <c r="NA81" s="65"/>
      <c r="NB81" s="65"/>
      <c r="NC81" s="65"/>
      <c r="ND81" s="65"/>
      <c r="NE81" s="65"/>
      <c r="NF81" s="65"/>
      <c r="NG81" s="65"/>
    </row>
    <row r="82">
      <c r="A82" s="65"/>
      <c r="B82" s="65"/>
      <c r="C82" s="200"/>
      <c r="D82" s="76"/>
      <c r="E82" s="65"/>
      <c r="F82" s="76"/>
      <c r="G82" s="65"/>
      <c r="H82" s="65"/>
      <c r="I82" s="76"/>
      <c r="J82" s="76"/>
    </row>
    <row r="83">
      <c r="A83" s="65"/>
      <c r="B83" s="65"/>
      <c r="C83" s="65"/>
      <c r="D83" s="65"/>
      <c r="E83" s="65"/>
      <c r="F83" s="76"/>
      <c r="G83" s="65"/>
      <c r="H83" s="65"/>
      <c r="I83" s="76"/>
      <c r="J83" s="76"/>
    </row>
    <row r="84">
      <c r="A84" s="65"/>
      <c r="B84" s="65"/>
      <c r="C84" s="65"/>
      <c r="D84" s="65"/>
      <c r="E84" s="65"/>
      <c r="F84" s="76"/>
      <c r="G84" s="65"/>
      <c r="H84" s="65"/>
      <c r="I84" s="76"/>
      <c r="J84" s="76"/>
    </row>
    <row r="85">
      <c r="A85" s="65"/>
      <c r="B85" s="65"/>
      <c r="C85" s="65"/>
      <c r="D85" s="65"/>
      <c r="E85" s="65"/>
      <c r="F85" s="76"/>
      <c r="G85" s="65"/>
      <c r="H85" s="65"/>
      <c r="I85" s="76"/>
      <c r="J85" s="76"/>
    </row>
    <row r="86">
      <c r="A86" s="65"/>
      <c r="B86" s="65"/>
      <c r="C86" s="65"/>
      <c r="D86" s="65"/>
      <c r="E86" s="65"/>
      <c r="F86" s="76"/>
      <c r="G86" s="65"/>
      <c r="H86" s="65"/>
      <c r="I86" s="76"/>
      <c r="J86" s="76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</row>
    <row r="89">
      <c r="A89" s="65"/>
      <c r="B89" s="65"/>
      <c r="C89" s="200"/>
      <c r="D89" s="76"/>
      <c r="E89" s="65"/>
      <c r="F89" s="76"/>
      <c r="G89" s="65"/>
      <c r="H89" s="65"/>
      <c r="I89" s="76"/>
      <c r="J89" s="76"/>
    </row>
    <row r="90">
      <c r="A90" s="65"/>
      <c r="B90" s="65"/>
      <c r="C90" s="65"/>
      <c r="D90" s="65"/>
      <c r="E90" s="65"/>
      <c r="F90" s="76"/>
      <c r="G90" s="65"/>
      <c r="H90" s="65"/>
      <c r="I90" s="76"/>
      <c r="J90" s="76"/>
    </row>
    <row r="91">
      <c r="A91" s="65"/>
      <c r="B91" s="65"/>
      <c r="C91" s="65"/>
      <c r="D91" s="65"/>
      <c r="E91" s="65"/>
      <c r="F91" s="76"/>
      <c r="G91" s="65"/>
      <c r="H91" s="65"/>
      <c r="I91" s="76"/>
      <c r="J91" s="76"/>
    </row>
    <row r="92">
      <c r="A92" s="65"/>
      <c r="B92" s="65"/>
      <c r="C92" s="65"/>
      <c r="D92" s="65"/>
      <c r="E92" s="65"/>
      <c r="F92" s="76"/>
      <c r="G92" s="65"/>
      <c r="H92" s="65"/>
      <c r="I92" s="76"/>
      <c r="J92" s="76"/>
    </row>
    <row r="93">
      <c r="A93" s="65"/>
      <c r="B93" s="65"/>
      <c r="C93" s="65"/>
      <c r="D93" s="65"/>
      <c r="E93" s="65"/>
      <c r="F93" s="76"/>
      <c r="G93" s="65"/>
      <c r="H93" s="65"/>
      <c r="I93" s="76"/>
      <c r="J93" s="76"/>
    </row>
  </sheetData>
  <mergeCells count="31">
    <mergeCell ref="C3:C4"/>
    <mergeCell ref="D3:D4"/>
    <mergeCell ref="E3:H4"/>
    <mergeCell ref="I3:I4"/>
    <mergeCell ref="J3:J4"/>
    <mergeCell ref="C5:C9"/>
    <mergeCell ref="D5:D9"/>
    <mergeCell ref="C11:C15"/>
    <mergeCell ref="D11:D15"/>
    <mergeCell ref="C17:C21"/>
    <mergeCell ref="D17:D21"/>
    <mergeCell ref="C23:C27"/>
    <mergeCell ref="D23:D27"/>
    <mergeCell ref="D29:D33"/>
    <mergeCell ref="C29:C33"/>
    <mergeCell ref="C35:C39"/>
    <mergeCell ref="D35:D39"/>
    <mergeCell ref="C41:C45"/>
    <mergeCell ref="D41:D45"/>
    <mergeCell ref="C47:C51"/>
    <mergeCell ref="D47:D51"/>
    <mergeCell ref="C71:C75"/>
    <mergeCell ref="C77:C81"/>
    <mergeCell ref="D77:D81"/>
    <mergeCell ref="C53:C57"/>
    <mergeCell ref="D53:D57"/>
    <mergeCell ref="C59:C63"/>
    <mergeCell ref="D59:D63"/>
    <mergeCell ref="C65:C69"/>
    <mergeCell ref="D65:D69"/>
    <mergeCell ref="D71:D7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7" max="7" width="23.75"/>
    <col customWidth="1" min="8" max="8" width="14.75"/>
  </cols>
  <sheetData>
    <row r="3">
      <c r="B3" s="214" t="s">
        <v>735</v>
      </c>
      <c r="C3" s="215" t="s">
        <v>2</v>
      </c>
      <c r="D3" s="216"/>
      <c r="E3" s="215" t="s">
        <v>233</v>
      </c>
      <c r="F3" s="216"/>
      <c r="G3" s="215" t="s">
        <v>4</v>
      </c>
      <c r="H3" s="217" t="s">
        <v>5</v>
      </c>
    </row>
    <row r="4">
      <c r="B4" s="218"/>
      <c r="C4" s="219"/>
      <c r="D4" s="219"/>
      <c r="E4" s="219"/>
      <c r="F4" s="219"/>
      <c r="G4" s="219"/>
      <c r="H4" s="220"/>
    </row>
    <row r="5">
      <c r="B5" s="221">
        <v>1.0</v>
      </c>
      <c r="C5" s="222" t="s">
        <v>381</v>
      </c>
      <c r="D5" s="223">
        <v>1.0</v>
      </c>
      <c r="E5" s="223" t="s">
        <v>18</v>
      </c>
      <c r="F5" s="223" t="s">
        <v>1438</v>
      </c>
      <c r="G5" s="223" t="s">
        <v>1439</v>
      </c>
      <c r="H5" s="224" t="str">
        <f t="shared" ref="H5:H9" si="1">CONCAT(E5,F5)</f>
        <v>Sunday</v>
      </c>
    </row>
    <row r="6">
      <c r="B6" s="225"/>
      <c r="C6" s="14"/>
      <c r="D6" s="223">
        <v>2.0</v>
      </c>
      <c r="E6" s="223" t="s">
        <v>1440</v>
      </c>
      <c r="F6" s="223" t="s">
        <v>1441</v>
      </c>
      <c r="G6" s="223" t="s">
        <v>1442</v>
      </c>
      <c r="H6" s="224" t="str">
        <f t="shared" si="1"/>
        <v>JammuKashmir</v>
      </c>
    </row>
    <row r="7">
      <c r="B7" s="225"/>
      <c r="C7" s="14"/>
      <c r="D7" s="223">
        <v>3.0</v>
      </c>
      <c r="E7" s="223" t="s">
        <v>559</v>
      </c>
      <c r="F7" s="223" t="s">
        <v>1443</v>
      </c>
      <c r="G7" s="223" t="s">
        <v>1444</v>
      </c>
      <c r="H7" s="224" t="str">
        <f t="shared" si="1"/>
        <v>Bookstore</v>
      </c>
    </row>
    <row r="8">
      <c r="B8" s="225"/>
      <c r="C8" s="14"/>
      <c r="D8" s="223">
        <v>4.0</v>
      </c>
      <c r="E8" s="223" t="s">
        <v>1445</v>
      </c>
      <c r="F8" s="223" t="s">
        <v>1446</v>
      </c>
      <c r="G8" s="223" t="s">
        <v>1447</v>
      </c>
      <c r="H8" s="224" t="str">
        <f t="shared" si="1"/>
        <v>Notebook</v>
      </c>
    </row>
    <row r="9">
      <c r="B9" s="225"/>
      <c r="C9" s="14"/>
      <c r="D9" s="223">
        <v>5.0</v>
      </c>
      <c r="E9" s="223" t="s">
        <v>1448</v>
      </c>
      <c r="F9" s="223" t="s">
        <v>1449</v>
      </c>
      <c r="G9" s="223" t="s">
        <v>1450</v>
      </c>
      <c r="H9" s="224" t="str">
        <f t="shared" si="1"/>
        <v>Handbag</v>
      </c>
    </row>
    <row r="10">
      <c r="B10" s="226"/>
      <c r="C10" s="227"/>
      <c r="D10" s="227"/>
      <c r="E10" s="227"/>
      <c r="F10" s="227"/>
      <c r="G10" s="227"/>
      <c r="H10" s="228"/>
    </row>
    <row r="11">
      <c r="B11" s="225"/>
      <c r="C11" s="14"/>
      <c r="D11" s="14"/>
      <c r="E11" s="14"/>
      <c r="F11" s="14"/>
      <c r="G11" s="14"/>
      <c r="H11" s="224"/>
    </row>
    <row r="12">
      <c r="B12" s="221">
        <v>2.0</v>
      </c>
      <c r="C12" s="222" t="s">
        <v>6</v>
      </c>
      <c r="D12" s="223">
        <v>1.0</v>
      </c>
      <c r="E12" s="223" t="s">
        <v>1451</v>
      </c>
      <c r="F12" s="14"/>
      <c r="G12" s="223" t="s">
        <v>1452</v>
      </c>
      <c r="H12" s="224" t="str">
        <f t="shared" ref="H12:H14" si="2">CLEAN(E12)</f>
        <v>shifa      -qazii</v>
      </c>
    </row>
    <row r="13">
      <c r="B13" s="225"/>
      <c r="C13" s="14"/>
      <c r="D13" s="223">
        <v>2.0</v>
      </c>
      <c r="E13" s="223" t="s">
        <v>1453</v>
      </c>
      <c r="F13" s="14"/>
      <c r="G13" s="223" t="s">
        <v>1454</v>
      </c>
      <c r="H13" s="224" t="str">
        <f t="shared" si="2"/>
        <v>dining table</v>
      </c>
    </row>
    <row r="14">
      <c r="B14" s="225"/>
      <c r="C14" s="14"/>
      <c r="D14" s="223">
        <v>3.0</v>
      </c>
      <c r="E14" s="223" t="s">
        <v>1455</v>
      </c>
      <c r="F14" s="14"/>
      <c r="G14" s="223" t="s">
        <v>1456</v>
      </c>
      <c r="H14" s="224" t="str">
        <f t="shared" si="2"/>
        <v>timeTable</v>
      </c>
    </row>
    <row r="15">
      <c r="B15" s="225"/>
      <c r="C15" s="14"/>
      <c r="D15" s="223">
        <v>4.0</v>
      </c>
      <c r="E15" s="223" t="s">
        <v>1457</v>
      </c>
      <c r="F15" s="14"/>
      <c r="G15" s="223" t="s">
        <v>1456</v>
      </c>
      <c r="H15" s="224" t="str">
        <f>CLEAN(E14)</f>
        <v>timeTable</v>
      </c>
    </row>
    <row r="16">
      <c r="B16" s="225"/>
      <c r="C16" s="14"/>
      <c r="D16" s="223">
        <v>5.0</v>
      </c>
      <c r="E16" s="223" t="s">
        <v>1458</v>
      </c>
      <c r="F16" s="14"/>
      <c r="G16" s="223" t="s">
        <v>1459</v>
      </c>
      <c r="H16" s="224" t="str">
        <f>CLEAN(E16)</f>
        <v>tea Spoon</v>
      </c>
    </row>
    <row r="17">
      <c r="B17" s="226"/>
      <c r="C17" s="227"/>
      <c r="D17" s="227"/>
      <c r="E17" s="227"/>
      <c r="F17" s="227"/>
      <c r="G17" s="227"/>
      <c r="H17" s="228"/>
    </row>
    <row r="18">
      <c r="B18" s="225"/>
      <c r="C18" s="14"/>
      <c r="D18" s="14"/>
      <c r="E18" s="14"/>
      <c r="F18" s="14"/>
      <c r="G18" s="14"/>
      <c r="H18" s="224"/>
    </row>
    <row r="19">
      <c r="B19" s="221">
        <v>3.0</v>
      </c>
      <c r="C19" s="222" t="s">
        <v>44</v>
      </c>
      <c r="D19" s="223">
        <v>1.0</v>
      </c>
      <c r="E19" s="223" t="s">
        <v>1460</v>
      </c>
      <c r="F19" s="223" t="s">
        <v>1461</v>
      </c>
      <c r="G19" s="223" t="s">
        <v>1462</v>
      </c>
      <c r="H19" s="224" t="b">
        <f t="shared" ref="H19:H23" si="3">EXACT(E19,F19)</f>
        <v>0</v>
      </c>
    </row>
    <row r="20">
      <c r="B20" s="225"/>
      <c r="C20" s="14"/>
      <c r="D20" s="223">
        <v>2.0</v>
      </c>
      <c r="E20" s="223" t="s">
        <v>38</v>
      </c>
      <c r="F20" s="223" t="s">
        <v>38</v>
      </c>
      <c r="G20" s="223" t="s">
        <v>1463</v>
      </c>
      <c r="H20" s="224" t="b">
        <f t="shared" si="3"/>
        <v>1</v>
      </c>
    </row>
    <row r="21">
      <c r="B21" s="225"/>
      <c r="C21" s="14"/>
      <c r="D21" s="223">
        <v>3.0</v>
      </c>
      <c r="E21" s="223" t="s">
        <v>1464</v>
      </c>
      <c r="F21" s="223" t="s">
        <v>1465</v>
      </c>
      <c r="G21" s="223" t="s">
        <v>1466</v>
      </c>
      <c r="H21" s="224" t="b">
        <f t="shared" si="3"/>
        <v>0</v>
      </c>
    </row>
    <row r="22">
      <c r="B22" s="225"/>
      <c r="C22" s="14"/>
      <c r="D22" s="223">
        <v>4.0</v>
      </c>
      <c r="E22" s="223" t="s">
        <v>615</v>
      </c>
      <c r="F22" s="223" t="s">
        <v>439</v>
      </c>
      <c r="G22" s="223" t="s">
        <v>1467</v>
      </c>
      <c r="H22" s="224" t="b">
        <f t="shared" si="3"/>
        <v>0</v>
      </c>
    </row>
    <row r="23">
      <c r="B23" s="225"/>
      <c r="C23" s="14"/>
      <c r="D23" s="223">
        <v>5.0</v>
      </c>
      <c r="E23" s="223" t="s">
        <v>1468</v>
      </c>
      <c r="F23" s="223" t="s">
        <v>1468</v>
      </c>
      <c r="G23" s="223" t="s">
        <v>1469</v>
      </c>
      <c r="H23" s="224" t="b">
        <f t="shared" si="3"/>
        <v>1</v>
      </c>
    </row>
    <row r="24">
      <c r="B24" s="226"/>
      <c r="C24" s="227"/>
      <c r="D24" s="227"/>
      <c r="E24" s="227"/>
      <c r="F24" s="227"/>
      <c r="G24" s="227"/>
      <c r="H24" s="228"/>
    </row>
    <row r="25">
      <c r="B25" s="225"/>
      <c r="C25" s="14"/>
      <c r="D25" s="14"/>
      <c r="E25" s="14"/>
      <c r="F25" s="14"/>
      <c r="G25" s="14"/>
      <c r="H25" s="224"/>
    </row>
    <row r="26">
      <c r="B26" s="221">
        <v>4.0</v>
      </c>
      <c r="C26" s="222" t="s">
        <v>33</v>
      </c>
      <c r="D26" s="223">
        <v>1.0</v>
      </c>
      <c r="E26" s="223" t="s">
        <v>1470</v>
      </c>
      <c r="F26" s="14"/>
      <c r="G26" s="223" t="s">
        <v>1471</v>
      </c>
      <c r="H26" s="224">
        <f>FIND("c",E26)</f>
        <v>1</v>
      </c>
    </row>
    <row r="27">
      <c r="B27" s="225"/>
      <c r="C27" s="14"/>
      <c r="D27" s="223">
        <v>2.0</v>
      </c>
      <c r="E27" s="223" t="s">
        <v>1472</v>
      </c>
      <c r="F27" s="14"/>
      <c r="G27" s="223" t="s">
        <v>1473</v>
      </c>
      <c r="H27" s="224">
        <f>FIND("y",E27)</f>
        <v>7</v>
      </c>
    </row>
    <row r="28">
      <c r="B28" s="225"/>
      <c r="C28" s="14"/>
      <c r="D28" s="223">
        <v>3.0</v>
      </c>
      <c r="E28" s="223" t="s">
        <v>1474</v>
      </c>
      <c r="F28" s="14"/>
      <c r="G28" s="223" t="s">
        <v>1475</v>
      </c>
      <c r="H28" s="224">
        <f>FIND("e",E28)</f>
        <v>2</v>
      </c>
    </row>
    <row r="29">
      <c r="B29" s="225"/>
      <c r="C29" s="14"/>
      <c r="D29" s="223">
        <v>4.0</v>
      </c>
      <c r="E29" s="223" t="s">
        <v>1476</v>
      </c>
      <c r="F29" s="14"/>
      <c r="G29" s="223" t="s">
        <v>1477</v>
      </c>
      <c r="H29" s="224">
        <f>FIND("f",E29)</f>
        <v>3</v>
      </c>
    </row>
    <row r="30">
      <c r="B30" s="225"/>
      <c r="C30" s="14"/>
      <c r="D30" s="223">
        <v>5.0</v>
      </c>
      <c r="E30" s="223" t="s">
        <v>1290</v>
      </c>
      <c r="F30" s="14"/>
      <c r="G30" s="223" t="s">
        <v>1478</v>
      </c>
      <c r="H30" s="224">
        <f>FIND("d",E30)</f>
        <v>4</v>
      </c>
    </row>
    <row r="31">
      <c r="B31" s="226"/>
      <c r="C31" s="227"/>
      <c r="D31" s="227"/>
      <c r="E31" s="227"/>
      <c r="F31" s="227"/>
      <c r="G31" s="227"/>
      <c r="H31" s="228"/>
    </row>
    <row r="32">
      <c r="B32" s="225"/>
      <c r="C32" s="14"/>
      <c r="D32" s="14"/>
      <c r="E32" s="14"/>
      <c r="F32" s="14"/>
      <c r="G32" s="14"/>
      <c r="H32" s="224"/>
    </row>
    <row r="33">
      <c r="B33" s="221">
        <v>5.0</v>
      </c>
      <c r="C33" s="222" t="s">
        <v>57</v>
      </c>
      <c r="D33" s="223">
        <v>1.0</v>
      </c>
      <c r="E33" s="223" t="s">
        <v>890</v>
      </c>
      <c r="F33" s="14"/>
      <c r="G33" s="223" t="s">
        <v>1479</v>
      </c>
      <c r="H33" s="224" t="str">
        <f>LEFT(E33,4)</f>
        <v>Biry</v>
      </c>
    </row>
    <row r="34">
      <c r="B34" s="225"/>
      <c r="C34" s="14"/>
      <c r="D34" s="223">
        <v>2.0</v>
      </c>
      <c r="E34" s="223" t="s">
        <v>1480</v>
      </c>
      <c r="F34" s="14"/>
      <c r="G34" s="223" t="s">
        <v>1481</v>
      </c>
      <c r="H34" s="224" t="str">
        <f>LEFT(E34,8)</f>
        <v>veg-biry</v>
      </c>
    </row>
    <row r="35">
      <c r="B35" s="225"/>
      <c r="C35" s="14"/>
      <c r="D35" s="223">
        <v>3.0</v>
      </c>
      <c r="E35" s="223" t="s">
        <v>1482</v>
      </c>
      <c r="F35" s="14"/>
      <c r="G35" s="223" t="s">
        <v>1483</v>
      </c>
      <c r="H35" s="224" t="str">
        <f>LEFT(E35,5)</f>
        <v>panip</v>
      </c>
    </row>
    <row r="36">
      <c r="B36" s="225"/>
      <c r="C36" s="14"/>
      <c r="D36" s="223">
        <v>4.0</v>
      </c>
      <c r="E36" s="223" t="s">
        <v>1484</v>
      </c>
      <c r="F36" s="14"/>
      <c r="G36" s="223" t="s">
        <v>1485</v>
      </c>
      <c r="H36" s="224" t="str">
        <f>LEFT(E36,6)</f>
        <v>aaluch</v>
      </c>
    </row>
    <row r="37">
      <c r="B37" s="225"/>
      <c r="C37" s="14"/>
      <c r="D37" s="223">
        <v>5.0</v>
      </c>
      <c r="E37" s="223" t="s">
        <v>1486</v>
      </c>
      <c r="F37" s="14"/>
      <c r="G37" s="223" t="s">
        <v>1487</v>
      </c>
      <c r="H37" s="224" t="str">
        <f>LEFT(E37,3)</f>
        <v>sev</v>
      </c>
    </row>
    <row r="38">
      <c r="B38" s="226"/>
      <c r="C38" s="227"/>
      <c r="D38" s="227"/>
      <c r="E38" s="227"/>
      <c r="F38" s="227"/>
      <c r="G38" s="227"/>
      <c r="H38" s="228"/>
    </row>
    <row r="39">
      <c r="B39" s="225"/>
      <c r="C39" s="14"/>
      <c r="D39" s="14"/>
      <c r="E39" s="14"/>
      <c r="F39" s="14"/>
      <c r="G39" s="14"/>
      <c r="H39" s="224"/>
    </row>
    <row r="40">
      <c r="B40" s="221">
        <v>6.0</v>
      </c>
      <c r="C40" s="222" t="s">
        <v>123</v>
      </c>
      <c r="D40" s="223">
        <v>1.0</v>
      </c>
      <c r="E40" s="223" t="s">
        <v>1488</v>
      </c>
      <c r="F40" s="14"/>
      <c r="G40" s="223" t="s">
        <v>1489</v>
      </c>
      <c r="H40" s="224" t="str">
        <f>RIGHT(E40,5)</f>
        <v>adesh</v>
      </c>
    </row>
    <row r="41">
      <c r="B41" s="225"/>
      <c r="C41" s="14"/>
      <c r="D41" s="223">
        <v>2.0</v>
      </c>
      <c r="E41" s="223" t="s">
        <v>1490</v>
      </c>
      <c r="F41" s="14"/>
      <c r="G41" s="223" t="s">
        <v>1491</v>
      </c>
      <c r="H41" s="224" t="str">
        <f>RIGHT(E41,4)</f>
        <v>Iran</v>
      </c>
    </row>
    <row r="42">
      <c r="B42" s="225"/>
      <c r="C42" s="14"/>
      <c r="D42" s="223">
        <v>3.0</v>
      </c>
      <c r="E42" s="223" t="s">
        <v>445</v>
      </c>
      <c r="F42" s="14"/>
      <c r="G42" s="223" t="s">
        <v>1492</v>
      </c>
      <c r="H42" s="224" t="str">
        <f>RIGHT(E42,2)</f>
        <v>na</v>
      </c>
    </row>
    <row r="43">
      <c r="B43" s="225"/>
      <c r="C43" s="14"/>
      <c r="D43" s="223">
        <v>4.0</v>
      </c>
      <c r="E43" s="223" t="s">
        <v>424</v>
      </c>
      <c r="F43" s="14"/>
      <c r="G43" s="223" t="s">
        <v>813</v>
      </c>
      <c r="H43" s="224" t="str">
        <f>RIGHT(E43,4)</f>
        <v>audi</v>
      </c>
    </row>
    <row r="44">
      <c r="B44" s="225"/>
      <c r="C44" s="14"/>
      <c r="D44" s="223">
        <v>5.0</v>
      </c>
      <c r="E44" s="223" t="s">
        <v>1493</v>
      </c>
      <c r="F44" s="14"/>
      <c r="G44" s="223" t="s">
        <v>1494</v>
      </c>
      <c r="H44" s="224" t="str">
        <f>RIGHT(E44,2)</f>
        <v>ia</v>
      </c>
    </row>
    <row r="45">
      <c r="B45" s="226"/>
      <c r="C45" s="227"/>
      <c r="D45" s="227"/>
      <c r="E45" s="227"/>
      <c r="F45" s="227"/>
      <c r="G45" s="227"/>
      <c r="H45" s="228"/>
    </row>
    <row r="46">
      <c r="B46" s="225"/>
      <c r="C46" s="14"/>
      <c r="D46" s="14"/>
      <c r="E46" s="14"/>
      <c r="F46" s="14"/>
      <c r="G46" s="14"/>
      <c r="H46" s="224"/>
    </row>
    <row r="47">
      <c r="B47" s="221">
        <v>7.0</v>
      </c>
      <c r="C47" s="222" t="s">
        <v>90</v>
      </c>
      <c r="D47" s="223">
        <v>1.0</v>
      </c>
      <c r="E47" s="223" t="s">
        <v>1495</v>
      </c>
      <c r="F47" s="14"/>
      <c r="G47" s="223" t="s">
        <v>1496</v>
      </c>
      <c r="H47" s="224" t="str">
        <f>MID(E47,3,7)</f>
        <v> demon</v>
      </c>
    </row>
    <row r="48">
      <c r="B48" s="225"/>
      <c r="C48" s="14"/>
      <c r="D48" s="223">
        <v>2.0</v>
      </c>
      <c r="E48" s="223" t="s">
        <v>1497</v>
      </c>
      <c r="F48" s="14"/>
      <c r="G48" s="223" t="s">
        <v>1498</v>
      </c>
      <c r="H48" s="224" t="str">
        <f>MID(E48,4,6)</f>
        <v>den lo</v>
      </c>
    </row>
    <row r="49">
      <c r="B49" s="225"/>
      <c r="C49" s="14"/>
      <c r="D49" s="223">
        <v>3.0</v>
      </c>
      <c r="E49" s="223" t="s">
        <v>1499</v>
      </c>
      <c r="F49" s="14"/>
      <c r="G49" s="223" t="s">
        <v>1500</v>
      </c>
      <c r="H49" s="224" t="str">
        <f t="shared" ref="H49:H50" si="4">MID(E49,4,8)</f>
        <v>e beauty</v>
      </c>
    </row>
    <row r="50">
      <c r="B50" s="225"/>
      <c r="C50" s="14"/>
      <c r="D50" s="223">
        <v>4.0</v>
      </c>
      <c r="E50" s="223" t="s">
        <v>1501</v>
      </c>
      <c r="F50" s="14"/>
      <c r="G50" s="223" t="s">
        <v>1502</v>
      </c>
      <c r="H50" s="224" t="str">
        <f t="shared" si="4"/>
        <v>sness pr</v>
      </c>
    </row>
    <row r="51">
      <c r="B51" s="225"/>
      <c r="C51" s="14"/>
      <c r="D51" s="223">
        <v>5.0</v>
      </c>
      <c r="E51" s="223" t="s">
        <v>1503</v>
      </c>
      <c r="F51" s="14"/>
      <c r="G51" s="223" t="s">
        <v>1504</v>
      </c>
      <c r="H51" s="224" t="str">
        <f>MID(E51,2,4)</f>
        <v>en Z</v>
      </c>
    </row>
    <row r="52">
      <c r="B52" s="226"/>
      <c r="C52" s="227"/>
      <c r="D52" s="227"/>
      <c r="E52" s="227"/>
      <c r="F52" s="227"/>
      <c r="G52" s="227"/>
      <c r="H52" s="228"/>
    </row>
    <row r="53">
      <c r="B53" s="225"/>
      <c r="C53" s="14"/>
      <c r="D53" s="14"/>
      <c r="E53" s="14"/>
      <c r="F53" s="14"/>
      <c r="G53" s="14"/>
      <c r="H53" s="224"/>
    </row>
    <row r="54">
      <c r="B54" s="221">
        <v>8.0</v>
      </c>
      <c r="C54" s="222" t="s">
        <v>79</v>
      </c>
      <c r="D54" s="223">
        <v>1.0</v>
      </c>
      <c r="E54" s="223" t="s">
        <v>1505</v>
      </c>
      <c r="F54" s="14"/>
      <c r="G54" s="223" t="s">
        <v>87</v>
      </c>
      <c r="H54" s="224" t="str">
        <f t="shared" ref="H54:H58" si="5">LOWER(E54)</f>
        <v>katrina</v>
      </c>
    </row>
    <row r="55">
      <c r="B55" s="225"/>
      <c r="C55" s="14"/>
      <c r="D55" s="223">
        <v>2.0</v>
      </c>
      <c r="E55" s="223" t="s">
        <v>1506</v>
      </c>
      <c r="F55" s="14"/>
      <c r="G55" s="223" t="s">
        <v>89</v>
      </c>
      <c r="H55" s="224" t="str">
        <f t="shared" si="5"/>
        <v>hania</v>
      </c>
    </row>
    <row r="56">
      <c r="B56" s="225"/>
      <c r="C56" s="14"/>
      <c r="D56" s="223">
        <v>3.0</v>
      </c>
      <c r="E56" s="223" t="s">
        <v>1507</v>
      </c>
      <c r="F56" s="14"/>
      <c r="G56" s="223" t="s">
        <v>1508</v>
      </c>
      <c r="H56" s="224" t="str">
        <f t="shared" si="5"/>
        <v>mahira</v>
      </c>
    </row>
    <row r="57">
      <c r="B57" s="225"/>
      <c r="C57" s="14"/>
      <c r="D57" s="223">
        <v>4.0</v>
      </c>
      <c r="E57" s="223" t="s">
        <v>1509</v>
      </c>
      <c r="F57" s="14"/>
      <c r="G57" s="223" t="s">
        <v>1059</v>
      </c>
      <c r="H57" s="224" t="str">
        <f t="shared" si="5"/>
        <v>yumna</v>
      </c>
    </row>
    <row r="58">
      <c r="B58" s="225"/>
      <c r="C58" s="14"/>
      <c r="D58" s="223">
        <v>5.0</v>
      </c>
      <c r="E58" s="223" t="s">
        <v>1510</v>
      </c>
      <c r="F58" s="14"/>
      <c r="G58" s="223" t="s">
        <v>1061</v>
      </c>
      <c r="H58" s="224" t="str">
        <f t="shared" si="5"/>
        <v>dananeer</v>
      </c>
    </row>
    <row r="59">
      <c r="B59" s="226"/>
      <c r="C59" s="227"/>
      <c r="D59" s="227"/>
      <c r="E59" s="227"/>
      <c r="F59" s="227"/>
      <c r="G59" s="227"/>
      <c r="H59" s="228"/>
    </row>
    <row r="60">
      <c r="B60" s="225"/>
      <c r="C60" s="14"/>
      <c r="D60" s="14"/>
      <c r="E60" s="14"/>
      <c r="F60" s="14"/>
      <c r="G60" s="14"/>
      <c r="H60" s="224"/>
    </row>
    <row r="61">
      <c r="B61" s="221">
        <v>9.0</v>
      </c>
      <c r="C61" s="222" t="s">
        <v>134</v>
      </c>
      <c r="D61" s="223">
        <v>1.0</v>
      </c>
      <c r="E61" s="223" t="s">
        <v>1511</v>
      </c>
      <c r="F61" s="14"/>
      <c r="G61" s="223" t="s">
        <v>1512</v>
      </c>
      <c r="H61" s="224" t="str">
        <f t="shared" ref="H61:H65" si="6">UPPER(E61)</f>
        <v>DANISH</v>
      </c>
    </row>
    <row r="62">
      <c r="B62" s="225"/>
      <c r="C62" s="14"/>
      <c r="D62" s="223">
        <v>2.0</v>
      </c>
      <c r="E62" s="223" t="s">
        <v>1513</v>
      </c>
      <c r="F62" s="14"/>
      <c r="G62" s="223" t="s">
        <v>1514</v>
      </c>
      <c r="H62" s="224" t="str">
        <f t="shared" si="6"/>
        <v>USMAN</v>
      </c>
    </row>
    <row r="63">
      <c r="B63" s="225"/>
      <c r="C63" s="14"/>
      <c r="D63" s="223">
        <v>3.0</v>
      </c>
      <c r="E63" s="223" t="s">
        <v>1515</v>
      </c>
      <c r="F63" s="14"/>
      <c r="G63" s="223" t="s">
        <v>1068</v>
      </c>
      <c r="H63" s="224" t="str">
        <f t="shared" si="6"/>
        <v>BILAL ABBAS</v>
      </c>
    </row>
    <row r="64">
      <c r="B64" s="225"/>
      <c r="C64" s="14"/>
      <c r="D64" s="223">
        <v>4.0</v>
      </c>
      <c r="E64" s="223" t="s">
        <v>1516</v>
      </c>
      <c r="F64" s="14"/>
      <c r="G64" s="223" t="s">
        <v>1069</v>
      </c>
      <c r="H64" s="224" t="str">
        <f t="shared" si="6"/>
        <v>SALMAN KHAN</v>
      </c>
    </row>
    <row r="65">
      <c r="B65" s="225"/>
      <c r="C65" s="14"/>
      <c r="D65" s="223">
        <v>5.0</v>
      </c>
      <c r="E65" s="223" t="s">
        <v>1517</v>
      </c>
      <c r="F65" s="14"/>
      <c r="G65" s="223" t="s">
        <v>1070</v>
      </c>
      <c r="H65" s="224" t="str">
        <f t="shared" si="6"/>
        <v>SHAHNAWAZ ALI</v>
      </c>
    </row>
    <row r="66">
      <c r="B66" s="226"/>
      <c r="C66" s="227"/>
      <c r="D66" s="227"/>
      <c r="E66" s="227"/>
      <c r="F66" s="227"/>
      <c r="G66" s="227"/>
      <c r="H66" s="228"/>
    </row>
    <row r="67">
      <c r="B67" s="225"/>
      <c r="C67" s="14"/>
      <c r="D67" s="14"/>
      <c r="E67" s="14"/>
      <c r="F67" s="14"/>
      <c r="G67" s="14"/>
      <c r="H67" s="224"/>
    </row>
    <row r="68">
      <c r="B68" s="221">
        <v>10.0</v>
      </c>
      <c r="C68" s="222" t="s">
        <v>68</v>
      </c>
      <c r="D68" s="223">
        <v>1.0</v>
      </c>
      <c r="E68" s="223" t="s">
        <v>1518</v>
      </c>
      <c r="F68" s="14"/>
      <c r="G68" s="223" t="s">
        <v>1519</v>
      </c>
      <c r="H68" s="224">
        <f t="shared" ref="H68:H72" si="7">LEN(E68)</f>
        <v>11</v>
      </c>
    </row>
    <row r="69">
      <c r="B69" s="225"/>
      <c r="C69" s="14"/>
      <c r="D69" s="223">
        <v>2.0</v>
      </c>
      <c r="E69" s="223" t="s">
        <v>1520</v>
      </c>
      <c r="F69" s="14"/>
      <c r="G69" s="223" t="s">
        <v>1521</v>
      </c>
      <c r="H69" s="224">
        <f t="shared" si="7"/>
        <v>9</v>
      </c>
    </row>
    <row r="70">
      <c r="B70" s="225"/>
      <c r="C70" s="14"/>
      <c r="D70" s="223">
        <v>3.0</v>
      </c>
      <c r="E70" s="223" t="s">
        <v>1522</v>
      </c>
      <c r="F70" s="14"/>
      <c r="G70" s="223" t="s">
        <v>1523</v>
      </c>
      <c r="H70" s="224">
        <f t="shared" si="7"/>
        <v>13</v>
      </c>
    </row>
    <row r="71">
      <c r="B71" s="225"/>
      <c r="C71" s="14"/>
      <c r="D71" s="223">
        <v>4.0</v>
      </c>
      <c r="E71" s="223" t="s">
        <v>1524</v>
      </c>
      <c r="F71" s="14"/>
      <c r="G71" s="223" t="s">
        <v>1525</v>
      </c>
      <c r="H71" s="224">
        <f t="shared" si="7"/>
        <v>17</v>
      </c>
    </row>
    <row r="72">
      <c r="B72" s="225"/>
      <c r="C72" s="14"/>
      <c r="D72" s="223">
        <v>5.0</v>
      </c>
      <c r="E72" s="223" t="s">
        <v>1526</v>
      </c>
      <c r="F72" s="14"/>
      <c r="G72" s="223" t="s">
        <v>1527</v>
      </c>
      <c r="H72" s="224">
        <f t="shared" si="7"/>
        <v>11</v>
      </c>
    </row>
    <row r="73">
      <c r="B73" s="225"/>
      <c r="C73" s="14"/>
      <c r="D73" s="14"/>
      <c r="E73" s="14"/>
      <c r="F73" s="14"/>
      <c r="G73" s="14"/>
      <c r="H73" s="224"/>
    </row>
    <row r="74">
      <c r="B74" s="229"/>
      <c r="C74" s="230"/>
      <c r="D74" s="230"/>
      <c r="E74" s="230"/>
      <c r="F74" s="230"/>
      <c r="G74" s="230"/>
      <c r="H74" s="220"/>
    </row>
    <row r="75">
      <c r="B75" s="221">
        <v>11.0</v>
      </c>
      <c r="C75" s="222" t="s">
        <v>112</v>
      </c>
      <c r="D75" s="223">
        <v>1.0</v>
      </c>
      <c r="E75" s="223" t="s">
        <v>1528</v>
      </c>
      <c r="F75" s="14"/>
      <c r="G75" s="223" t="s">
        <v>1529</v>
      </c>
      <c r="H75" s="224" t="str">
        <f>REPLACE(E75,5,7,"book")</f>
        <v>notebook</v>
      </c>
    </row>
    <row r="76">
      <c r="B76" s="225"/>
      <c r="C76" s="14"/>
      <c r="D76" s="223">
        <v>2.0</v>
      </c>
      <c r="E76" s="223" t="s">
        <v>1530</v>
      </c>
      <c r="F76" s="14"/>
      <c r="G76" s="223" t="s">
        <v>1531</v>
      </c>
      <c r="H76" s="224" t="str">
        <f>REPLACE(E76,6,11," newton")</f>
        <v>isaac newton</v>
      </c>
    </row>
    <row r="77">
      <c r="B77" s="225"/>
      <c r="C77" s="14"/>
      <c r="D77" s="223">
        <v>3.0</v>
      </c>
      <c r="E77" s="223" t="s">
        <v>1532</v>
      </c>
      <c r="F77" s="14"/>
      <c r="G77" s="223" t="s">
        <v>1533</v>
      </c>
      <c r="H77" s="224" t="str">
        <f>REPLACE(E77,6,11," kohli")</f>
        <v>virat kohli</v>
      </c>
    </row>
    <row r="78">
      <c r="B78" s="225"/>
      <c r="C78" s="14"/>
      <c r="D78" s="223">
        <v>4.0</v>
      </c>
      <c r="E78" s="223" t="s">
        <v>1534</v>
      </c>
      <c r="F78" s="14"/>
      <c r="G78" s="223" t="s">
        <v>1535</v>
      </c>
      <c r="H78" s="224" t="str">
        <f>REPLACE(E78,6,10," sharma")</f>
        <v>rohit sharma</v>
      </c>
    </row>
    <row r="79">
      <c r="B79" s="225"/>
      <c r="C79" s="14"/>
      <c r="D79" s="223">
        <v>5.0</v>
      </c>
      <c r="E79" s="223" t="s">
        <v>1536</v>
      </c>
      <c r="F79" s="14"/>
      <c r="G79" s="223" t="s">
        <v>1537</v>
      </c>
      <c r="H79" s="224" t="str">
        <f>REPLACE(E79,3,6," Dhoni")</f>
        <v>MS Dhoni</v>
      </c>
    </row>
    <row r="80">
      <c r="B80" s="226"/>
      <c r="C80" s="227"/>
      <c r="D80" s="227"/>
      <c r="E80" s="227"/>
      <c r="F80" s="227"/>
      <c r="G80" s="227"/>
      <c r="H80" s="228"/>
    </row>
    <row r="81">
      <c r="B81" s="225"/>
      <c r="C81" s="14"/>
      <c r="D81" s="14"/>
      <c r="E81" s="14"/>
      <c r="F81" s="14"/>
      <c r="G81" s="14"/>
      <c r="H81" s="224"/>
    </row>
    <row r="82">
      <c r="B82" s="221">
        <v>12.0</v>
      </c>
      <c r="C82" s="222" t="s">
        <v>101</v>
      </c>
      <c r="D82" s="223">
        <v>1.0</v>
      </c>
      <c r="E82" s="223" t="s">
        <v>1538</v>
      </c>
      <c r="F82" s="14"/>
      <c r="G82" s="223" t="s">
        <v>1539</v>
      </c>
      <c r="H82" s="224" t="str">
        <f t="shared" ref="H82:H86" si="8">PROPER(E82)</f>
        <v>Shifa Qazii</v>
      </c>
    </row>
    <row r="83">
      <c r="B83" s="225"/>
      <c r="C83" s="14"/>
      <c r="D83" s="223">
        <v>2.0</v>
      </c>
      <c r="E83" s="223" t="s">
        <v>1540</v>
      </c>
      <c r="F83" s="14"/>
      <c r="G83" s="223" t="s">
        <v>1541</v>
      </c>
      <c r="H83" s="224" t="str">
        <f t="shared" si="8"/>
        <v>Kausar Qazii</v>
      </c>
    </row>
    <row r="84">
      <c r="B84" s="225"/>
      <c r="C84" s="14"/>
      <c r="D84" s="223">
        <v>3.0</v>
      </c>
      <c r="E84" s="223" t="s">
        <v>1542</v>
      </c>
      <c r="F84" s="14"/>
      <c r="G84" s="223" t="s">
        <v>1543</v>
      </c>
      <c r="H84" s="224" t="str">
        <f t="shared" si="8"/>
        <v>Saif Qazii</v>
      </c>
    </row>
    <row r="85">
      <c r="B85" s="225"/>
      <c r="C85" s="14"/>
      <c r="D85" s="223">
        <v>4.0</v>
      </c>
      <c r="E85" s="223" t="s">
        <v>1544</v>
      </c>
      <c r="F85" s="14"/>
      <c r="G85" s="223" t="s">
        <v>1545</v>
      </c>
      <c r="H85" s="224" t="str">
        <f t="shared" si="8"/>
        <v>Faiyaz Qazii</v>
      </c>
    </row>
    <row r="86">
      <c r="B86" s="226"/>
      <c r="C86" s="227"/>
      <c r="D86" s="231">
        <v>5.0</v>
      </c>
      <c r="E86" s="231" t="s">
        <v>1546</v>
      </c>
      <c r="F86" s="227"/>
      <c r="G86" s="231" t="s">
        <v>1547</v>
      </c>
      <c r="H86" s="228" t="str">
        <f t="shared" si="8"/>
        <v>Azim Qaazii</v>
      </c>
    </row>
  </sheetData>
  <hyperlinks>
    <hyperlink r:id="rId1" ref="B3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75"/>
    <col customWidth="1" min="4" max="4" width="17.88"/>
    <col customWidth="1" min="6" max="6" width="15.88"/>
    <col customWidth="1" min="7" max="7" width="27.0"/>
    <col customWidth="1" min="8" max="8" width="24.0"/>
  </cols>
  <sheetData>
    <row r="1">
      <c r="A1" s="1" t="s">
        <v>1548</v>
      </c>
      <c r="G1" s="232"/>
    </row>
    <row r="4">
      <c r="C4" s="233" t="s">
        <v>229</v>
      </c>
      <c r="D4" s="234" t="s">
        <v>146</v>
      </c>
      <c r="E4" s="235" t="s">
        <v>230</v>
      </c>
      <c r="F4" s="235"/>
      <c r="G4" s="234" t="s">
        <v>231</v>
      </c>
      <c r="H4" s="234" t="s">
        <v>149</v>
      </c>
    </row>
    <row r="5">
      <c r="C5" s="236"/>
      <c r="D5" s="236"/>
      <c r="E5" s="139"/>
      <c r="F5" s="139"/>
      <c r="G5" s="139"/>
      <c r="H5" s="139"/>
    </row>
    <row r="6">
      <c r="C6" s="161">
        <v>1.0</v>
      </c>
      <c r="D6" s="237" t="s">
        <v>1549</v>
      </c>
      <c r="E6" s="140" t="s">
        <v>436</v>
      </c>
      <c r="F6" s="140" t="s">
        <v>1550</v>
      </c>
      <c r="G6" s="140" t="s">
        <v>1551</v>
      </c>
      <c r="H6" s="139" t="str">
        <f t="shared" ref="H6:H7" si="1">CONCAT(E6,F6)</f>
        <v>ElectricMotor</v>
      </c>
    </row>
    <row r="7">
      <c r="C7" s="236"/>
      <c r="D7" s="236"/>
      <c r="E7" s="140" t="s">
        <v>1552</v>
      </c>
      <c r="F7" s="140" t="s">
        <v>1553</v>
      </c>
      <c r="G7" s="140" t="s">
        <v>1447</v>
      </c>
      <c r="H7" s="139" t="str">
        <f t="shared" si="1"/>
        <v>Air conditionar</v>
      </c>
    </row>
    <row r="8">
      <c r="C8" s="236"/>
      <c r="D8" s="236"/>
      <c r="E8" s="140" t="s">
        <v>893</v>
      </c>
      <c r="F8" s="140" t="s">
        <v>1554</v>
      </c>
      <c r="G8" s="140" t="s">
        <v>1555</v>
      </c>
      <c r="H8" s="139" t="str">
        <f> CONCAT(E8,F8)</f>
        <v>coffeeMaker</v>
      </c>
    </row>
    <row r="9">
      <c r="C9" s="236"/>
      <c r="D9" s="236"/>
      <c r="E9" s="140" t="s">
        <v>1556</v>
      </c>
      <c r="F9" s="140" t="s">
        <v>1557</v>
      </c>
      <c r="G9" s="140" t="s">
        <v>1558</v>
      </c>
      <c r="H9" s="139" t="str">
        <f>CONCAT(E9,F9)</f>
        <v>WaterPump</v>
      </c>
    </row>
    <row r="10">
      <c r="C10" s="236"/>
      <c r="D10" s="236"/>
      <c r="E10" s="140" t="s">
        <v>1559</v>
      </c>
      <c r="F10" s="140" t="s">
        <v>784</v>
      </c>
      <c r="G10" s="140" t="s">
        <v>1560</v>
      </c>
      <c r="H10" s="139" t="str">
        <f> CONCAT(E10,F10)</f>
        <v>WashingMachine</v>
      </c>
    </row>
    <row r="11">
      <c r="C11" s="236"/>
      <c r="D11" s="236"/>
      <c r="E11" s="139"/>
      <c r="F11" s="139"/>
      <c r="G11" s="139"/>
      <c r="H11" s="139"/>
    </row>
    <row r="12">
      <c r="C12" s="236"/>
      <c r="D12" s="236"/>
      <c r="E12" s="139"/>
      <c r="F12" s="139"/>
      <c r="G12" s="139"/>
      <c r="H12" s="139"/>
    </row>
    <row r="13">
      <c r="C13" s="161">
        <v>2.0</v>
      </c>
      <c r="D13" s="238" t="s">
        <v>6</v>
      </c>
      <c r="E13" s="140" t="s">
        <v>1561</v>
      </c>
      <c r="F13" s="139"/>
      <c r="G13" s="140" t="s">
        <v>1456</v>
      </c>
      <c r="H13" s="139" t="str">
        <f>CLEAN((E13))</f>
        <v>Pen</v>
      </c>
    </row>
    <row r="14">
      <c r="C14" s="236"/>
      <c r="D14" s="236"/>
      <c r="E14" s="140" t="s">
        <v>630</v>
      </c>
      <c r="F14" s="139"/>
      <c r="G14" s="140" t="s">
        <v>1562</v>
      </c>
      <c r="H14" s="139" t="str">
        <f t="shared" ref="H14:H17" si="2">CLEAN(E14)</f>
        <v>Laptop</v>
      </c>
    </row>
    <row r="15">
      <c r="C15" s="236"/>
      <c r="D15" s="236"/>
      <c r="E15" s="140" t="s">
        <v>1270</v>
      </c>
      <c r="F15" s="139"/>
      <c r="G15" s="140" t="s">
        <v>1459</v>
      </c>
      <c r="H15" s="139" t="str">
        <f t="shared" si="2"/>
        <v>Computer</v>
      </c>
    </row>
    <row r="16">
      <c r="C16" s="236"/>
      <c r="D16" s="236"/>
      <c r="E16" s="140" t="s">
        <v>1563</v>
      </c>
      <c r="F16" s="139"/>
      <c r="G16" s="140" t="s">
        <v>1564</v>
      </c>
      <c r="H16" s="139" t="str">
        <f t="shared" si="2"/>
        <v>Mobile</v>
      </c>
    </row>
    <row r="17">
      <c r="C17" s="236"/>
      <c r="D17" s="236"/>
      <c r="E17" s="140" t="s">
        <v>1565</v>
      </c>
      <c r="F17" s="139"/>
      <c r="G17" s="140" t="s">
        <v>1566</v>
      </c>
      <c r="H17" s="139" t="str">
        <f t="shared" si="2"/>
        <v>CPU</v>
      </c>
    </row>
    <row r="18">
      <c r="C18" s="236"/>
      <c r="D18" s="236"/>
      <c r="E18" s="139"/>
      <c r="F18" s="139"/>
      <c r="G18" s="139"/>
      <c r="H18" s="139"/>
    </row>
    <row r="19">
      <c r="C19" s="161">
        <v>3.0</v>
      </c>
      <c r="D19" s="238" t="s">
        <v>44</v>
      </c>
      <c r="E19" s="140" t="s">
        <v>634</v>
      </c>
      <c r="F19" s="140" t="s">
        <v>165</v>
      </c>
      <c r="G19" s="140" t="s">
        <v>1462</v>
      </c>
      <c r="H19" s="236" t="b">
        <f t="shared" ref="H19:H23" si="3">EXACT(E19,F19)</f>
        <v>0</v>
      </c>
    </row>
    <row r="20">
      <c r="C20" s="236"/>
      <c r="D20" s="236"/>
      <c r="E20" s="140" t="s">
        <v>45</v>
      </c>
      <c r="F20" s="140" t="s">
        <v>45</v>
      </c>
      <c r="G20" s="140" t="s">
        <v>1463</v>
      </c>
      <c r="H20" s="236" t="b">
        <f t="shared" si="3"/>
        <v>1</v>
      </c>
    </row>
    <row r="21">
      <c r="C21" s="236"/>
      <c r="D21" s="236"/>
      <c r="E21" s="140" t="s">
        <v>1064</v>
      </c>
      <c r="F21" s="140" t="s">
        <v>1567</v>
      </c>
      <c r="G21" s="140" t="s">
        <v>1466</v>
      </c>
      <c r="H21" s="236" t="b">
        <f t="shared" si="3"/>
        <v>0</v>
      </c>
    </row>
    <row r="22">
      <c r="C22" s="236"/>
      <c r="D22" s="236"/>
      <c r="E22" s="140" t="s">
        <v>1032</v>
      </c>
      <c r="F22" s="140" t="s">
        <v>1032</v>
      </c>
      <c r="G22" s="140" t="s">
        <v>1467</v>
      </c>
      <c r="H22" s="236" t="b">
        <f t="shared" si="3"/>
        <v>1</v>
      </c>
    </row>
    <row r="23">
      <c r="C23" s="236"/>
      <c r="D23" s="236"/>
      <c r="E23" s="140" t="s">
        <v>1568</v>
      </c>
      <c r="F23" s="140" t="s">
        <v>1569</v>
      </c>
      <c r="G23" s="140" t="s">
        <v>1469</v>
      </c>
      <c r="H23" s="236" t="b">
        <f t="shared" si="3"/>
        <v>0</v>
      </c>
    </row>
    <row r="24">
      <c r="C24" s="236"/>
      <c r="D24" s="236"/>
      <c r="E24" s="139"/>
      <c r="F24" s="139"/>
      <c r="G24" s="139"/>
      <c r="H24" s="139"/>
    </row>
    <row r="25">
      <c r="C25" s="161">
        <v>4.0</v>
      </c>
      <c r="D25" s="239" t="s">
        <v>33</v>
      </c>
      <c r="E25" s="140" t="s">
        <v>1570</v>
      </c>
      <c r="F25" s="139"/>
      <c r="G25" s="140" t="s">
        <v>1571</v>
      </c>
      <c r="H25" s="240">
        <f>FIND("b",E25,5)</f>
        <v>5</v>
      </c>
    </row>
    <row r="26">
      <c r="C26" s="236"/>
      <c r="D26" s="236"/>
      <c r="E26" s="140" t="s">
        <v>926</v>
      </c>
      <c r="F26" s="139"/>
      <c r="G26" s="140" t="s">
        <v>1572</v>
      </c>
      <c r="H26" s="240">
        <f>FIND("i",E26,2)</f>
        <v>2</v>
      </c>
    </row>
    <row r="27">
      <c r="C27" s="236"/>
      <c r="D27" s="236"/>
      <c r="E27" s="140" t="s">
        <v>922</v>
      </c>
      <c r="F27" s="139"/>
      <c r="G27" s="140" t="s">
        <v>1573</v>
      </c>
      <c r="H27" s="240">
        <f>FIND("d",E27,4)</f>
        <v>4</v>
      </c>
    </row>
    <row r="28">
      <c r="C28" s="236"/>
      <c r="D28" s="236"/>
      <c r="E28" s="140" t="s">
        <v>929</v>
      </c>
      <c r="F28" s="139"/>
      <c r="G28" s="140" t="s">
        <v>1574</v>
      </c>
      <c r="H28" s="240">
        <f>FIND("o",E28,7)</f>
        <v>7</v>
      </c>
    </row>
    <row r="29">
      <c r="C29" s="236"/>
      <c r="D29" s="236"/>
      <c r="E29" s="140" t="s">
        <v>1575</v>
      </c>
      <c r="F29" s="139"/>
      <c r="G29" s="140" t="s">
        <v>1576</v>
      </c>
      <c r="H29" s="240">
        <f>FIND("k",E29,8)</f>
        <v>8</v>
      </c>
    </row>
    <row r="30">
      <c r="C30" s="236"/>
      <c r="D30" s="236"/>
      <c r="E30" s="139"/>
      <c r="F30" s="139"/>
      <c r="G30" s="139"/>
      <c r="H30" s="139"/>
    </row>
    <row r="31">
      <c r="C31" s="161">
        <v>5.0</v>
      </c>
      <c r="D31" s="241" t="s">
        <v>57</v>
      </c>
      <c r="E31" s="140" t="s">
        <v>1577</v>
      </c>
      <c r="F31" s="139"/>
      <c r="G31" s="140" t="s">
        <v>1578</v>
      </c>
      <c r="H31" s="139" t="str">
        <f>LEFT(E31,2)</f>
        <v>TC</v>
      </c>
    </row>
    <row r="32">
      <c r="C32" s="236"/>
      <c r="D32" s="236"/>
      <c r="E32" s="140" t="s">
        <v>1579</v>
      </c>
      <c r="F32" s="139"/>
      <c r="G32" s="140" t="s">
        <v>1580</v>
      </c>
      <c r="H32" s="139" t="str">
        <f>LEFT(E32,4)</f>
        <v>Reli</v>
      </c>
    </row>
    <row r="33">
      <c r="C33" s="236"/>
      <c r="D33" s="236"/>
      <c r="E33" s="140" t="s">
        <v>1581</v>
      </c>
      <c r="F33" s="139"/>
      <c r="G33" s="140" t="s">
        <v>1582</v>
      </c>
      <c r="H33" s="139" t="str">
        <f>LEFT(E33,3)</f>
        <v>Len</v>
      </c>
    </row>
    <row r="34">
      <c r="C34" s="236"/>
      <c r="D34" s="236"/>
      <c r="E34" s="140" t="s">
        <v>1583</v>
      </c>
      <c r="F34" s="139"/>
      <c r="G34" s="140" t="s">
        <v>1584</v>
      </c>
      <c r="H34" s="139" t="str">
        <f>LEFT(E34,4)</f>
        <v>Niko</v>
      </c>
    </row>
    <row r="35">
      <c r="C35" s="236"/>
      <c r="D35" s="236"/>
      <c r="E35" s="140" t="s">
        <v>1585</v>
      </c>
      <c r="F35" s="139"/>
      <c r="G35" s="140" t="s">
        <v>1586</v>
      </c>
      <c r="H35" s="139" t="str">
        <f>LEFT(E35,6)</f>
        <v>Samsun</v>
      </c>
    </row>
    <row r="36">
      <c r="C36" s="236"/>
      <c r="D36" s="236"/>
      <c r="E36" s="139"/>
      <c r="F36" s="139"/>
      <c r="G36" s="139"/>
      <c r="H36" s="139"/>
    </row>
    <row r="37">
      <c r="C37" s="161">
        <v>6.0</v>
      </c>
      <c r="D37" s="241" t="s">
        <v>123</v>
      </c>
      <c r="E37" s="140" t="s">
        <v>387</v>
      </c>
      <c r="F37" s="139"/>
      <c r="G37" s="140" t="s">
        <v>1587</v>
      </c>
      <c r="H37" s="139" t="str">
        <f>RIGHT(E37,3)</f>
        <v>bai</v>
      </c>
    </row>
    <row r="38">
      <c r="C38" s="236"/>
      <c r="D38" s="236"/>
      <c r="E38" s="140" t="s">
        <v>1588</v>
      </c>
      <c r="F38" s="139"/>
      <c r="G38" s="140" t="s">
        <v>1589</v>
      </c>
      <c r="H38" s="139" t="str">
        <f>RIGHT(E38,2)</f>
        <v>ur</v>
      </c>
    </row>
    <row r="39">
      <c r="C39" s="236"/>
      <c r="D39" s="236"/>
      <c r="E39" s="140" t="s">
        <v>382</v>
      </c>
      <c r="F39" s="139"/>
      <c r="G39" s="140" t="s">
        <v>1590</v>
      </c>
      <c r="H39" s="139" t="str">
        <f>RIGHT(E39,5)</f>
        <v>ennai</v>
      </c>
    </row>
    <row r="40">
      <c r="C40" s="236"/>
      <c r="D40" s="236"/>
      <c r="E40" s="140" t="s">
        <v>396</v>
      </c>
      <c r="F40" s="139"/>
      <c r="G40" s="140" t="s">
        <v>1591</v>
      </c>
      <c r="H40" s="139" t="str">
        <f>RIGHT(E40,7)</f>
        <v>derabad</v>
      </c>
    </row>
    <row r="41">
      <c r="C41" s="236"/>
      <c r="D41" s="236"/>
      <c r="E41" s="140" t="s">
        <v>1592</v>
      </c>
      <c r="F41" s="139"/>
      <c r="G41" s="139"/>
      <c r="H41" s="139" t="str">
        <f>RIGHT(E41,3)</f>
        <v>rat</v>
      </c>
    </row>
    <row r="42">
      <c r="C42" s="236"/>
      <c r="D42" s="236"/>
      <c r="E42" s="139"/>
      <c r="F42" s="139"/>
      <c r="G42" s="139"/>
      <c r="H42" s="139"/>
    </row>
    <row r="43">
      <c r="C43" s="161">
        <v>7.0</v>
      </c>
      <c r="D43" s="238" t="s">
        <v>79</v>
      </c>
      <c r="E43" s="140" t="s">
        <v>1593</v>
      </c>
      <c r="F43" s="139"/>
      <c r="G43" s="140" t="s">
        <v>1594</v>
      </c>
      <c r="H43" s="139" t="str">
        <f t="shared" ref="H43:H47" si="4">LOWER(E43)</f>
        <v>table</v>
      </c>
    </row>
    <row r="44">
      <c r="C44" s="236"/>
      <c r="D44" s="236"/>
      <c r="E44" s="140" t="s">
        <v>1595</v>
      </c>
      <c r="F44" s="139"/>
      <c r="G44" s="140" t="s">
        <v>1596</v>
      </c>
      <c r="H44" s="139" t="str">
        <f t="shared" si="4"/>
        <v>chair</v>
      </c>
    </row>
    <row r="45">
      <c r="C45" s="236"/>
      <c r="D45" s="236"/>
      <c r="E45" s="140" t="s">
        <v>1597</v>
      </c>
      <c r="F45" s="139"/>
      <c r="G45" s="140" t="s">
        <v>1598</v>
      </c>
      <c r="H45" s="139" t="str">
        <f t="shared" si="4"/>
        <v>fan</v>
      </c>
    </row>
    <row r="46">
      <c r="C46" s="236"/>
      <c r="D46" s="236"/>
      <c r="E46" s="140" t="s">
        <v>1599</v>
      </c>
      <c r="F46" s="139"/>
      <c r="G46" s="140" t="s">
        <v>1600</v>
      </c>
      <c r="H46" s="139" t="str">
        <f t="shared" si="4"/>
        <v>window</v>
      </c>
    </row>
    <row r="47">
      <c r="C47" s="236"/>
      <c r="D47" s="236"/>
      <c r="E47" s="140" t="s">
        <v>1601</v>
      </c>
      <c r="F47" s="139"/>
      <c r="G47" s="140" t="s">
        <v>1602</v>
      </c>
      <c r="H47" s="139" t="str">
        <f t="shared" si="4"/>
        <v>bottle</v>
      </c>
    </row>
    <row r="48">
      <c r="C48" s="236"/>
      <c r="D48" s="236"/>
      <c r="E48" s="139"/>
      <c r="F48" s="139"/>
      <c r="G48" s="139"/>
      <c r="H48" s="139"/>
    </row>
    <row r="49">
      <c r="C49" s="161">
        <v>8.0</v>
      </c>
      <c r="D49" s="239" t="s">
        <v>134</v>
      </c>
      <c r="E49" s="140" t="s">
        <v>1603</v>
      </c>
      <c r="F49" s="139"/>
      <c r="G49" s="140" t="s">
        <v>1604</v>
      </c>
      <c r="H49" s="139" t="str">
        <f t="shared" ref="H49:H53" si="5">UPPER(E49)</f>
        <v>PAPER</v>
      </c>
    </row>
    <row r="50">
      <c r="C50" s="236"/>
      <c r="D50" s="236"/>
      <c r="E50" s="140" t="s">
        <v>1605</v>
      </c>
      <c r="F50" s="139"/>
      <c r="G50" s="140" t="s">
        <v>1606</v>
      </c>
      <c r="H50" s="139" t="str">
        <f t="shared" si="5"/>
        <v>MARKER</v>
      </c>
    </row>
    <row r="51">
      <c r="C51" s="236"/>
      <c r="D51" s="236"/>
      <c r="E51" s="140" t="s">
        <v>1607</v>
      </c>
      <c r="F51" s="139"/>
      <c r="G51" s="140" t="s">
        <v>1608</v>
      </c>
      <c r="H51" s="139" t="str">
        <f t="shared" si="5"/>
        <v>FOLDER</v>
      </c>
    </row>
    <row r="52">
      <c r="C52" s="236"/>
      <c r="D52" s="236"/>
      <c r="E52" s="140" t="s">
        <v>1609</v>
      </c>
      <c r="F52" s="139"/>
      <c r="G52" s="140" t="s">
        <v>1610</v>
      </c>
      <c r="H52" s="139" t="str">
        <f t="shared" si="5"/>
        <v>CAR</v>
      </c>
    </row>
    <row r="53">
      <c r="C53" s="236"/>
      <c r="D53" s="236"/>
      <c r="E53" s="140" t="s">
        <v>1611</v>
      </c>
      <c r="F53" s="139"/>
      <c r="G53" s="140" t="s">
        <v>1612</v>
      </c>
      <c r="H53" s="139" t="str">
        <f t="shared" si="5"/>
        <v>FOOD</v>
      </c>
    </row>
    <row r="54">
      <c r="C54" s="236"/>
      <c r="D54" s="236"/>
      <c r="E54" s="139"/>
      <c r="F54" s="139"/>
      <c r="G54" s="139"/>
      <c r="H54" s="139"/>
    </row>
    <row r="55">
      <c r="C55" s="161">
        <v>9.0</v>
      </c>
      <c r="D55" s="239" t="s">
        <v>68</v>
      </c>
      <c r="E55" s="140" t="s">
        <v>1556</v>
      </c>
      <c r="F55" s="139"/>
      <c r="G55" s="140" t="s">
        <v>1058</v>
      </c>
      <c r="H55" s="240">
        <f t="shared" ref="H55:H59" si="6">LEN(E55)</f>
        <v>5</v>
      </c>
    </row>
    <row r="56">
      <c r="C56" s="236"/>
      <c r="D56" s="236"/>
      <c r="E56" s="140" t="s">
        <v>1613</v>
      </c>
      <c r="F56" s="139"/>
      <c r="G56" s="140" t="s">
        <v>1614</v>
      </c>
      <c r="H56" s="240">
        <f t="shared" si="6"/>
        <v>7</v>
      </c>
    </row>
    <row r="57">
      <c r="C57" s="236"/>
      <c r="D57" s="236"/>
      <c r="E57" s="140" t="s">
        <v>1615</v>
      </c>
      <c r="F57" s="139"/>
      <c r="G57" s="140" t="s">
        <v>1616</v>
      </c>
      <c r="H57" s="240">
        <f t="shared" si="6"/>
        <v>6</v>
      </c>
    </row>
    <row r="58">
      <c r="C58" s="236"/>
      <c r="D58" s="236"/>
      <c r="E58" s="140" t="s">
        <v>1617</v>
      </c>
      <c r="F58" s="139"/>
      <c r="G58" s="140" t="s">
        <v>1618</v>
      </c>
      <c r="H58" s="240">
        <f t="shared" si="6"/>
        <v>4</v>
      </c>
    </row>
    <row r="59">
      <c r="C59" s="236"/>
      <c r="D59" s="236"/>
      <c r="E59" s="140" t="s">
        <v>1021</v>
      </c>
      <c r="F59" s="139"/>
      <c r="G59" s="140" t="s">
        <v>1619</v>
      </c>
      <c r="H59" s="240">
        <f t="shared" si="6"/>
        <v>5</v>
      </c>
    </row>
    <row r="60">
      <c r="C60" s="236"/>
      <c r="D60" s="236"/>
      <c r="E60" s="139"/>
      <c r="F60" s="139"/>
      <c r="G60" s="139"/>
      <c r="H60" s="139"/>
    </row>
    <row r="61">
      <c r="C61" s="161">
        <v>10.0</v>
      </c>
      <c r="D61" s="239" t="s">
        <v>90</v>
      </c>
      <c r="E61" s="140" t="s">
        <v>1620</v>
      </c>
      <c r="F61" s="139"/>
      <c r="G61" s="140" t="s">
        <v>1621</v>
      </c>
      <c r="H61" s="139" t="str">
        <f>MID(E61,4,2)</f>
        <v>ba</v>
      </c>
    </row>
    <row r="62">
      <c r="C62" s="236"/>
      <c r="D62" s="236"/>
      <c r="E62" s="140" t="s">
        <v>1622</v>
      </c>
      <c r="F62" s="139"/>
      <c r="G62" s="140" t="s">
        <v>1623</v>
      </c>
      <c r="H62" s="139" t="str">
        <f>MID(E62,3,6)</f>
        <v>nuary</v>
      </c>
    </row>
    <row r="63">
      <c r="C63" s="236"/>
      <c r="D63" s="236"/>
      <c r="E63" s="140" t="s">
        <v>1624</v>
      </c>
      <c r="F63" s="139"/>
      <c r="G63" s="140" t="s">
        <v>1625</v>
      </c>
      <c r="H63" s="139" t="str">
        <f>MID(E63,5,7)</f>
        <v>table</v>
      </c>
    </row>
    <row r="64">
      <c r="C64" s="236"/>
      <c r="D64" s="236"/>
      <c r="E64" s="140" t="s">
        <v>1626</v>
      </c>
      <c r="F64" s="139"/>
      <c r="G64" s="140" t="s">
        <v>1627</v>
      </c>
      <c r="H64" s="139" t="str">
        <f>MID(E64,3,4)</f>
        <v>nth</v>
      </c>
    </row>
    <row r="65">
      <c r="C65" s="236"/>
      <c r="D65" s="236"/>
      <c r="E65" s="140" t="s">
        <v>1628</v>
      </c>
      <c r="F65" s="139"/>
      <c r="G65" s="140" t="s">
        <v>1629</v>
      </c>
      <c r="H65" s="139" t="str">
        <f>MID(E65,2,5)</f>
        <v>atch</v>
      </c>
    </row>
    <row r="66">
      <c r="C66" s="236"/>
      <c r="D66" s="236"/>
      <c r="E66" s="139"/>
      <c r="F66" s="139"/>
      <c r="G66" s="139"/>
      <c r="H66" s="139"/>
    </row>
    <row r="67">
      <c r="C67" s="161">
        <v>11.0</v>
      </c>
      <c r="D67" s="239" t="s">
        <v>112</v>
      </c>
      <c r="E67" s="140" t="s">
        <v>1630</v>
      </c>
      <c r="F67" s="139"/>
      <c r="G67" s="140" t="s">
        <v>1631</v>
      </c>
      <c r="H67" s="139" t="str">
        <f>REPLACE(E67,4,2,"n")</f>
        <v>Barnh</v>
      </c>
    </row>
    <row r="68">
      <c r="C68" s="236"/>
      <c r="D68" s="236"/>
      <c r="E68" s="140" t="s">
        <v>1632</v>
      </c>
      <c r="F68" s="139"/>
      <c r="G68" s="140" t="s">
        <v>1633</v>
      </c>
      <c r="H68" s="139" t="str">
        <f>REPLACE(E68,3,5,"v")</f>
        <v>Sav</v>
      </c>
    </row>
    <row r="69">
      <c r="C69" s="236"/>
      <c r="D69" s="236"/>
      <c r="E69" s="140" t="s">
        <v>1634</v>
      </c>
      <c r="F69" s="139"/>
      <c r="G69" s="140" t="s">
        <v>1635</v>
      </c>
      <c r="H69" s="139" t="str">
        <f>REPLACE(E69,4,6,"b")</f>
        <v>Pasb</v>
      </c>
    </row>
    <row r="70">
      <c r="C70" s="236"/>
      <c r="D70" s="236"/>
      <c r="E70" s="140" t="s">
        <v>1636</v>
      </c>
      <c r="F70" s="139"/>
      <c r="G70" s="140" t="s">
        <v>1637</v>
      </c>
      <c r="H70" s="139" t="str">
        <f>REPLACE(E70,6,3,"t")</f>
        <v>Custot</v>
      </c>
    </row>
    <row r="71">
      <c r="C71" s="236"/>
      <c r="D71" s="236"/>
      <c r="E71" s="140" t="s">
        <v>1638</v>
      </c>
      <c r="F71" s="139"/>
      <c r="G71" s="140" t="s">
        <v>1639</v>
      </c>
      <c r="H71" s="139" t="str">
        <f>REPLACE(E71,5,2,"u")</f>
        <v>Currut</v>
      </c>
    </row>
    <row r="72">
      <c r="C72" s="236"/>
      <c r="D72" s="236"/>
      <c r="E72" s="139"/>
      <c r="F72" s="139"/>
      <c r="G72" s="139"/>
      <c r="H72" s="139"/>
    </row>
    <row r="73">
      <c r="C73" s="161">
        <v>12.0</v>
      </c>
      <c r="D73" s="241" t="s">
        <v>101</v>
      </c>
      <c r="E73" s="140" t="s">
        <v>1640</v>
      </c>
      <c r="F73" s="139"/>
      <c r="G73" s="140" t="s">
        <v>1077</v>
      </c>
      <c r="H73" s="139" t="str">
        <f t="shared" ref="H73:H77" si="7">PROPER(E73)</f>
        <v>Online Class</v>
      </c>
    </row>
    <row r="74">
      <c r="C74" s="236"/>
      <c r="D74" s="236"/>
      <c r="E74" s="140" t="s">
        <v>1641</v>
      </c>
      <c r="F74" s="139"/>
      <c r="G74" s="140" t="s">
        <v>1642</v>
      </c>
      <c r="H74" s="139" t="str">
        <f t="shared" si="7"/>
        <v>Business Studies</v>
      </c>
    </row>
    <row r="75">
      <c r="C75" s="236"/>
      <c r="D75" s="236"/>
      <c r="E75" s="140" t="s">
        <v>1643</v>
      </c>
      <c r="F75" s="139"/>
      <c r="G75" s="140" t="s">
        <v>1644</v>
      </c>
      <c r="H75" s="139" t="str">
        <f t="shared" si="7"/>
        <v>Computer Science</v>
      </c>
    </row>
    <row r="76">
      <c r="C76" s="236"/>
      <c r="D76" s="236"/>
      <c r="E76" s="140" t="s">
        <v>1645</v>
      </c>
      <c r="F76" s="139"/>
      <c r="G76" s="140" t="s">
        <v>1646</v>
      </c>
      <c r="H76" s="139" t="str">
        <f t="shared" si="7"/>
        <v>Digital Marketing</v>
      </c>
    </row>
    <row r="77">
      <c r="C77" s="236"/>
      <c r="D77" s="236"/>
      <c r="E77" s="140" t="s">
        <v>1647</v>
      </c>
      <c r="F77" s="139"/>
      <c r="G77" s="140" t="s">
        <v>1648</v>
      </c>
      <c r="H77" s="139" t="str">
        <f t="shared" si="7"/>
        <v>Technical Skills</v>
      </c>
    </row>
    <row r="78">
      <c r="C78" s="236"/>
      <c r="D78" s="236"/>
      <c r="E78" s="139"/>
      <c r="F78" s="139"/>
      <c r="G78" s="139"/>
      <c r="H78" s="139"/>
    </row>
    <row r="79">
      <c r="C79" s="236"/>
      <c r="D79" s="236"/>
      <c r="E79" s="139"/>
      <c r="F79" s="139"/>
      <c r="G79" s="139"/>
      <c r="H79" s="139"/>
    </row>
    <row r="80">
      <c r="C80" s="236"/>
      <c r="D80" s="139"/>
      <c r="E80" s="139"/>
      <c r="F80" s="139"/>
      <c r="G80" s="139"/>
      <c r="H80" s="139"/>
    </row>
  </sheetData>
  <hyperlinks>
    <hyperlink r:id="rId1" ref="C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75"/>
    <col customWidth="1" min="4" max="4" width="22.25"/>
    <col customWidth="1" min="5" max="5" width="24.63"/>
    <col customWidth="1" min="6" max="6" width="15.88"/>
  </cols>
  <sheetData>
    <row r="1">
      <c r="A1" s="1" t="s">
        <v>1649</v>
      </c>
    </row>
    <row r="3">
      <c r="B3" s="242" t="s">
        <v>1650</v>
      </c>
      <c r="C3" s="242" t="s">
        <v>2</v>
      </c>
      <c r="D3" s="242" t="s">
        <v>233</v>
      </c>
      <c r="E3" s="242" t="s">
        <v>4</v>
      </c>
      <c r="F3" s="242" t="s">
        <v>5</v>
      </c>
    </row>
    <row r="4">
      <c r="B4" s="236"/>
      <c r="C4" s="236"/>
      <c r="D4" s="236"/>
      <c r="E4" s="236"/>
      <c r="F4" s="236"/>
    </row>
    <row r="5">
      <c r="B5" s="161">
        <v>1.0</v>
      </c>
      <c r="C5" s="161" t="s">
        <v>1651</v>
      </c>
      <c r="D5" s="243" t="s">
        <v>1652</v>
      </c>
      <c r="E5" s="243" t="s">
        <v>1653</v>
      </c>
      <c r="F5" s="236" t="str">
        <f>CONCAT(D5,D6)</f>
        <v>sunlight</v>
      </c>
    </row>
    <row r="6">
      <c r="B6" s="244"/>
      <c r="C6" s="244"/>
      <c r="D6" s="243" t="s">
        <v>1654</v>
      </c>
      <c r="E6" s="236"/>
      <c r="F6" s="236"/>
    </row>
    <row r="7">
      <c r="B7" s="161">
        <v>2.0</v>
      </c>
      <c r="C7" s="161" t="s">
        <v>1651</v>
      </c>
      <c r="D7" s="243" t="s">
        <v>1445</v>
      </c>
      <c r="E7" s="243" t="s">
        <v>1655</v>
      </c>
      <c r="F7" s="243" t="str">
        <f>CONCAT(D7,D8)</f>
        <v>NoteBook</v>
      </c>
    </row>
    <row r="8">
      <c r="B8" s="244"/>
      <c r="C8" s="244"/>
      <c r="D8" s="243" t="s">
        <v>559</v>
      </c>
      <c r="E8" s="236"/>
      <c r="F8" s="236"/>
    </row>
    <row r="9">
      <c r="B9" s="161">
        <v>3.0</v>
      </c>
      <c r="C9" s="161" t="s">
        <v>1651</v>
      </c>
      <c r="D9" s="243" t="s">
        <v>1656</v>
      </c>
      <c r="E9" s="243" t="s">
        <v>1657</v>
      </c>
      <c r="F9" s="236" t="str">
        <f>CONCAT(D9,D10)</f>
        <v>Key Board</v>
      </c>
    </row>
    <row r="10">
      <c r="B10" s="244"/>
      <c r="C10" s="244"/>
      <c r="D10" s="243" t="s">
        <v>1658</v>
      </c>
      <c r="E10" s="236"/>
      <c r="F10" s="236"/>
    </row>
    <row r="11">
      <c r="B11" s="161">
        <v>4.0</v>
      </c>
      <c r="C11" s="161" t="s">
        <v>1651</v>
      </c>
      <c r="D11" s="243" t="s">
        <v>1659</v>
      </c>
      <c r="E11" s="243" t="s">
        <v>1660</v>
      </c>
      <c r="F11" s="236" t="str">
        <f>CONCAT(D11,D12)</f>
        <v>LapTop</v>
      </c>
    </row>
    <row r="12">
      <c r="B12" s="244"/>
      <c r="C12" s="244"/>
      <c r="D12" s="243" t="s">
        <v>1661</v>
      </c>
      <c r="E12" s="236"/>
      <c r="F12" s="236"/>
    </row>
    <row r="13">
      <c r="B13" s="161">
        <v>5.0</v>
      </c>
      <c r="C13" s="161" t="s">
        <v>1651</v>
      </c>
      <c r="D13" s="243" t="s">
        <v>1593</v>
      </c>
      <c r="E13" s="243" t="s">
        <v>1662</v>
      </c>
      <c r="F13" s="236" t="str">
        <f>CONCAT(D13,D14)</f>
        <v>Tabletannis</v>
      </c>
    </row>
    <row r="14">
      <c r="B14" s="139"/>
      <c r="C14" s="139"/>
      <c r="D14" s="243" t="s">
        <v>1663</v>
      </c>
      <c r="E14" s="139"/>
      <c r="F14" s="139"/>
    </row>
    <row r="15">
      <c r="B15" s="245"/>
      <c r="C15" s="245"/>
      <c r="D15" s="245"/>
      <c r="E15" s="245"/>
      <c r="F15" s="245"/>
    </row>
    <row r="16">
      <c r="B16" s="139"/>
      <c r="C16" s="139"/>
      <c r="D16" s="139"/>
      <c r="E16" s="139"/>
      <c r="F16" s="139"/>
    </row>
    <row r="17">
      <c r="B17" s="161">
        <v>1.0</v>
      </c>
      <c r="C17" s="161" t="s">
        <v>68</v>
      </c>
      <c r="D17" s="243" t="s">
        <v>1561</v>
      </c>
      <c r="E17" s="243" t="s">
        <v>1664</v>
      </c>
      <c r="F17" s="236">
        <f>LEN("pen")</f>
        <v>3</v>
      </c>
    </row>
    <row r="18">
      <c r="B18" s="161">
        <v>2.0</v>
      </c>
      <c r="C18" s="161" t="s">
        <v>68</v>
      </c>
      <c r="D18" s="243" t="s">
        <v>559</v>
      </c>
      <c r="E18" s="243" t="s">
        <v>1665</v>
      </c>
      <c r="F18" s="236">
        <f>LEN("book")</f>
        <v>4</v>
      </c>
    </row>
    <row r="19">
      <c r="B19" s="161">
        <v>3.0</v>
      </c>
      <c r="C19" s="161" t="s">
        <v>68</v>
      </c>
      <c r="D19" s="243" t="s">
        <v>18</v>
      </c>
      <c r="E19" s="243" t="s">
        <v>1666</v>
      </c>
      <c r="F19" s="236">
        <f>len("Sun")</f>
        <v>3</v>
      </c>
    </row>
    <row r="20">
      <c r="B20" s="161">
        <v>4.0</v>
      </c>
      <c r="C20" s="161" t="s">
        <v>68</v>
      </c>
      <c r="D20" s="243" t="s">
        <v>1667</v>
      </c>
      <c r="E20" s="243" t="s">
        <v>1668</v>
      </c>
      <c r="F20" s="236">
        <f>LEN("Moon")</f>
        <v>4</v>
      </c>
    </row>
    <row r="21">
      <c r="B21" s="161">
        <v>5.0</v>
      </c>
      <c r="C21" s="161" t="s">
        <v>68</v>
      </c>
      <c r="D21" s="243" t="s">
        <v>1338</v>
      </c>
      <c r="E21" s="243" t="s">
        <v>1669</v>
      </c>
      <c r="F21" s="236">
        <f>LEN("Star")</f>
        <v>4</v>
      </c>
    </row>
    <row r="22">
      <c r="B22" s="139"/>
      <c r="C22" s="139"/>
      <c r="D22" s="139"/>
      <c r="E22" s="139"/>
      <c r="F22" s="139"/>
    </row>
    <row r="23">
      <c r="B23" s="161">
        <v>1.0</v>
      </c>
      <c r="C23" s="161" t="s">
        <v>1670</v>
      </c>
      <c r="D23" s="243" t="s">
        <v>615</v>
      </c>
      <c r="E23" s="243" t="s">
        <v>1671</v>
      </c>
      <c r="F23" s="236" t="str">
        <f>UPPER("India")</f>
        <v>INDIA</v>
      </c>
    </row>
    <row r="24">
      <c r="B24" s="161">
        <v>2.0</v>
      </c>
      <c r="C24" s="161" t="s">
        <v>1670</v>
      </c>
      <c r="D24" s="243" t="s">
        <v>630</v>
      </c>
      <c r="E24" s="243" t="s">
        <v>1672</v>
      </c>
      <c r="F24" s="236" t="str">
        <f>UPPER("Laptop")</f>
        <v>LAPTOP</v>
      </c>
    </row>
    <row r="25">
      <c r="B25" s="161">
        <v>3.0</v>
      </c>
      <c r="C25" s="161" t="s">
        <v>1670</v>
      </c>
      <c r="D25" s="243" t="s">
        <v>259</v>
      </c>
      <c r="E25" s="243" t="s">
        <v>1673</v>
      </c>
      <c r="F25" s="236" t="str">
        <f>UPPER("Excel")</f>
        <v>EXCEL</v>
      </c>
    </row>
    <row r="26">
      <c r="B26" s="161">
        <v>4.0</v>
      </c>
      <c r="C26" s="161" t="s">
        <v>1670</v>
      </c>
      <c r="D26" s="243" t="s">
        <v>559</v>
      </c>
      <c r="E26" s="243" t="s">
        <v>1674</v>
      </c>
      <c r="F26" s="236" t="str">
        <f>UPPER("Book")</f>
        <v>BOOK</v>
      </c>
    </row>
    <row r="27">
      <c r="B27" s="161">
        <v>5.0</v>
      </c>
      <c r="C27" s="161" t="s">
        <v>1670</v>
      </c>
      <c r="D27" s="243" t="s">
        <v>18</v>
      </c>
      <c r="E27" s="243" t="s">
        <v>1675</v>
      </c>
      <c r="F27" s="236" t="str">
        <f>UPPER("Sun")</f>
        <v>SUN</v>
      </c>
    </row>
    <row r="28">
      <c r="B28" s="139"/>
      <c r="C28" s="139"/>
      <c r="D28" s="139"/>
      <c r="E28" s="139"/>
      <c r="F28" s="139"/>
    </row>
    <row r="29">
      <c r="B29" s="161">
        <v>1.0</v>
      </c>
      <c r="C29" s="161" t="s">
        <v>79</v>
      </c>
      <c r="D29" s="243" t="s">
        <v>615</v>
      </c>
      <c r="E29" s="243" t="s">
        <v>1676</v>
      </c>
      <c r="F29" s="243" t="str">
        <f>LOWER("India")</f>
        <v>india</v>
      </c>
    </row>
    <row r="30">
      <c r="B30" s="161">
        <v>2.0</v>
      </c>
      <c r="C30" s="161" t="s">
        <v>79</v>
      </c>
      <c r="D30" s="243" t="s">
        <v>630</v>
      </c>
      <c r="E30" s="243" t="s">
        <v>1677</v>
      </c>
      <c r="F30" s="236" t="str">
        <f>LOWER("Laptop")</f>
        <v>laptop</v>
      </c>
    </row>
    <row r="31">
      <c r="B31" s="161">
        <v>3.0</v>
      </c>
      <c r="C31" s="161" t="s">
        <v>79</v>
      </c>
      <c r="D31" s="243" t="s">
        <v>559</v>
      </c>
      <c r="E31" s="243" t="s">
        <v>1678</v>
      </c>
      <c r="F31" s="236" t="str">
        <f>LOWER("Book")</f>
        <v>book</v>
      </c>
    </row>
    <row r="32">
      <c r="B32" s="161">
        <v>4.0</v>
      </c>
      <c r="C32" s="161" t="s">
        <v>79</v>
      </c>
      <c r="D32" s="243" t="s">
        <v>18</v>
      </c>
      <c r="E32" s="243" t="s">
        <v>1679</v>
      </c>
      <c r="F32" s="236" t="str">
        <f>LOWER("Sun")</f>
        <v>sun</v>
      </c>
    </row>
    <row r="33">
      <c r="B33" s="161">
        <v>5.0</v>
      </c>
      <c r="C33" s="161" t="s">
        <v>79</v>
      </c>
      <c r="D33" s="243" t="s">
        <v>1667</v>
      </c>
      <c r="E33" s="243" t="s">
        <v>1680</v>
      </c>
      <c r="F33" s="236" t="str">
        <f>LOWER("Moon")</f>
        <v>moon</v>
      </c>
    </row>
    <row r="34">
      <c r="B34" s="139"/>
      <c r="C34" s="246"/>
      <c r="D34" s="139"/>
      <c r="E34" s="139"/>
      <c r="F34" s="139"/>
    </row>
    <row r="35">
      <c r="B35" s="161">
        <v>1.0</v>
      </c>
      <c r="C35" s="161" t="s">
        <v>101</v>
      </c>
      <c r="D35" s="243" t="s">
        <v>1681</v>
      </c>
      <c r="E35" s="243" t="s">
        <v>1682</v>
      </c>
      <c r="F35" s="236" t="str">
        <f>PROPER("India country")</f>
        <v>India Country</v>
      </c>
    </row>
    <row r="36">
      <c r="B36" s="161">
        <v>2.0</v>
      </c>
      <c r="C36" s="161" t="s">
        <v>101</v>
      </c>
      <c r="D36" s="243" t="s">
        <v>1683</v>
      </c>
      <c r="E36" s="243" t="s">
        <v>1684</v>
      </c>
      <c r="F36" s="236" t="str">
        <f>PROPER("laptop computer")</f>
        <v>Laptop Computer</v>
      </c>
    </row>
    <row r="37">
      <c r="B37" s="161">
        <v>3.0</v>
      </c>
      <c r="C37" s="161" t="s">
        <v>101</v>
      </c>
      <c r="D37" s="243" t="s">
        <v>1685</v>
      </c>
      <c r="E37" s="243" t="s">
        <v>1686</v>
      </c>
      <c r="F37" s="236" t="str">
        <f>PROPER("ms excel")</f>
        <v>Ms Excel</v>
      </c>
    </row>
    <row r="38">
      <c r="B38" s="161">
        <v>4.0</v>
      </c>
      <c r="C38" s="161" t="s">
        <v>101</v>
      </c>
      <c r="D38" s="243" t="s">
        <v>788</v>
      </c>
      <c r="E38" s="243" t="s">
        <v>1687</v>
      </c>
      <c r="F38" s="236" t="str">
        <f>PROPER("data science")</f>
        <v>Data Science</v>
      </c>
    </row>
    <row r="39">
      <c r="B39" s="161">
        <v>5.0</v>
      </c>
      <c r="C39" s="161" t="s">
        <v>101</v>
      </c>
      <c r="D39" s="243" t="s">
        <v>1688</v>
      </c>
      <c r="E39" s="243" t="s">
        <v>1689</v>
      </c>
      <c r="F39" s="236" t="str">
        <f>PROPER("birthday party")</f>
        <v>Birthday Party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1" t="s">
        <v>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5" width="14.13"/>
    <col customWidth="1" min="7" max="7" width="19.5"/>
    <col customWidth="1" min="8" max="8" width="15.25"/>
  </cols>
  <sheetData>
    <row r="3">
      <c r="C3" s="15" t="s">
        <v>1690</v>
      </c>
      <c r="D3" s="1" t="s">
        <v>2</v>
      </c>
      <c r="E3" s="1" t="s">
        <v>233</v>
      </c>
      <c r="G3" s="1" t="s">
        <v>4</v>
      </c>
      <c r="H3" s="1" t="s">
        <v>5</v>
      </c>
    </row>
    <row r="4">
      <c r="C4" s="1">
        <v>1.0</v>
      </c>
    </row>
    <row r="5">
      <c r="D5" s="1" t="s">
        <v>381</v>
      </c>
      <c r="E5" s="1" t="s">
        <v>1691</v>
      </c>
      <c r="G5" s="1" t="s">
        <v>1692</v>
      </c>
      <c r="H5" s="6" t="str">
        <f>CONCAT(E$5,E$6)</f>
        <v>SandeshArc</v>
      </c>
    </row>
    <row r="6">
      <c r="E6" s="1" t="s">
        <v>1693</v>
      </c>
      <c r="K6" s="247"/>
      <c r="L6" s="1"/>
      <c r="M6" s="1"/>
      <c r="O6" s="1"/>
      <c r="P6" s="1"/>
    </row>
    <row r="8">
      <c r="D8" s="1" t="s">
        <v>381</v>
      </c>
      <c r="E8" s="1" t="s">
        <v>259</v>
      </c>
      <c r="G8" s="1" t="s">
        <v>1694</v>
      </c>
      <c r="H8" s="6" t="str">
        <f>CONCAT(E8,E9)</f>
        <v>Excelsheet</v>
      </c>
    </row>
    <row r="9">
      <c r="E9" s="1" t="s">
        <v>1695</v>
      </c>
    </row>
    <row r="11">
      <c r="D11" s="1" t="s">
        <v>381</v>
      </c>
      <c r="E11" s="1" t="s">
        <v>1693</v>
      </c>
      <c r="G11" s="1" t="s">
        <v>1696</v>
      </c>
      <c r="H11" s="6" t="str">
        <f>CONCAT(E$11,E$12)</f>
        <v>ArcTechnology</v>
      </c>
    </row>
    <row r="12">
      <c r="E12" s="1" t="s">
        <v>782</v>
      </c>
    </row>
    <row r="14">
      <c r="D14" s="1" t="s">
        <v>381</v>
      </c>
      <c r="E14" s="1" t="s">
        <v>1697</v>
      </c>
      <c r="G14" s="1" t="s">
        <v>1698</v>
      </c>
      <c r="H14" s="6" t="str">
        <f>CONCAT(E$14,E$15)</f>
        <v>WordDocument</v>
      </c>
    </row>
    <row r="15">
      <c r="E15" s="1" t="s">
        <v>1699</v>
      </c>
    </row>
    <row r="17">
      <c r="D17" s="1" t="s">
        <v>381</v>
      </c>
      <c r="E17" s="1" t="s">
        <v>255</v>
      </c>
      <c r="G17" s="1" t="s">
        <v>1700</v>
      </c>
      <c r="H17" s="6" t="str">
        <f>CONCAT(E$17,E$18)</f>
        <v>SchoolFriend</v>
      </c>
    </row>
    <row r="18">
      <c r="E18" s="1" t="s">
        <v>253</v>
      </c>
    </row>
    <row r="21">
      <c r="C21" s="1">
        <v>2.0</v>
      </c>
      <c r="D21" s="1" t="s">
        <v>6</v>
      </c>
      <c r="E21" s="1" t="s">
        <v>1701</v>
      </c>
      <c r="F21" s="1" t="s">
        <v>1702</v>
      </c>
      <c r="G21" s="1" t="s">
        <v>1703</v>
      </c>
      <c r="H21" s="6" t="str">
        <f t="shared" ref="H21:H25" si="1">CLEAN(E21)</f>
        <v>Work</v>
      </c>
    </row>
    <row r="22">
      <c r="D22" s="1" t="s">
        <v>6</v>
      </c>
      <c r="E22" s="1" t="s">
        <v>1704</v>
      </c>
      <c r="F22" s="1" t="s">
        <v>1702</v>
      </c>
      <c r="G22" s="1" t="s">
        <v>1705</v>
      </c>
      <c r="H22" s="6" t="str">
        <f t="shared" si="1"/>
        <v>Sum</v>
      </c>
    </row>
    <row r="23">
      <c r="D23" s="1" t="s">
        <v>6</v>
      </c>
      <c r="E23" s="1" t="s">
        <v>1706</v>
      </c>
      <c r="F23" s="1" t="s">
        <v>1702</v>
      </c>
      <c r="G23" s="1" t="s">
        <v>1707</v>
      </c>
      <c r="H23" s="6" t="str">
        <f t="shared" si="1"/>
        <v>Family</v>
      </c>
    </row>
    <row r="24">
      <c r="D24" s="1" t="s">
        <v>6</v>
      </c>
      <c r="E24" s="1" t="s">
        <v>257</v>
      </c>
      <c r="F24" s="1" t="s">
        <v>1702</v>
      </c>
      <c r="G24" s="1" t="s">
        <v>1708</v>
      </c>
      <c r="H24" s="6" t="str">
        <f t="shared" si="1"/>
        <v>College</v>
      </c>
    </row>
    <row r="25">
      <c r="D25" s="1" t="s">
        <v>6</v>
      </c>
      <c r="E25" s="1" t="s">
        <v>1709</v>
      </c>
      <c r="F25" s="1" t="s">
        <v>1702</v>
      </c>
      <c r="G25" s="1" t="s">
        <v>1710</v>
      </c>
      <c r="H25" s="6" t="str">
        <f t="shared" si="1"/>
        <v>value</v>
      </c>
    </row>
    <row r="28">
      <c r="C28" s="1">
        <v>3.0</v>
      </c>
      <c r="D28" s="1" t="s">
        <v>1711</v>
      </c>
      <c r="E28" s="1" t="s">
        <v>259</v>
      </c>
      <c r="F28" s="1" t="s">
        <v>1702</v>
      </c>
      <c r="G28" s="1" t="s">
        <v>1712</v>
      </c>
      <c r="H28" s="6" t="b">
        <f>EXACT(E28,E29)</f>
        <v>0</v>
      </c>
    </row>
    <row r="29">
      <c r="E29" s="1" t="s">
        <v>1117</v>
      </c>
    </row>
    <row r="30">
      <c r="D30" s="1" t="s">
        <v>1711</v>
      </c>
      <c r="E30" s="1" t="s">
        <v>1713</v>
      </c>
      <c r="F30" s="1" t="s">
        <v>1702</v>
      </c>
      <c r="G30" s="1" t="s">
        <v>1714</v>
      </c>
      <c r="H30" s="6" t="b">
        <f>EXACT(E30,E31)</f>
        <v>0</v>
      </c>
    </row>
    <row r="31">
      <c r="E31" s="1" t="s">
        <v>1715</v>
      </c>
    </row>
    <row r="32">
      <c r="D32" s="1" t="s">
        <v>1711</v>
      </c>
      <c r="E32" s="1" t="s">
        <v>720</v>
      </c>
      <c r="F32" s="1" t="s">
        <v>1702</v>
      </c>
      <c r="G32" s="1" t="s">
        <v>1716</v>
      </c>
      <c r="H32" s="6" t="b">
        <f>EXACT(E32,E33)</f>
        <v>0</v>
      </c>
    </row>
    <row r="33">
      <c r="E33" s="1" t="s">
        <v>1570</v>
      </c>
    </row>
    <row r="34">
      <c r="D34" s="1" t="s">
        <v>1711</v>
      </c>
      <c r="E34" s="1" t="s">
        <v>1717</v>
      </c>
      <c r="F34" s="1" t="s">
        <v>1702</v>
      </c>
      <c r="G34" s="1" t="s">
        <v>1718</v>
      </c>
      <c r="H34" s="6" t="b">
        <f>EXACT(E34,E35)</f>
        <v>0</v>
      </c>
    </row>
    <row r="35">
      <c r="E35" s="1" t="s">
        <v>1719</v>
      </c>
    </row>
    <row r="36">
      <c r="D36" s="1" t="s">
        <v>1711</v>
      </c>
      <c r="E36" s="1" t="s">
        <v>1720</v>
      </c>
      <c r="F36" s="1" t="s">
        <v>1702</v>
      </c>
      <c r="G36" s="1" t="s">
        <v>1721</v>
      </c>
      <c r="H36" s="6" t="b">
        <f>EXACT(E36,E37)</f>
        <v>0</v>
      </c>
    </row>
    <row r="37">
      <c r="E37" s="1" t="s">
        <v>1722</v>
      </c>
    </row>
    <row r="39">
      <c r="C39" s="1">
        <v>4.0</v>
      </c>
      <c r="D39" s="1" t="s">
        <v>33</v>
      </c>
      <c r="E39" s="1" t="s">
        <v>922</v>
      </c>
      <c r="F39" s="1" t="s">
        <v>1702</v>
      </c>
      <c r="G39" s="1" t="s">
        <v>1723</v>
      </c>
      <c r="H39" s="6">
        <f>FIND("d",E39,3)</f>
        <v>4</v>
      </c>
    </row>
    <row r="40">
      <c r="D40" s="1" t="s">
        <v>33</v>
      </c>
      <c r="E40" s="1" t="s">
        <v>922</v>
      </c>
      <c r="F40" s="1" t="s">
        <v>1702</v>
      </c>
      <c r="G40" s="1" t="s">
        <v>1724</v>
      </c>
      <c r="H40" s="6">
        <f>FIND("u",E40,3)</f>
        <v>3</v>
      </c>
    </row>
    <row r="41">
      <c r="D41" s="1" t="s">
        <v>33</v>
      </c>
      <c r="E41" s="1" t="s">
        <v>922</v>
      </c>
      <c r="F41" s="1" t="s">
        <v>1702</v>
      </c>
      <c r="G41" s="1" t="s">
        <v>1725</v>
      </c>
      <c r="H41" s="6">
        <f>FIND("d",E41,1)</f>
        <v>4</v>
      </c>
    </row>
    <row r="42">
      <c r="D42" s="1" t="s">
        <v>33</v>
      </c>
      <c r="E42" s="1" t="s">
        <v>922</v>
      </c>
      <c r="F42" s="1" t="s">
        <v>1702</v>
      </c>
      <c r="G42" s="1" t="s">
        <v>1726</v>
      </c>
      <c r="H42" s="6">
        <f>FIND("t",E42,5)</f>
        <v>7</v>
      </c>
    </row>
    <row r="43">
      <c r="D43" s="1" t="s">
        <v>33</v>
      </c>
      <c r="E43" s="1" t="s">
        <v>922</v>
      </c>
      <c r="F43" s="1" t="s">
        <v>1702</v>
      </c>
      <c r="G43" s="1" t="s">
        <v>1727</v>
      </c>
      <c r="H43" s="6">
        <f>FIND("e",E43,2)</f>
        <v>5</v>
      </c>
    </row>
    <row r="45">
      <c r="C45" s="1">
        <v>5.0</v>
      </c>
      <c r="D45" s="1" t="s">
        <v>57</v>
      </c>
      <c r="E45" s="1" t="s">
        <v>1691</v>
      </c>
      <c r="G45" s="1" t="s">
        <v>1728</v>
      </c>
      <c r="H45" s="6" t="s">
        <v>1729</v>
      </c>
    </row>
    <row r="46">
      <c r="D46" s="1" t="s">
        <v>57</v>
      </c>
      <c r="E46" s="1" t="s">
        <v>1730</v>
      </c>
      <c r="G46" s="1" t="s">
        <v>1731</v>
      </c>
      <c r="H46" s="6" t="s">
        <v>1732</v>
      </c>
    </row>
    <row r="47">
      <c r="D47" s="1" t="s">
        <v>57</v>
      </c>
      <c r="E47" s="1" t="s">
        <v>1570</v>
      </c>
      <c r="G47" s="1" t="s">
        <v>1733</v>
      </c>
      <c r="H47" s="6" t="s">
        <v>1734</v>
      </c>
    </row>
    <row r="48">
      <c r="D48" s="1" t="s">
        <v>57</v>
      </c>
      <c r="E48" s="1" t="s">
        <v>1715</v>
      </c>
      <c r="G48" s="1" t="s">
        <v>1735</v>
      </c>
      <c r="H48" s="6" t="s">
        <v>1736</v>
      </c>
    </row>
    <row r="49">
      <c r="D49" s="1" t="s">
        <v>57</v>
      </c>
      <c r="E49" s="1" t="s">
        <v>4</v>
      </c>
      <c r="G49" s="1" t="s">
        <v>1737</v>
      </c>
      <c r="H49" s="6" t="s">
        <v>1738</v>
      </c>
    </row>
    <row r="51">
      <c r="C51" s="1">
        <v>6.0</v>
      </c>
      <c r="D51" s="1" t="s">
        <v>123</v>
      </c>
      <c r="E51" s="1" t="s">
        <v>1691</v>
      </c>
      <c r="G51" s="1" t="s">
        <v>1739</v>
      </c>
      <c r="H51" s="6" t="s">
        <v>1740</v>
      </c>
    </row>
    <row r="52">
      <c r="D52" s="1" t="s">
        <v>123</v>
      </c>
      <c r="E52" s="1" t="s">
        <v>1730</v>
      </c>
      <c r="G52" s="1" t="s">
        <v>1741</v>
      </c>
      <c r="H52" s="6" t="s">
        <v>1742</v>
      </c>
    </row>
    <row r="53">
      <c r="D53" s="1" t="s">
        <v>123</v>
      </c>
      <c r="E53" s="1" t="s">
        <v>1570</v>
      </c>
      <c r="G53" s="1" t="s">
        <v>1743</v>
      </c>
      <c r="H53" s="6" t="s">
        <v>1744</v>
      </c>
    </row>
    <row r="54">
      <c r="D54" s="1" t="s">
        <v>123</v>
      </c>
      <c r="E54" s="1" t="s">
        <v>1715</v>
      </c>
      <c r="G54" s="1" t="s">
        <v>1745</v>
      </c>
      <c r="H54" s="6" t="s">
        <v>1746</v>
      </c>
    </row>
    <row r="55">
      <c r="D55" s="1" t="s">
        <v>123</v>
      </c>
      <c r="E55" s="1" t="s">
        <v>4</v>
      </c>
      <c r="G55" s="1" t="s">
        <v>1747</v>
      </c>
      <c r="H55" s="6" t="s">
        <v>1748</v>
      </c>
    </row>
    <row r="57">
      <c r="C57" s="1">
        <v>8.0</v>
      </c>
      <c r="D57" s="1" t="s">
        <v>90</v>
      </c>
      <c r="E57" s="1" t="s">
        <v>1691</v>
      </c>
      <c r="G57" s="1" t="s">
        <v>1749</v>
      </c>
      <c r="H57" s="6" t="str">
        <f t="shared" ref="H57:H61" si="2">MID(E57,2,6)</f>
        <v>andesh</v>
      </c>
    </row>
    <row r="58">
      <c r="D58" s="1" t="s">
        <v>90</v>
      </c>
      <c r="E58" s="1" t="s">
        <v>1730</v>
      </c>
      <c r="G58" s="1" t="s">
        <v>1750</v>
      </c>
      <c r="H58" s="6" t="str">
        <f t="shared" si="2"/>
        <v>ower</v>
      </c>
    </row>
    <row r="59">
      <c r="D59" s="1" t="s">
        <v>90</v>
      </c>
      <c r="E59" s="1" t="s">
        <v>1570</v>
      </c>
      <c r="G59" s="1" t="s">
        <v>1751</v>
      </c>
      <c r="H59" s="6" t="str">
        <f t="shared" si="2"/>
        <v>oteboo</v>
      </c>
    </row>
    <row r="60">
      <c r="D60" s="1" t="s">
        <v>90</v>
      </c>
      <c r="E60" s="1" t="s">
        <v>1715</v>
      </c>
      <c r="G60" s="1" t="s">
        <v>1752</v>
      </c>
      <c r="H60" s="6" t="str">
        <f t="shared" si="2"/>
        <v>ormat</v>
      </c>
    </row>
    <row r="61">
      <c r="D61" s="1" t="s">
        <v>90</v>
      </c>
      <c r="E61" s="1" t="s">
        <v>4</v>
      </c>
      <c r="G61" s="1" t="s">
        <v>1753</v>
      </c>
      <c r="H61" s="6" t="str">
        <f t="shared" si="2"/>
        <v>ormula</v>
      </c>
    </row>
    <row r="63">
      <c r="C63" s="1">
        <v>9.0</v>
      </c>
      <c r="D63" s="1" t="s">
        <v>79</v>
      </c>
      <c r="E63" s="1" t="s">
        <v>1691</v>
      </c>
      <c r="G63" s="1" t="s">
        <v>1754</v>
      </c>
      <c r="H63" s="6" t="str">
        <f t="shared" ref="H63:H67" si="3">LOWER(E63)</f>
        <v>sandesh</v>
      </c>
    </row>
    <row r="64">
      <c r="D64" s="1" t="s">
        <v>79</v>
      </c>
      <c r="E64" s="1" t="s">
        <v>1730</v>
      </c>
      <c r="G64" s="1" t="s">
        <v>1755</v>
      </c>
      <c r="H64" s="6" t="str">
        <f t="shared" si="3"/>
        <v>power</v>
      </c>
    </row>
    <row r="65">
      <c r="D65" s="1" t="s">
        <v>79</v>
      </c>
      <c r="E65" s="1" t="s">
        <v>1570</v>
      </c>
      <c r="G65" s="1" t="s">
        <v>1756</v>
      </c>
      <c r="H65" s="6" t="str">
        <f t="shared" si="3"/>
        <v>notebook</v>
      </c>
    </row>
    <row r="66">
      <c r="D66" s="1" t="s">
        <v>79</v>
      </c>
      <c r="E66" s="1" t="s">
        <v>1715</v>
      </c>
      <c r="G66" s="1" t="s">
        <v>1757</v>
      </c>
      <c r="H66" s="6" t="str">
        <f t="shared" si="3"/>
        <v>format</v>
      </c>
    </row>
    <row r="67">
      <c r="D67" s="1" t="s">
        <v>79</v>
      </c>
      <c r="E67" s="1" t="s">
        <v>4</v>
      </c>
      <c r="G67" s="1" t="s">
        <v>1758</v>
      </c>
      <c r="H67" s="6" t="str">
        <f t="shared" si="3"/>
        <v>formula</v>
      </c>
    </row>
    <row r="69">
      <c r="C69" s="1">
        <v>10.0</v>
      </c>
      <c r="D69" s="1" t="s">
        <v>134</v>
      </c>
      <c r="E69" s="1" t="s">
        <v>1691</v>
      </c>
      <c r="G69" s="1" t="s">
        <v>1759</v>
      </c>
      <c r="H69" s="6" t="str">
        <f t="shared" ref="H69:H73" si="4">UPPER(E69)</f>
        <v>SANDESH</v>
      </c>
    </row>
    <row r="70">
      <c r="D70" s="1" t="s">
        <v>134</v>
      </c>
      <c r="E70" s="1" t="s">
        <v>1730</v>
      </c>
      <c r="G70" s="1" t="s">
        <v>1760</v>
      </c>
      <c r="H70" s="6" t="str">
        <f t="shared" si="4"/>
        <v>POWER</v>
      </c>
    </row>
    <row r="71">
      <c r="D71" s="1" t="s">
        <v>134</v>
      </c>
      <c r="E71" s="1" t="s">
        <v>1570</v>
      </c>
      <c r="G71" s="1" t="s">
        <v>1761</v>
      </c>
      <c r="H71" s="6" t="str">
        <f t="shared" si="4"/>
        <v>NOTEBOOK</v>
      </c>
    </row>
    <row r="72">
      <c r="D72" s="1" t="s">
        <v>134</v>
      </c>
      <c r="E72" s="1" t="s">
        <v>1715</v>
      </c>
      <c r="G72" s="1" t="s">
        <v>1762</v>
      </c>
      <c r="H72" s="6" t="str">
        <f t="shared" si="4"/>
        <v>FORMAT</v>
      </c>
    </row>
    <row r="73">
      <c r="D73" s="1" t="s">
        <v>134</v>
      </c>
      <c r="E73" s="1" t="s">
        <v>4</v>
      </c>
      <c r="G73" s="1" t="s">
        <v>1763</v>
      </c>
      <c r="H73" s="6" t="str">
        <f t="shared" si="4"/>
        <v>FORMULA</v>
      </c>
    </row>
    <row r="75">
      <c r="C75" s="1">
        <v>11.0</v>
      </c>
      <c r="D75" s="1" t="s">
        <v>112</v>
      </c>
      <c r="E75" s="1" t="s">
        <v>1691</v>
      </c>
      <c r="G75" s="1" t="s">
        <v>1764</v>
      </c>
      <c r="H75" s="6" t="str">
        <f t="shared" ref="H75:H79" si="5">REPLACE(E75,3,5,"E")</f>
        <v>SaE</v>
      </c>
    </row>
    <row r="76">
      <c r="D76" s="1" t="s">
        <v>112</v>
      </c>
      <c r="E76" s="1" t="s">
        <v>1730</v>
      </c>
      <c r="G76" s="1" t="s">
        <v>1765</v>
      </c>
      <c r="H76" s="6" t="str">
        <f t="shared" si="5"/>
        <v>PoE</v>
      </c>
    </row>
    <row r="77">
      <c r="D77" s="1" t="s">
        <v>112</v>
      </c>
      <c r="E77" s="1" t="s">
        <v>1570</v>
      </c>
      <c r="G77" s="1" t="s">
        <v>1766</v>
      </c>
      <c r="H77" s="6" t="str">
        <f t="shared" si="5"/>
        <v>NoEk</v>
      </c>
    </row>
    <row r="78">
      <c r="D78" s="1" t="s">
        <v>112</v>
      </c>
      <c r="E78" s="1" t="s">
        <v>1715</v>
      </c>
      <c r="G78" s="1" t="s">
        <v>1767</v>
      </c>
      <c r="H78" s="6" t="str">
        <f t="shared" si="5"/>
        <v>FoE</v>
      </c>
    </row>
    <row r="79">
      <c r="D79" s="1" t="s">
        <v>112</v>
      </c>
      <c r="E79" s="1" t="s">
        <v>4</v>
      </c>
      <c r="G79" s="1" t="s">
        <v>1768</v>
      </c>
      <c r="H79" s="6" t="str">
        <f t="shared" si="5"/>
        <v>FoE</v>
      </c>
    </row>
    <row r="81">
      <c r="C81" s="1">
        <v>12.0</v>
      </c>
      <c r="D81" s="1" t="s">
        <v>101</v>
      </c>
      <c r="E81" s="1" t="s">
        <v>102</v>
      </c>
      <c r="G81" s="1" t="s">
        <v>1769</v>
      </c>
      <c r="H81" s="6" t="str">
        <f t="shared" ref="H81:H85" si="6">PROPER(E81)</f>
        <v>Lewis Hamilton</v>
      </c>
    </row>
    <row r="82">
      <c r="D82" s="1" t="s">
        <v>101</v>
      </c>
      <c r="E82" s="1" t="s">
        <v>104</v>
      </c>
      <c r="G82" s="1" t="s">
        <v>1539</v>
      </c>
      <c r="H82" s="6" t="str">
        <f t="shared" si="6"/>
        <v>British</v>
      </c>
    </row>
    <row r="83">
      <c r="D83" s="1" t="s">
        <v>101</v>
      </c>
      <c r="E83" s="1" t="s">
        <v>1770</v>
      </c>
      <c r="G83" s="1" t="s">
        <v>1541</v>
      </c>
      <c r="H83" s="6" t="str">
        <f t="shared" si="6"/>
        <v>Willams17</v>
      </c>
    </row>
    <row r="84">
      <c r="D84" s="1" t="s">
        <v>101</v>
      </c>
      <c r="E84" s="1" t="s">
        <v>108</v>
      </c>
      <c r="G84" s="1" t="s">
        <v>1543</v>
      </c>
      <c r="H84" s="6" t="str">
        <f t="shared" si="6"/>
        <v>Hocking</v>
      </c>
    </row>
    <row r="85">
      <c r="D85" s="1" t="s">
        <v>101</v>
      </c>
      <c r="E85" s="1" t="s">
        <v>110</v>
      </c>
      <c r="G85" s="1" t="s">
        <v>1545</v>
      </c>
      <c r="H85" s="6" t="str">
        <f t="shared" si="6"/>
        <v>Paris</v>
      </c>
    </row>
  </sheetData>
  <hyperlinks>
    <hyperlink r:id="rId1" ref="C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5" max="5" width="33.75"/>
    <col customWidth="1" min="6" max="6" width="15.38"/>
  </cols>
  <sheetData>
    <row r="1">
      <c r="B1" s="14"/>
      <c r="D1" s="14"/>
    </row>
    <row r="2">
      <c r="B2" s="14"/>
      <c r="D2" s="14"/>
    </row>
    <row r="3">
      <c r="B3" s="248" t="s">
        <v>1</v>
      </c>
      <c r="C3" s="249" t="s">
        <v>2</v>
      </c>
      <c r="D3" s="250" t="s">
        <v>233</v>
      </c>
      <c r="E3" s="250" t="s">
        <v>4</v>
      </c>
      <c r="F3" s="251" t="s">
        <v>5</v>
      </c>
    </row>
    <row r="4">
      <c r="B4" s="252">
        <v>1.0</v>
      </c>
      <c r="C4" s="253" t="s">
        <v>1771</v>
      </c>
      <c r="D4" s="254"/>
      <c r="E4" s="255" t="s">
        <v>1772</v>
      </c>
      <c r="F4" s="256" t="str">
        <f>CONCATENATE(D$9, CHAR(10)," - ",D$10)</f>
        <v>Work
 - Book</v>
      </c>
    </row>
    <row r="5">
      <c r="B5" s="257"/>
      <c r="C5" s="257"/>
      <c r="D5" s="258"/>
      <c r="E5" s="140" t="s">
        <v>1773</v>
      </c>
      <c r="F5" s="259" t="str">
        <f>CONCATENATE(D$13,CHAR(10)," - ",D$12)</f>
        <v>Asmit
 - Arc</v>
      </c>
    </row>
    <row r="6">
      <c r="B6" s="257"/>
      <c r="C6" s="257"/>
      <c r="D6" s="258"/>
      <c r="E6" s="140" t="s">
        <v>1774</v>
      </c>
      <c r="F6" s="259" t="str">
        <f>CONCATENATE(D$15,CHAR(10)," - ",D$16)</f>
        <v>Sun
 - glasses</v>
      </c>
    </row>
    <row r="7">
      <c r="B7" s="257"/>
      <c r="C7" s="257"/>
      <c r="D7" s="258"/>
      <c r="E7" s="140" t="s">
        <v>1775</v>
      </c>
      <c r="F7" s="259" t="str">
        <f>CONCATENATE(D$18,CHAR(10)," -",D$19)</f>
        <v>Back
 -Stage</v>
      </c>
    </row>
    <row r="8">
      <c r="B8" s="260"/>
      <c r="C8" s="260"/>
      <c r="D8" s="261"/>
      <c r="E8" s="262" t="s">
        <v>1776</v>
      </c>
      <c r="F8" s="263" t="str">
        <f>CONCATENATE(D21,CHAR(10)," - ",D22)</f>
        <v>Dead
 - line</v>
      </c>
    </row>
    <row r="9">
      <c r="B9" s="264">
        <v>2.0</v>
      </c>
      <c r="C9" s="264" t="s">
        <v>1777</v>
      </c>
      <c r="D9" s="254" t="s">
        <v>1701</v>
      </c>
      <c r="E9" s="255" t="s">
        <v>1778</v>
      </c>
      <c r="F9" s="256" t="str">
        <f>CONCATENATE(D$9," - ",D$10)</f>
        <v>Work - Book</v>
      </c>
    </row>
    <row r="10">
      <c r="B10" s="257"/>
      <c r="C10" s="257"/>
      <c r="D10" s="265" t="s">
        <v>559</v>
      </c>
      <c r="E10" s="139"/>
      <c r="F10" s="259"/>
    </row>
    <row r="11">
      <c r="B11" s="257"/>
      <c r="C11" s="257"/>
      <c r="D11" s="258"/>
      <c r="E11" s="139"/>
      <c r="F11" s="259"/>
    </row>
    <row r="12">
      <c r="B12" s="257"/>
      <c r="C12" s="257"/>
      <c r="D12" s="265" t="s">
        <v>1693</v>
      </c>
      <c r="E12" s="140" t="s">
        <v>1779</v>
      </c>
      <c r="F12" s="259" t="str">
        <f>CONCATENATE(D$13," - ",D$12)</f>
        <v>Asmit - Arc</v>
      </c>
    </row>
    <row r="13">
      <c r="B13" s="257"/>
      <c r="C13" s="257"/>
      <c r="D13" s="265" t="s">
        <v>1780</v>
      </c>
      <c r="E13" s="139"/>
      <c r="F13" s="259"/>
    </row>
    <row r="14">
      <c r="B14" s="257"/>
      <c r="C14" s="257"/>
      <c r="D14" s="258"/>
      <c r="E14" s="139"/>
      <c r="F14" s="259"/>
    </row>
    <row r="15">
      <c r="B15" s="257"/>
      <c r="C15" s="257"/>
      <c r="D15" s="265" t="s">
        <v>18</v>
      </c>
      <c r="E15" s="140" t="s">
        <v>1781</v>
      </c>
      <c r="F15" s="259" t="str">
        <f>CONCATENATE(D$15," - ",D$16)</f>
        <v>Sun - glasses</v>
      </c>
    </row>
    <row r="16">
      <c r="B16" s="257"/>
      <c r="C16" s="257"/>
      <c r="D16" s="265" t="s">
        <v>1782</v>
      </c>
      <c r="E16" s="139"/>
      <c r="F16" s="259"/>
    </row>
    <row r="17">
      <c r="B17" s="257"/>
      <c r="C17" s="257"/>
      <c r="D17" s="258"/>
      <c r="E17" s="139"/>
      <c r="F17" s="259"/>
    </row>
    <row r="18">
      <c r="B18" s="257"/>
      <c r="C18" s="257"/>
      <c r="D18" s="265" t="s">
        <v>1783</v>
      </c>
      <c r="E18" s="140" t="s">
        <v>1784</v>
      </c>
      <c r="F18" s="259" t="str">
        <f>CONCATENATE(D$18," -",D$19)</f>
        <v>Back -Stage</v>
      </c>
    </row>
    <row r="19">
      <c r="B19" s="257"/>
      <c r="C19" s="257"/>
      <c r="D19" s="265" t="s">
        <v>1785</v>
      </c>
      <c r="E19" s="139"/>
      <c r="F19" s="259"/>
    </row>
    <row r="20">
      <c r="B20" s="257"/>
      <c r="C20" s="257"/>
      <c r="D20" s="258"/>
      <c r="E20" s="139"/>
      <c r="F20" s="259"/>
    </row>
    <row r="21">
      <c r="B21" s="257"/>
      <c r="C21" s="257"/>
      <c r="D21" s="265" t="s">
        <v>1786</v>
      </c>
      <c r="E21" s="140" t="s">
        <v>1787</v>
      </c>
      <c r="F21" s="259" t="str">
        <f>CONCATENATE(D21," - ",D22)</f>
        <v>Dead - line</v>
      </c>
    </row>
    <row r="22">
      <c r="B22" s="257"/>
      <c r="C22" s="257"/>
      <c r="D22" s="265" t="s">
        <v>1788</v>
      </c>
      <c r="E22" s="139"/>
      <c r="F22" s="259"/>
    </row>
    <row r="23">
      <c r="B23" s="260"/>
      <c r="C23" s="260"/>
      <c r="D23" s="261"/>
      <c r="E23" s="266"/>
      <c r="F23" s="263"/>
    </row>
    <row r="24">
      <c r="B24" s="264">
        <v>3.0</v>
      </c>
      <c r="C24" s="264" t="s">
        <v>250</v>
      </c>
      <c r="D24" s="254" t="str">
        <f>CONCATENATE(D$9, CHAR(10)," - ",D$10)</f>
        <v>Work
 - Book</v>
      </c>
      <c r="E24" s="255" t="s">
        <v>1708</v>
      </c>
      <c r="F24" s="256" t="str">
        <f t="shared" ref="F24:F28" si="1">CLEAN(D24)</f>
        <v>Work - Book</v>
      </c>
    </row>
    <row r="25">
      <c r="B25" s="257"/>
      <c r="C25" s="257"/>
      <c r="D25" s="258" t="str">
        <f>CONCATENATE(D$13,CHAR(10)," - ",D$12)</f>
        <v>Asmit
 - Arc</v>
      </c>
      <c r="E25" s="140" t="s">
        <v>1789</v>
      </c>
      <c r="F25" s="259" t="str">
        <f t="shared" si="1"/>
        <v>Asmit - Arc</v>
      </c>
    </row>
    <row r="26">
      <c r="B26" s="257"/>
      <c r="C26" s="257"/>
      <c r="D26" s="258" t="str">
        <f>CONCATENATE(D$15,CHAR(10)," - ",D$16)</f>
        <v>Sun
 - glasses</v>
      </c>
      <c r="E26" s="140" t="s">
        <v>1790</v>
      </c>
      <c r="F26" s="259" t="str">
        <f t="shared" si="1"/>
        <v>Sun - glasses</v>
      </c>
    </row>
    <row r="27">
      <c r="B27" s="257"/>
      <c r="C27" s="257"/>
      <c r="D27" s="258" t="str">
        <f>CONCATENATE(D$18,CHAR(10)," -",D$19)</f>
        <v>Back
 -Stage</v>
      </c>
      <c r="E27" s="140" t="s">
        <v>1791</v>
      </c>
      <c r="F27" s="259" t="str">
        <f t="shared" si="1"/>
        <v>Back -Stage</v>
      </c>
    </row>
    <row r="28">
      <c r="B28" s="260"/>
      <c r="C28" s="260"/>
      <c r="D28" s="261" t="str">
        <f>CONCATENATE(D21,CHAR(10)," - ",D22)</f>
        <v>Dead
 - line</v>
      </c>
      <c r="E28" s="262" t="s">
        <v>627</v>
      </c>
      <c r="F28" s="263" t="str">
        <f t="shared" si="1"/>
        <v>Dead - line</v>
      </c>
    </row>
    <row r="29">
      <c r="B29" s="264">
        <v>4.0</v>
      </c>
      <c r="C29" s="264" t="s">
        <v>261</v>
      </c>
      <c r="D29" s="267"/>
      <c r="E29" s="255" t="s">
        <v>1792</v>
      </c>
      <c r="F29" s="256" t="b">
        <f>EXACT(F4,F9)</f>
        <v>0</v>
      </c>
    </row>
    <row r="30">
      <c r="B30" s="257"/>
      <c r="C30" s="257"/>
      <c r="D30" s="258"/>
      <c r="E30" s="140" t="s">
        <v>1793</v>
      </c>
      <c r="F30" s="259" t="b">
        <f>EXACT(F5,F12)</f>
        <v>0</v>
      </c>
    </row>
    <row r="31">
      <c r="B31" s="257"/>
      <c r="C31" s="257"/>
      <c r="D31" s="258"/>
      <c r="E31" s="140" t="s">
        <v>1794</v>
      </c>
      <c r="F31" s="259" t="b">
        <f>EXACT(F6,F15)</f>
        <v>0</v>
      </c>
    </row>
    <row r="32">
      <c r="B32" s="257"/>
      <c r="C32" s="257"/>
      <c r="D32" s="258"/>
      <c r="E32" s="140" t="s">
        <v>1795</v>
      </c>
      <c r="F32" s="259" t="b">
        <f>EXACT(F7,F18)</f>
        <v>0</v>
      </c>
    </row>
    <row r="33">
      <c r="B33" s="260"/>
      <c r="C33" s="260"/>
      <c r="D33" s="261"/>
      <c r="E33" s="262" t="s">
        <v>1796</v>
      </c>
      <c r="F33" s="263" t="b">
        <f>EXACT(F8,F21)</f>
        <v>0</v>
      </c>
    </row>
    <row r="34">
      <c r="B34" s="264">
        <v>5.0</v>
      </c>
      <c r="C34" s="264" t="s">
        <v>270</v>
      </c>
      <c r="D34" s="254" t="s">
        <v>1797</v>
      </c>
      <c r="E34" s="255" t="s">
        <v>1798</v>
      </c>
      <c r="F34" s="256">
        <f>FIND("d",D34,1)</f>
        <v>3</v>
      </c>
    </row>
    <row r="35">
      <c r="B35" s="257"/>
      <c r="C35" s="257"/>
      <c r="D35" s="265" t="s">
        <v>1799</v>
      </c>
      <c r="E35" s="140" t="s">
        <v>1800</v>
      </c>
      <c r="F35" s="259">
        <f>FIND("B",D35,1)</f>
        <v>7</v>
      </c>
    </row>
    <row r="36">
      <c r="B36" s="257"/>
      <c r="C36" s="257"/>
      <c r="D36" s="265" t="s">
        <v>1801</v>
      </c>
      <c r="E36" s="140" t="s">
        <v>1802</v>
      </c>
      <c r="F36" s="259">
        <f>FIND("r",D36,1)</f>
        <v>6</v>
      </c>
    </row>
    <row r="37">
      <c r="B37" s="257"/>
      <c r="C37" s="257"/>
      <c r="D37" s="265" t="s">
        <v>1803</v>
      </c>
      <c r="E37" s="140" t="s">
        <v>1804</v>
      </c>
      <c r="F37" s="259">
        <f>FIND("e",D37,1)</f>
        <v>4</v>
      </c>
    </row>
    <row r="38">
      <c r="B38" s="257"/>
      <c r="C38" s="257"/>
      <c r="D38" s="265" t="s">
        <v>1805</v>
      </c>
      <c r="E38" s="140" t="s">
        <v>1806</v>
      </c>
      <c r="F38" s="259">
        <f>FIND("-",D38,1)</f>
        <v>7</v>
      </c>
    </row>
    <row r="39">
      <c r="B39" s="260"/>
      <c r="C39" s="260"/>
      <c r="D39" s="261"/>
      <c r="E39" s="266"/>
      <c r="F39" s="263"/>
    </row>
    <row r="40">
      <c r="B40" s="264">
        <v>6.0</v>
      </c>
      <c r="C40" s="264" t="s">
        <v>279</v>
      </c>
      <c r="D40" s="254" t="s">
        <v>1797</v>
      </c>
      <c r="E40" s="255" t="s">
        <v>1807</v>
      </c>
      <c r="F40" s="256" t="str">
        <f>LEFT(D40,3)</f>
        <v>Mid</v>
      </c>
    </row>
    <row r="41">
      <c r="B41" s="257"/>
      <c r="C41" s="257"/>
      <c r="D41" s="265" t="s">
        <v>1799</v>
      </c>
      <c r="E41" s="140" t="s">
        <v>1808</v>
      </c>
      <c r="F41" s="259" t="str">
        <f t="shared" ref="F41:F42" si="2">LEFT(D41,5)</f>
        <v>Happy</v>
      </c>
    </row>
    <row r="42">
      <c r="B42" s="257"/>
      <c r="C42" s="257"/>
      <c r="D42" s="265" t="s">
        <v>1801</v>
      </c>
      <c r="E42" s="140" t="s">
        <v>1809</v>
      </c>
      <c r="F42" s="259" t="str">
        <f t="shared" si="2"/>
        <v>Unifo</v>
      </c>
    </row>
    <row r="43">
      <c r="B43" s="257"/>
      <c r="C43" s="257"/>
      <c r="D43" s="265" t="s">
        <v>1803</v>
      </c>
      <c r="E43" s="140" t="s">
        <v>1810</v>
      </c>
      <c r="F43" s="259" t="str">
        <f>LEFT(D43,9)</f>
        <v>Spreadshe</v>
      </c>
    </row>
    <row r="44">
      <c r="B44" s="260"/>
      <c r="C44" s="260"/>
      <c r="D44" s="268" t="s">
        <v>1805</v>
      </c>
      <c r="E44" s="262" t="s">
        <v>1811</v>
      </c>
      <c r="F44" s="263" t="str">
        <f>LEFT(D44,11)</f>
        <v>Google-Shee</v>
      </c>
    </row>
    <row r="45">
      <c r="B45" s="264">
        <v>7.0</v>
      </c>
      <c r="C45" s="264" t="s">
        <v>285</v>
      </c>
      <c r="D45" s="254" t="s">
        <v>1797</v>
      </c>
      <c r="E45" s="255" t="s">
        <v>1812</v>
      </c>
      <c r="F45" s="256" t="str">
        <f>RIGHT(D45,6)</f>
        <v>school</v>
      </c>
    </row>
    <row r="46">
      <c r="B46" s="257"/>
      <c r="C46" s="257"/>
      <c r="D46" s="265" t="s">
        <v>1801</v>
      </c>
      <c r="E46" s="140" t="s">
        <v>1813</v>
      </c>
      <c r="F46" s="259" t="str">
        <f>RIGHT(D46,3)</f>
        <v>orm</v>
      </c>
    </row>
    <row r="47">
      <c r="B47" s="257"/>
      <c r="C47" s="257"/>
      <c r="D47" s="265" t="s">
        <v>1803</v>
      </c>
      <c r="E47" s="140" t="s">
        <v>1814</v>
      </c>
      <c r="F47" s="259" t="str">
        <f>RIGHT(D47,8)</f>
        <v>adsheets</v>
      </c>
    </row>
    <row r="48">
      <c r="B48" s="260"/>
      <c r="C48" s="260"/>
      <c r="D48" s="268" t="s">
        <v>1805</v>
      </c>
      <c r="E48" s="262" t="s">
        <v>1815</v>
      </c>
      <c r="F48" s="263" t="str">
        <f>RIGHT(D48,9)</f>
        <v>gle-Sheet</v>
      </c>
    </row>
    <row r="49">
      <c r="B49" s="264">
        <v>8.0</v>
      </c>
      <c r="C49" s="264" t="s">
        <v>300</v>
      </c>
      <c r="D49" s="254" t="s">
        <v>1797</v>
      </c>
      <c r="E49" s="255" t="s">
        <v>1816</v>
      </c>
      <c r="F49" s="256" t="str">
        <f>MID(D49,3,5)</f>
        <v>dscho</v>
      </c>
    </row>
    <row r="50">
      <c r="B50" s="257"/>
      <c r="C50" s="257"/>
      <c r="D50" s="265" t="s">
        <v>1799</v>
      </c>
      <c r="E50" s="140" t="s">
        <v>1817</v>
      </c>
      <c r="F50" s="259" t="str">
        <f>MID(D50,5,2)</f>
        <v>y </v>
      </c>
    </row>
    <row r="51">
      <c r="B51" s="257"/>
      <c r="C51" s="257"/>
      <c r="D51" s="265" t="s">
        <v>1801</v>
      </c>
      <c r="E51" s="140" t="s">
        <v>1818</v>
      </c>
      <c r="F51" s="259" t="str">
        <f>MID(D51,3,5)</f>
        <v>iform</v>
      </c>
    </row>
    <row r="52">
      <c r="B52" s="257"/>
      <c r="C52" s="257"/>
      <c r="D52" s="265" t="s">
        <v>1803</v>
      </c>
      <c r="E52" s="140" t="s">
        <v>1819</v>
      </c>
      <c r="F52" s="259" t="str">
        <f>MID(D52,5,4)</f>
        <v>adsh</v>
      </c>
    </row>
    <row r="53">
      <c r="B53" s="260"/>
      <c r="C53" s="260"/>
      <c r="D53" s="268" t="s">
        <v>1805</v>
      </c>
      <c r="E53" s="262" t="s">
        <v>1820</v>
      </c>
      <c r="F53" s="263" t="str">
        <f>MID(D53,5,3)</f>
        <v>le-</v>
      </c>
    </row>
    <row r="54">
      <c r="B54" s="264">
        <v>9.0</v>
      </c>
      <c r="C54" s="264" t="s">
        <v>310</v>
      </c>
      <c r="D54" s="254" t="s">
        <v>1797</v>
      </c>
      <c r="E54" s="255" t="s">
        <v>1821</v>
      </c>
      <c r="F54" s="256" t="str">
        <f t="shared" ref="F54:F58" si="3">LOWER(D54)</f>
        <v>midschool</v>
      </c>
    </row>
    <row r="55">
      <c r="B55" s="257"/>
      <c r="C55" s="257"/>
      <c r="D55" s="265" t="s">
        <v>1799</v>
      </c>
      <c r="E55" s="140" t="s">
        <v>1822</v>
      </c>
      <c r="F55" s="259" t="str">
        <f t="shared" si="3"/>
        <v>happy birthday</v>
      </c>
    </row>
    <row r="56">
      <c r="B56" s="257"/>
      <c r="C56" s="257"/>
      <c r="D56" s="265" t="s">
        <v>1801</v>
      </c>
      <c r="E56" s="140" t="s">
        <v>1823</v>
      </c>
      <c r="F56" s="259" t="str">
        <f t="shared" si="3"/>
        <v>uniform</v>
      </c>
    </row>
    <row r="57">
      <c r="B57" s="257"/>
      <c r="C57" s="257"/>
      <c r="D57" s="265" t="s">
        <v>1803</v>
      </c>
      <c r="E57" s="140" t="s">
        <v>1824</v>
      </c>
      <c r="F57" s="259" t="str">
        <f t="shared" si="3"/>
        <v>spreadsheets</v>
      </c>
    </row>
    <row r="58">
      <c r="B58" s="260"/>
      <c r="C58" s="260"/>
      <c r="D58" s="268" t="s">
        <v>1805</v>
      </c>
      <c r="E58" s="262" t="s">
        <v>1825</v>
      </c>
      <c r="F58" s="263" t="str">
        <f t="shared" si="3"/>
        <v>google-sheet</v>
      </c>
    </row>
    <row r="59">
      <c r="B59" s="264">
        <v>10.0</v>
      </c>
      <c r="C59" s="264" t="s">
        <v>321</v>
      </c>
      <c r="D59" s="254" t="s">
        <v>1797</v>
      </c>
      <c r="E59" s="255" t="s">
        <v>1826</v>
      </c>
      <c r="F59" s="256" t="str">
        <f t="shared" ref="F59:F63" si="4">UPPER(D59)</f>
        <v>MIDSCHOOL</v>
      </c>
    </row>
    <row r="60">
      <c r="B60" s="257"/>
      <c r="C60" s="257"/>
      <c r="D60" s="265" t="s">
        <v>1799</v>
      </c>
      <c r="E60" s="140" t="s">
        <v>1827</v>
      </c>
      <c r="F60" s="259" t="str">
        <f t="shared" si="4"/>
        <v>HAPPY BIRTHDAY</v>
      </c>
    </row>
    <row r="61">
      <c r="B61" s="257"/>
      <c r="C61" s="257"/>
      <c r="D61" s="265" t="s">
        <v>1801</v>
      </c>
      <c r="E61" s="140" t="s">
        <v>1828</v>
      </c>
      <c r="F61" s="259" t="str">
        <f t="shared" si="4"/>
        <v>UNIFORM</v>
      </c>
    </row>
    <row r="62">
      <c r="B62" s="257"/>
      <c r="C62" s="257"/>
      <c r="D62" s="265" t="s">
        <v>1803</v>
      </c>
      <c r="E62" s="140" t="s">
        <v>1829</v>
      </c>
      <c r="F62" s="259" t="str">
        <f t="shared" si="4"/>
        <v>SPREADSHEETS</v>
      </c>
    </row>
    <row r="63">
      <c r="B63" s="260"/>
      <c r="C63" s="260"/>
      <c r="D63" s="268" t="s">
        <v>1805</v>
      </c>
      <c r="E63" s="262" t="s">
        <v>1830</v>
      </c>
      <c r="F63" s="263" t="str">
        <f t="shared" si="4"/>
        <v>GOOGLE-SHEET</v>
      </c>
    </row>
    <row r="64">
      <c r="B64" s="264">
        <v>11.0</v>
      </c>
      <c r="C64" s="264" t="s">
        <v>291</v>
      </c>
      <c r="D64" s="254" t="s">
        <v>1797</v>
      </c>
      <c r="E64" s="255" t="s">
        <v>1831</v>
      </c>
      <c r="F64" s="256">
        <f t="shared" ref="F64:F68" si="5">LEN(D64)</f>
        <v>9</v>
      </c>
    </row>
    <row r="65">
      <c r="B65" s="257"/>
      <c r="C65" s="257"/>
      <c r="D65" s="265" t="s">
        <v>1799</v>
      </c>
      <c r="E65" s="140" t="s">
        <v>1832</v>
      </c>
      <c r="F65" s="259">
        <f t="shared" si="5"/>
        <v>14</v>
      </c>
    </row>
    <row r="66">
      <c r="B66" s="257"/>
      <c r="C66" s="257"/>
      <c r="D66" s="265" t="s">
        <v>1801</v>
      </c>
      <c r="E66" s="140" t="s">
        <v>1833</v>
      </c>
      <c r="F66" s="259">
        <f t="shared" si="5"/>
        <v>7</v>
      </c>
    </row>
    <row r="67">
      <c r="B67" s="257"/>
      <c r="C67" s="257"/>
      <c r="D67" s="265" t="s">
        <v>1803</v>
      </c>
      <c r="E67" s="140" t="s">
        <v>1834</v>
      </c>
      <c r="F67" s="259">
        <f t="shared" si="5"/>
        <v>12</v>
      </c>
    </row>
    <row r="68">
      <c r="B68" s="260"/>
      <c r="C68" s="260"/>
      <c r="D68" s="268" t="s">
        <v>1805</v>
      </c>
      <c r="E68" s="262" t="s">
        <v>1835</v>
      </c>
      <c r="F68" s="263">
        <f t="shared" si="5"/>
        <v>12</v>
      </c>
    </row>
    <row r="69">
      <c r="B69" s="264">
        <v>12.0</v>
      </c>
      <c r="C69" s="264" t="s">
        <v>332</v>
      </c>
      <c r="D69" s="254" t="s">
        <v>1836</v>
      </c>
      <c r="E69" s="255" t="s">
        <v>1837</v>
      </c>
      <c r="F69" s="256" t="str">
        <f t="shared" ref="F69:F73" si="6">PROPER(D69)</f>
        <v>Midschool</v>
      </c>
    </row>
    <row r="70">
      <c r="B70" s="257"/>
      <c r="C70" s="257"/>
      <c r="D70" s="265" t="s">
        <v>1838</v>
      </c>
      <c r="E70" s="140" t="s">
        <v>1839</v>
      </c>
      <c r="F70" s="259" t="str">
        <f t="shared" si="6"/>
        <v>Happy Birttday</v>
      </c>
    </row>
    <row r="71">
      <c r="B71" s="257"/>
      <c r="C71" s="257"/>
      <c r="D71" s="265" t="s">
        <v>1840</v>
      </c>
      <c r="E71" s="140" t="s">
        <v>1841</v>
      </c>
      <c r="F71" s="259" t="str">
        <f t="shared" si="6"/>
        <v>Uniform</v>
      </c>
    </row>
    <row r="72">
      <c r="B72" s="257"/>
      <c r="C72" s="257"/>
      <c r="D72" s="265" t="s">
        <v>1842</v>
      </c>
      <c r="E72" s="140" t="s">
        <v>1843</v>
      </c>
      <c r="F72" s="259" t="str">
        <f t="shared" si="6"/>
        <v>Spreadsheets</v>
      </c>
    </row>
    <row r="73">
      <c r="B73" s="260"/>
      <c r="C73" s="260"/>
      <c r="D73" s="268" t="s">
        <v>1844</v>
      </c>
      <c r="E73" s="262" t="s">
        <v>1845</v>
      </c>
      <c r="F73" s="263" t="str">
        <f t="shared" si="6"/>
        <v>Google-Sheet</v>
      </c>
    </row>
    <row r="74">
      <c r="B74" s="264">
        <v>13.0</v>
      </c>
      <c r="C74" s="264" t="s">
        <v>343</v>
      </c>
      <c r="D74" s="254" t="s">
        <v>1780</v>
      </c>
      <c r="E74" s="255" t="s">
        <v>1846</v>
      </c>
      <c r="F74" s="256" t="str">
        <f>REPLACE(D74,1,5,"T")</f>
        <v>T</v>
      </c>
    </row>
    <row r="75">
      <c r="B75" s="257"/>
      <c r="C75" s="257"/>
      <c r="D75" s="265" t="s">
        <v>1799</v>
      </c>
      <c r="E75" s="140" t="s">
        <v>1847</v>
      </c>
      <c r="F75" s="259" t="str">
        <f>REPLACE(D75,1,5,"G1")</f>
        <v>G1 Birthday</v>
      </c>
    </row>
    <row r="76">
      <c r="B76" s="257"/>
      <c r="C76" s="257"/>
      <c r="D76" s="265" t="s">
        <v>1801</v>
      </c>
      <c r="E76" s="140" t="s">
        <v>1848</v>
      </c>
      <c r="F76" s="259" t="str">
        <f>REPLACE(D76,2,4,"87")</f>
        <v>U87rm</v>
      </c>
    </row>
    <row r="77">
      <c r="B77" s="257"/>
      <c r="C77" s="257"/>
      <c r="D77" s="265" t="s">
        <v>1803</v>
      </c>
      <c r="E77" s="140" t="s">
        <v>1849</v>
      </c>
      <c r="F77" s="259" t="str">
        <f>REPLACE(D77,2,4,"XYZ")</f>
        <v>SXYZdsheets</v>
      </c>
    </row>
    <row r="78">
      <c r="B78" s="269"/>
      <c r="C78" s="269"/>
      <c r="D78" s="268" t="s">
        <v>1805</v>
      </c>
      <c r="E78" s="262" t="s">
        <v>1850</v>
      </c>
      <c r="F78" s="263" t="str">
        <f>REPLACE(D78,7,8,"%")</f>
        <v>Google%</v>
      </c>
    </row>
    <row r="79">
      <c r="B79" s="14"/>
      <c r="D79" s="14"/>
    </row>
    <row r="80">
      <c r="B80" s="14"/>
      <c r="D80" s="14"/>
    </row>
    <row r="81">
      <c r="B81" s="14"/>
      <c r="D81" s="14"/>
    </row>
    <row r="82">
      <c r="B82" s="14"/>
      <c r="D82" s="14"/>
    </row>
    <row r="83">
      <c r="B83" s="14"/>
      <c r="D83" s="14"/>
    </row>
    <row r="84">
      <c r="B84" s="14"/>
      <c r="D84" s="14"/>
    </row>
    <row r="85">
      <c r="B85" s="14"/>
      <c r="D85" s="14"/>
    </row>
    <row r="86">
      <c r="B86" s="14"/>
      <c r="D86" s="14"/>
    </row>
    <row r="87">
      <c r="B87" s="14"/>
      <c r="D87" s="14"/>
    </row>
    <row r="88">
      <c r="B88" s="14"/>
      <c r="D88" s="14"/>
    </row>
    <row r="89">
      <c r="B89" s="14"/>
      <c r="D89" s="14"/>
    </row>
    <row r="90">
      <c r="B90" s="14"/>
      <c r="D90" s="14"/>
    </row>
    <row r="91">
      <c r="B91" s="14"/>
      <c r="D91" s="14"/>
    </row>
    <row r="92">
      <c r="B92" s="14"/>
      <c r="D92" s="14"/>
    </row>
    <row r="93">
      <c r="B93" s="14"/>
      <c r="D93" s="14"/>
    </row>
    <row r="94">
      <c r="B94" s="14"/>
      <c r="D94" s="14"/>
    </row>
    <row r="95">
      <c r="B95" s="14"/>
      <c r="D95" s="14"/>
    </row>
    <row r="96">
      <c r="B96" s="14"/>
      <c r="D96" s="14"/>
    </row>
    <row r="97">
      <c r="B97" s="14"/>
      <c r="D97" s="14"/>
    </row>
    <row r="98">
      <c r="B98" s="14"/>
      <c r="D98" s="14"/>
    </row>
    <row r="99">
      <c r="B99" s="14"/>
      <c r="D99" s="14"/>
    </row>
    <row r="100">
      <c r="B100" s="14"/>
      <c r="D100" s="14"/>
    </row>
    <row r="101">
      <c r="B101" s="14"/>
      <c r="D101" s="14"/>
    </row>
    <row r="102">
      <c r="B102" s="14"/>
      <c r="D102" s="14"/>
    </row>
    <row r="103">
      <c r="B103" s="14"/>
      <c r="D103" s="14"/>
    </row>
    <row r="104">
      <c r="B104" s="14"/>
      <c r="D104" s="14"/>
    </row>
    <row r="105">
      <c r="B105" s="14"/>
      <c r="D105" s="14"/>
    </row>
    <row r="106">
      <c r="B106" s="14"/>
      <c r="D106" s="14"/>
    </row>
    <row r="107">
      <c r="B107" s="14"/>
      <c r="D107" s="14"/>
    </row>
    <row r="108">
      <c r="B108" s="14"/>
      <c r="D108" s="14"/>
    </row>
    <row r="109">
      <c r="B109" s="14"/>
      <c r="D109" s="14"/>
    </row>
    <row r="110">
      <c r="B110" s="14"/>
      <c r="D110" s="14"/>
    </row>
    <row r="111">
      <c r="B111" s="14"/>
      <c r="D111" s="14"/>
    </row>
    <row r="112">
      <c r="B112" s="14"/>
      <c r="D112" s="14"/>
    </row>
    <row r="113">
      <c r="B113" s="14"/>
      <c r="D113" s="14"/>
    </row>
    <row r="114">
      <c r="B114" s="14"/>
      <c r="D114" s="14"/>
    </row>
    <row r="115">
      <c r="B115" s="14"/>
      <c r="D115" s="14"/>
    </row>
    <row r="116">
      <c r="B116" s="14"/>
      <c r="D116" s="14"/>
    </row>
    <row r="117">
      <c r="B117" s="14"/>
      <c r="D117" s="14"/>
    </row>
    <row r="118">
      <c r="B118" s="14"/>
      <c r="D118" s="14"/>
    </row>
    <row r="119">
      <c r="B119" s="14"/>
      <c r="D119" s="14"/>
    </row>
    <row r="120">
      <c r="B120" s="14"/>
      <c r="D120" s="14"/>
    </row>
    <row r="121">
      <c r="B121" s="14"/>
      <c r="D121" s="14"/>
    </row>
    <row r="122">
      <c r="B122" s="14"/>
      <c r="D122" s="14"/>
    </row>
    <row r="123">
      <c r="B123" s="14"/>
      <c r="D123" s="14"/>
    </row>
    <row r="124">
      <c r="B124" s="14"/>
      <c r="D124" s="14"/>
    </row>
    <row r="125">
      <c r="B125" s="14"/>
      <c r="D125" s="14"/>
    </row>
    <row r="126">
      <c r="B126" s="14"/>
      <c r="D126" s="14"/>
    </row>
    <row r="127">
      <c r="B127" s="14"/>
      <c r="D127" s="14"/>
    </row>
    <row r="128">
      <c r="B128" s="14"/>
      <c r="D128" s="14"/>
    </row>
    <row r="129">
      <c r="B129" s="14"/>
      <c r="D129" s="14"/>
    </row>
    <row r="130">
      <c r="B130" s="14"/>
      <c r="D130" s="14"/>
    </row>
    <row r="131">
      <c r="B131" s="14"/>
      <c r="D131" s="14"/>
    </row>
    <row r="132">
      <c r="B132" s="14"/>
      <c r="D132" s="14"/>
    </row>
    <row r="133">
      <c r="B133" s="14"/>
      <c r="D133" s="14"/>
    </row>
    <row r="134">
      <c r="B134" s="14"/>
      <c r="D134" s="14"/>
    </row>
    <row r="135">
      <c r="B135" s="14"/>
      <c r="D135" s="14"/>
    </row>
    <row r="136">
      <c r="B136" s="14"/>
      <c r="D136" s="14"/>
    </row>
    <row r="137">
      <c r="B137" s="14"/>
      <c r="D137" s="14"/>
    </row>
    <row r="138">
      <c r="B138" s="14"/>
      <c r="D138" s="14"/>
    </row>
    <row r="139">
      <c r="B139" s="14"/>
      <c r="D139" s="14"/>
    </row>
    <row r="140">
      <c r="B140" s="14"/>
      <c r="D140" s="14"/>
    </row>
    <row r="141">
      <c r="B141" s="14"/>
      <c r="D141" s="14"/>
    </row>
    <row r="142">
      <c r="B142" s="14"/>
      <c r="D142" s="14"/>
    </row>
    <row r="143">
      <c r="B143" s="14"/>
      <c r="D143" s="14"/>
    </row>
    <row r="144">
      <c r="B144" s="14"/>
      <c r="D144" s="14"/>
    </row>
    <row r="145">
      <c r="B145" s="14"/>
      <c r="D145" s="14"/>
    </row>
    <row r="146">
      <c r="B146" s="14"/>
      <c r="D146" s="14"/>
    </row>
    <row r="147">
      <c r="B147" s="14"/>
      <c r="D147" s="14"/>
    </row>
    <row r="148">
      <c r="B148" s="14"/>
      <c r="D148" s="14"/>
    </row>
    <row r="149">
      <c r="B149" s="14"/>
      <c r="D149" s="14"/>
    </row>
    <row r="150">
      <c r="B150" s="14"/>
      <c r="D150" s="14"/>
    </row>
    <row r="151">
      <c r="B151" s="14"/>
      <c r="D151" s="14"/>
    </row>
    <row r="152">
      <c r="B152" s="14"/>
      <c r="D152" s="14"/>
    </row>
    <row r="153">
      <c r="B153" s="14"/>
      <c r="D153" s="14"/>
    </row>
    <row r="154">
      <c r="B154" s="14"/>
      <c r="D154" s="14"/>
    </row>
    <row r="155">
      <c r="B155" s="14"/>
      <c r="D155" s="14"/>
    </row>
    <row r="156">
      <c r="B156" s="14"/>
      <c r="D156" s="14"/>
    </row>
    <row r="157">
      <c r="B157" s="14"/>
      <c r="D157" s="14"/>
    </row>
    <row r="158">
      <c r="B158" s="14"/>
      <c r="D158" s="14"/>
    </row>
    <row r="159">
      <c r="B159" s="14"/>
      <c r="D159" s="14"/>
    </row>
    <row r="160">
      <c r="B160" s="14"/>
      <c r="D160" s="14"/>
    </row>
    <row r="161">
      <c r="B161" s="14"/>
      <c r="D161" s="14"/>
    </row>
    <row r="162">
      <c r="B162" s="14"/>
      <c r="D162" s="14"/>
    </row>
    <row r="163">
      <c r="B163" s="14"/>
      <c r="D163" s="14"/>
    </row>
    <row r="164">
      <c r="B164" s="14"/>
      <c r="D164" s="14"/>
    </row>
    <row r="165">
      <c r="B165" s="14"/>
      <c r="D165" s="14"/>
    </row>
    <row r="166">
      <c r="B166" s="14"/>
      <c r="D166" s="14"/>
    </row>
    <row r="167">
      <c r="B167" s="14"/>
      <c r="D167" s="14"/>
    </row>
    <row r="168">
      <c r="B168" s="14"/>
      <c r="D168" s="14"/>
    </row>
    <row r="169">
      <c r="B169" s="14"/>
      <c r="D169" s="14"/>
    </row>
    <row r="170">
      <c r="B170" s="14"/>
      <c r="D170" s="14"/>
    </row>
    <row r="171">
      <c r="B171" s="14"/>
      <c r="D171" s="14"/>
    </row>
    <row r="172">
      <c r="B172" s="14"/>
      <c r="D172" s="14"/>
    </row>
    <row r="173">
      <c r="B173" s="14"/>
      <c r="D173" s="14"/>
    </row>
    <row r="174">
      <c r="B174" s="14"/>
      <c r="D174" s="14"/>
    </row>
    <row r="175">
      <c r="B175" s="14"/>
      <c r="D175" s="14"/>
    </row>
    <row r="176">
      <c r="B176" s="14"/>
      <c r="D176" s="14"/>
    </row>
    <row r="177">
      <c r="B177" s="14"/>
      <c r="D177" s="14"/>
    </row>
    <row r="178">
      <c r="B178" s="14"/>
      <c r="D178" s="14"/>
    </row>
    <row r="179">
      <c r="B179" s="14"/>
      <c r="D179" s="14"/>
    </row>
    <row r="180">
      <c r="B180" s="14"/>
      <c r="D180" s="14"/>
    </row>
    <row r="181">
      <c r="B181" s="14"/>
      <c r="D181" s="14"/>
    </row>
    <row r="182">
      <c r="B182" s="14"/>
      <c r="D182" s="14"/>
    </row>
    <row r="183">
      <c r="B183" s="14"/>
      <c r="D183" s="14"/>
    </row>
    <row r="184">
      <c r="B184" s="14"/>
      <c r="D184" s="14"/>
    </row>
    <row r="185">
      <c r="B185" s="14"/>
      <c r="D185" s="14"/>
    </row>
    <row r="186">
      <c r="B186" s="14"/>
      <c r="D186" s="14"/>
    </row>
    <row r="187">
      <c r="B187" s="14"/>
      <c r="D187" s="14"/>
    </row>
    <row r="188">
      <c r="B188" s="14"/>
      <c r="D188" s="14"/>
    </row>
    <row r="189">
      <c r="B189" s="14"/>
      <c r="D189" s="14"/>
    </row>
    <row r="190">
      <c r="B190" s="14"/>
      <c r="D190" s="14"/>
    </row>
    <row r="191">
      <c r="B191" s="14"/>
      <c r="D191" s="14"/>
    </row>
    <row r="192">
      <c r="B192" s="14"/>
      <c r="D192" s="14"/>
    </row>
    <row r="193">
      <c r="B193" s="14"/>
      <c r="D193" s="14"/>
    </row>
    <row r="194">
      <c r="B194" s="14"/>
      <c r="D194" s="14"/>
    </row>
    <row r="195">
      <c r="B195" s="14"/>
      <c r="D195" s="14"/>
    </row>
    <row r="196">
      <c r="B196" s="14"/>
      <c r="D196" s="14"/>
    </row>
    <row r="197">
      <c r="B197" s="14"/>
      <c r="D197" s="14"/>
    </row>
    <row r="198">
      <c r="B198" s="14"/>
      <c r="D198" s="14"/>
    </row>
    <row r="199">
      <c r="B199" s="14"/>
      <c r="D199" s="14"/>
    </row>
    <row r="200">
      <c r="B200" s="14"/>
      <c r="D200" s="14"/>
    </row>
    <row r="201">
      <c r="B201" s="14"/>
      <c r="D201" s="14"/>
    </row>
    <row r="202">
      <c r="B202" s="14"/>
      <c r="D202" s="14"/>
    </row>
    <row r="203">
      <c r="B203" s="14"/>
      <c r="D203" s="14"/>
    </row>
    <row r="204">
      <c r="B204" s="14"/>
      <c r="D204" s="14"/>
    </row>
    <row r="205">
      <c r="B205" s="14"/>
      <c r="D205" s="14"/>
    </row>
    <row r="206">
      <c r="B206" s="14"/>
      <c r="D206" s="14"/>
    </row>
    <row r="207">
      <c r="B207" s="14"/>
      <c r="D207" s="14"/>
    </row>
    <row r="208">
      <c r="B208" s="14"/>
      <c r="D208" s="14"/>
    </row>
    <row r="209">
      <c r="B209" s="14"/>
      <c r="D209" s="14"/>
    </row>
    <row r="210">
      <c r="B210" s="14"/>
      <c r="D210" s="14"/>
    </row>
    <row r="211">
      <c r="B211" s="14"/>
      <c r="D211" s="14"/>
    </row>
    <row r="212">
      <c r="B212" s="14"/>
      <c r="D212" s="14"/>
    </row>
    <row r="213">
      <c r="B213" s="14"/>
      <c r="D213" s="14"/>
    </row>
    <row r="214">
      <c r="B214" s="14"/>
      <c r="D214" s="14"/>
    </row>
    <row r="215">
      <c r="B215" s="14"/>
      <c r="D215" s="14"/>
    </row>
    <row r="216">
      <c r="B216" s="14"/>
      <c r="D216" s="14"/>
    </row>
    <row r="217">
      <c r="B217" s="14"/>
      <c r="D217" s="14"/>
    </row>
    <row r="218">
      <c r="B218" s="14"/>
      <c r="D218" s="14"/>
    </row>
    <row r="219">
      <c r="B219" s="14"/>
      <c r="D219" s="14"/>
    </row>
    <row r="220">
      <c r="B220" s="14"/>
      <c r="D220" s="14"/>
    </row>
    <row r="221">
      <c r="B221" s="14"/>
      <c r="D221" s="14"/>
    </row>
    <row r="222">
      <c r="B222" s="14"/>
      <c r="D222" s="14"/>
    </row>
    <row r="223">
      <c r="B223" s="14"/>
      <c r="D223" s="14"/>
    </row>
    <row r="224">
      <c r="B224" s="14"/>
      <c r="D224" s="14"/>
    </row>
    <row r="225">
      <c r="B225" s="14"/>
      <c r="D225" s="14"/>
    </row>
    <row r="226">
      <c r="B226" s="14"/>
      <c r="D226" s="14"/>
    </row>
    <row r="227">
      <c r="B227" s="14"/>
      <c r="D227" s="14"/>
    </row>
    <row r="228">
      <c r="B228" s="14"/>
      <c r="D228" s="14"/>
    </row>
    <row r="229">
      <c r="B229" s="14"/>
      <c r="D229" s="14"/>
    </row>
    <row r="230">
      <c r="B230" s="14"/>
      <c r="D230" s="14"/>
    </row>
    <row r="231">
      <c r="B231" s="14"/>
      <c r="D231" s="14"/>
    </row>
    <row r="232">
      <c r="B232" s="14"/>
      <c r="D232" s="14"/>
    </row>
    <row r="233">
      <c r="B233" s="14"/>
      <c r="D233" s="14"/>
    </row>
    <row r="234">
      <c r="B234" s="14"/>
      <c r="D234" s="14"/>
    </row>
    <row r="235">
      <c r="B235" s="14"/>
      <c r="D235" s="14"/>
    </row>
    <row r="236">
      <c r="B236" s="14"/>
      <c r="D236" s="14"/>
    </row>
    <row r="237">
      <c r="B237" s="14"/>
      <c r="D237" s="14"/>
    </row>
    <row r="238">
      <c r="B238" s="14"/>
      <c r="D238" s="14"/>
    </row>
    <row r="239">
      <c r="B239" s="14"/>
      <c r="D239" s="14"/>
    </row>
    <row r="240">
      <c r="B240" s="14"/>
      <c r="D240" s="14"/>
    </row>
    <row r="241">
      <c r="B241" s="14"/>
      <c r="D241" s="14"/>
    </row>
    <row r="242">
      <c r="B242" s="14"/>
      <c r="D242" s="14"/>
    </row>
    <row r="243">
      <c r="B243" s="14"/>
      <c r="D243" s="14"/>
    </row>
    <row r="244">
      <c r="B244" s="14"/>
      <c r="D244" s="14"/>
    </row>
    <row r="245">
      <c r="B245" s="14"/>
      <c r="D245" s="14"/>
    </row>
    <row r="246">
      <c r="B246" s="14"/>
      <c r="D246" s="14"/>
    </row>
    <row r="247">
      <c r="B247" s="14"/>
      <c r="D247" s="14"/>
    </row>
    <row r="248">
      <c r="B248" s="14"/>
      <c r="D248" s="14"/>
    </row>
    <row r="249">
      <c r="B249" s="14"/>
      <c r="D249" s="14"/>
    </row>
    <row r="250">
      <c r="B250" s="14"/>
      <c r="D250" s="14"/>
    </row>
    <row r="251">
      <c r="B251" s="14"/>
      <c r="D251" s="14"/>
    </row>
    <row r="252">
      <c r="B252" s="14"/>
      <c r="D252" s="14"/>
    </row>
    <row r="253">
      <c r="B253" s="14"/>
      <c r="D253" s="14"/>
    </row>
    <row r="254">
      <c r="B254" s="14"/>
      <c r="D254" s="14"/>
    </row>
    <row r="255">
      <c r="B255" s="14"/>
      <c r="D255" s="14"/>
    </row>
    <row r="256">
      <c r="B256" s="14"/>
      <c r="D256" s="14"/>
    </row>
    <row r="257">
      <c r="B257" s="14"/>
      <c r="D257" s="14"/>
    </row>
    <row r="258">
      <c r="B258" s="14"/>
      <c r="D258" s="14"/>
    </row>
    <row r="259">
      <c r="B259" s="14"/>
      <c r="D259" s="14"/>
    </row>
    <row r="260">
      <c r="B260" s="14"/>
      <c r="D260" s="14"/>
    </row>
    <row r="261">
      <c r="B261" s="14"/>
      <c r="D261" s="14"/>
    </row>
    <row r="262">
      <c r="B262" s="14"/>
      <c r="D262" s="14"/>
    </row>
    <row r="263">
      <c r="B263" s="14"/>
      <c r="D263" s="14"/>
    </row>
    <row r="264">
      <c r="B264" s="14"/>
      <c r="D264" s="14"/>
    </row>
    <row r="265">
      <c r="B265" s="14"/>
      <c r="D265" s="14"/>
    </row>
    <row r="266">
      <c r="B266" s="14"/>
      <c r="D266" s="14"/>
    </row>
    <row r="267">
      <c r="B267" s="14"/>
      <c r="D267" s="14"/>
    </row>
    <row r="268">
      <c r="B268" s="14"/>
      <c r="D268" s="14"/>
    </row>
    <row r="269">
      <c r="B269" s="14"/>
      <c r="D269" s="14"/>
    </row>
    <row r="270">
      <c r="B270" s="14"/>
      <c r="D270" s="14"/>
    </row>
    <row r="271">
      <c r="B271" s="14"/>
      <c r="D271" s="14"/>
    </row>
    <row r="272">
      <c r="B272" s="14"/>
      <c r="D272" s="14"/>
    </row>
    <row r="273">
      <c r="B273" s="14"/>
      <c r="D273" s="14"/>
    </row>
    <row r="274">
      <c r="B274" s="14"/>
      <c r="D274" s="14"/>
    </row>
    <row r="275">
      <c r="B275" s="14"/>
      <c r="D275" s="14"/>
    </row>
    <row r="276">
      <c r="B276" s="14"/>
      <c r="D276" s="14"/>
    </row>
    <row r="277">
      <c r="B277" s="14"/>
      <c r="D277" s="14"/>
    </row>
    <row r="278">
      <c r="B278" s="14"/>
      <c r="D278" s="14"/>
    </row>
    <row r="279">
      <c r="B279" s="14"/>
      <c r="D279" s="14"/>
    </row>
    <row r="280">
      <c r="B280" s="14"/>
      <c r="D280" s="14"/>
    </row>
    <row r="281">
      <c r="B281" s="14"/>
      <c r="D281" s="14"/>
    </row>
    <row r="282">
      <c r="B282" s="14"/>
      <c r="D282" s="14"/>
    </row>
    <row r="283">
      <c r="B283" s="14"/>
      <c r="D283" s="14"/>
    </row>
    <row r="284">
      <c r="B284" s="14"/>
      <c r="D284" s="14"/>
    </row>
    <row r="285">
      <c r="B285" s="14"/>
      <c r="D285" s="14"/>
    </row>
    <row r="286">
      <c r="B286" s="14"/>
      <c r="D286" s="14"/>
    </row>
    <row r="287">
      <c r="B287" s="14"/>
      <c r="D287" s="14"/>
    </row>
    <row r="288">
      <c r="B288" s="14"/>
      <c r="D288" s="14"/>
    </row>
    <row r="289">
      <c r="B289" s="14"/>
      <c r="D289" s="14"/>
    </row>
    <row r="290">
      <c r="B290" s="14"/>
      <c r="D290" s="14"/>
    </row>
    <row r="291">
      <c r="B291" s="14"/>
      <c r="D291" s="14"/>
    </row>
    <row r="292">
      <c r="B292" s="14"/>
      <c r="D292" s="14"/>
    </row>
    <row r="293">
      <c r="B293" s="14"/>
      <c r="D293" s="14"/>
    </row>
    <row r="294">
      <c r="B294" s="14"/>
      <c r="D294" s="14"/>
    </row>
    <row r="295">
      <c r="B295" s="14"/>
      <c r="D295" s="14"/>
    </row>
    <row r="296">
      <c r="B296" s="14"/>
      <c r="D296" s="14"/>
    </row>
    <row r="297">
      <c r="B297" s="14"/>
      <c r="D297" s="14"/>
    </row>
    <row r="298">
      <c r="B298" s="14"/>
      <c r="D298" s="14"/>
    </row>
    <row r="299">
      <c r="B299" s="14"/>
      <c r="D299" s="14"/>
    </row>
    <row r="300">
      <c r="B300" s="14"/>
      <c r="D300" s="14"/>
    </row>
    <row r="301">
      <c r="B301" s="14"/>
      <c r="D301" s="14"/>
    </row>
    <row r="302">
      <c r="B302" s="14"/>
      <c r="D302" s="14"/>
    </row>
    <row r="303">
      <c r="B303" s="14"/>
      <c r="D303" s="14"/>
    </row>
    <row r="304">
      <c r="B304" s="14"/>
      <c r="D304" s="14"/>
    </row>
    <row r="305">
      <c r="B305" s="14"/>
      <c r="D305" s="14"/>
    </row>
    <row r="306">
      <c r="B306" s="14"/>
      <c r="D306" s="14"/>
    </row>
    <row r="307">
      <c r="B307" s="14"/>
      <c r="D307" s="14"/>
    </row>
    <row r="308">
      <c r="B308" s="14"/>
      <c r="D308" s="14"/>
    </row>
    <row r="309">
      <c r="B309" s="14"/>
      <c r="D309" s="14"/>
    </row>
    <row r="310">
      <c r="B310" s="14"/>
      <c r="D310" s="14"/>
    </row>
    <row r="311">
      <c r="B311" s="14"/>
      <c r="D311" s="14"/>
    </row>
    <row r="312">
      <c r="B312" s="14"/>
      <c r="D312" s="14"/>
    </row>
    <row r="313">
      <c r="B313" s="14"/>
      <c r="D313" s="14"/>
    </row>
    <row r="314">
      <c r="B314" s="14"/>
      <c r="D314" s="14"/>
    </row>
    <row r="315">
      <c r="B315" s="14"/>
      <c r="D315" s="14"/>
    </row>
    <row r="316">
      <c r="B316" s="14"/>
      <c r="D316" s="14"/>
    </row>
    <row r="317">
      <c r="B317" s="14"/>
      <c r="D317" s="14"/>
    </row>
    <row r="318">
      <c r="B318" s="14"/>
      <c r="D318" s="14"/>
    </row>
    <row r="319">
      <c r="B319" s="14"/>
      <c r="D319" s="14"/>
    </row>
    <row r="320">
      <c r="B320" s="14"/>
      <c r="D320" s="14"/>
    </row>
    <row r="321">
      <c r="B321" s="14"/>
      <c r="D321" s="14"/>
    </row>
    <row r="322">
      <c r="B322" s="14"/>
      <c r="D322" s="14"/>
    </row>
    <row r="323">
      <c r="B323" s="14"/>
      <c r="D323" s="14"/>
    </row>
    <row r="324">
      <c r="B324" s="14"/>
      <c r="D324" s="14"/>
    </row>
    <row r="325">
      <c r="B325" s="14"/>
      <c r="D325" s="14"/>
    </row>
    <row r="326">
      <c r="B326" s="14"/>
      <c r="D326" s="14"/>
    </row>
    <row r="327">
      <c r="B327" s="14"/>
      <c r="D327" s="14"/>
    </row>
    <row r="328">
      <c r="B328" s="14"/>
      <c r="D328" s="14"/>
    </row>
    <row r="329">
      <c r="B329" s="14"/>
      <c r="D329" s="14"/>
    </row>
    <row r="330">
      <c r="B330" s="14"/>
      <c r="D330" s="14"/>
    </row>
    <row r="331">
      <c r="B331" s="14"/>
      <c r="D331" s="14"/>
    </row>
    <row r="332">
      <c r="B332" s="14"/>
      <c r="D332" s="14"/>
    </row>
    <row r="333">
      <c r="B333" s="14"/>
      <c r="D333" s="14"/>
    </row>
    <row r="334">
      <c r="B334" s="14"/>
      <c r="D334" s="14"/>
    </row>
    <row r="335">
      <c r="B335" s="14"/>
      <c r="D335" s="14"/>
    </row>
    <row r="336">
      <c r="B336" s="14"/>
      <c r="D336" s="14"/>
    </row>
    <row r="337">
      <c r="B337" s="14"/>
      <c r="D337" s="14"/>
    </row>
    <row r="338">
      <c r="B338" s="14"/>
      <c r="D338" s="14"/>
    </row>
    <row r="339">
      <c r="B339" s="14"/>
      <c r="D339" s="14"/>
    </row>
    <row r="340">
      <c r="B340" s="14"/>
      <c r="D340" s="14"/>
    </row>
    <row r="341">
      <c r="B341" s="14"/>
      <c r="D341" s="14"/>
    </row>
    <row r="342">
      <c r="B342" s="14"/>
      <c r="D342" s="14"/>
    </row>
    <row r="343">
      <c r="B343" s="14"/>
      <c r="D343" s="14"/>
    </row>
    <row r="344">
      <c r="B344" s="14"/>
      <c r="D344" s="14"/>
    </row>
    <row r="345">
      <c r="B345" s="14"/>
      <c r="D345" s="14"/>
    </row>
    <row r="346">
      <c r="B346" s="14"/>
      <c r="D346" s="14"/>
    </row>
    <row r="347">
      <c r="B347" s="14"/>
      <c r="D347" s="14"/>
    </row>
    <row r="348">
      <c r="B348" s="14"/>
      <c r="D348" s="14"/>
    </row>
    <row r="349">
      <c r="B349" s="14"/>
      <c r="D349" s="14"/>
    </row>
    <row r="350">
      <c r="B350" s="14"/>
      <c r="D350" s="14"/>
    </row>
    <row r="351">
      <c r="B351" s="14"/>
      <c r="D351" s="14"/>
    </row>
    <row r="352">
      <c r="B352" s="14"/>
      <c r="D352" s="14"/>
    </row>
    <row r="353">
      <c r="B353" s="14"/>
      <c r="D353" s="14"/>
    </row>
    <row r="354">
      <c r="B354" s="14"/>
      <c r="D354" s="14"/>
    </row>
    <row r="355">
      <c r="B355" s="14"/>
      <c r="D355" s="14"/>
    </row>
    <row r="356">
      <c r="B356" s="14"/>
      <c r="D356" s="14"/>
    </row>
    <row r="357">
      <c r="B357" s="14"/>
      <c r="D357" s="14"/>
    </row>
    <row r="358">
      <c r="B358" s="14"/>
      <c r="D358" s="14"/>
    </row>
    <row r="359">
      <c r="B359" s="14"/>
      <c r="D359" s="14"/>
    </row>
    <row r="360">
      <c r="B360" s="14"/>
      <c r="D360" s="14"/>
    </row>
    <row r="361">
      <c r="B361" s="14"/>
      <c r="D361" s="14"/>
    </row>
    <row r="362">
      <c r="B362" s="14"/>
      <c r="D362" s="14"/>
    </row>
    <row r="363">
      <c r="B363" s="14"/>
      <c r="D363" s="14"/>
    </row>
    <row r="364">
      <c r="B364" s="14"/>
      <c r="D364" s="14"/>
    </row>
    <row r="365">
      <c r="B365" s="14"/>
      <c r="D365" s="14"/>
    </row>
    <row r="366">
      <c r="B366" s="14"/>
      <c r="D366" s="14"/>
    </row>
    <row r="367">
      <c r="B367" s="14"/>
      <c r="D367" s="14"/>
    </row>
    <row r="368">
      <c r="B368" s="14"/>
      <c r="D368" s="14"/>
    </row>
    <row r="369">
      <c r="B369" s="14"/>
      <c r="D369" s="14"/>
    </row>
    <row r="370">
      <c r="B370" s="14"/>
      <c r="D370" s="14"/>
    </row>
    <row r="371">
      <c r="B371" s="14"/>
      <c r="D371" s="14"/>
    </row>
    <row r="372">
      <c r="B372" s="14"/>
      <c r="D372" s="14"/>
    </row>
    <row r="373">
      <c r="B373" s="14"/>
      <c r="D373" s="14"/>
    </row>
    <row r="374">
      <c r="B374" s="14"/>
      <c r="D374" s="14"/>
    </row>
    <row r="375">
      <c r="B375" s="14"/>
      <c r="D375" s="14"/>
    </row>
    <row r="376">
      <c r="B376" s="14"/>
      <c r="D376" s="14"/>
    </row>
    <row r="377">
      <c r="B377" s="14"/>
      <c r="D377" s="14"/>
    </row>
    <row r="378">
      <c r="B378" s="14"/>
      <c r="D378" s="14"/>
    </row>
    <row r="379">
      <c r="B379" s="14"/>
      <c r="D379" s="14"/>
    </row>
    <row r="380">
      <c r="B380" s="14"/>
      <c r="D380" s="14"/>
    </row>
    <row r="381">
      <c r="B381" s="14"/>
      <c r="D381" s="14"/>
    </row>
    <row r="382">
      <c r="B382" s="14"/>
      <c r="D382" s="14"/>
    </row>
    <row r="383">
      <c r="B383" s="14"/>
      <c r="D383" s="14"/>
    </row>
    <row r="384">
      <c r="B384" s="14"/>
      <c r="D384" s="14"/>
    </row>
    <row r="385">
      <c r="B385" s="14"/>
      <c r="D385" s="14"/>
    </row>
    <row r="386">
      <c r="B386" s="14"/>
      <c r="D386" s="14"/>
    </row>
    <row r="387">
      <c r="B387" s="14"/>
      <c r="D387" s="14"/>
    </row>
    <row r="388">
      <c r="B388" s="14"/>
      <c r="D388" s="14"/>
    </row>
    <row r="389">
      <c r="B389" s="14"/>
      <c r="D389" s="14"/>
    </row>
    <row r="390">
      <c r="B390" s="14"/>
      <c r="D390" s="14"/>
    </row>
    <row r="391">
      <c r="B391" s="14"/>
      <c r="D391" s="14"/>
    </row>
    <row r="392">
      <c r="B392" s="14"/>
      <c r="D392" s="14"/>
    </row>
    <row r="393">
      <c r="B393" s="14"/>
      <c r="D393" s="14"/>
    </row>
    <row r="394">
      <c r="B394" s="14"/>
      <c r="D394" s="14"/>
    </row>
    <row r="395">
      <c r="B395" s="14"/>
      <c r="D395" s="14"/>
    </row>
    <row r="396">
      <c r="B396" s="14"/>
      <c r="D396" s="14"/>
    </row>
    <row r="397">
      <c r="B397" s="14"/>
      <c r="D397" s="14"/>
    </row>
    <row r="398">
      <c r="B398" s="14"/>
      <c r="D398" s="14"/>
    </row>
    <row r="399">
      <c r="B399" s="14"/>
      <c r="D399" s="14"/>
    </row>
    <row r="400">
      <c r="B400" s="14"/>
      <c r="D400" s="14"/>
    </row>
    <row r="401">
      <c r="B401" s="14"/>
      <c r="D401" s="14"/>
    </row>
    <row r="402">
      <c r="B402" s="14"/>
      <c r="D402" s="14"/>
    </row>
    <row r="403">
      <c r="B403" s="14"/>
      <c r="D403" s="14"/>
    </row>
    <row r="404">
      <c r="B404" s="14"/>
      <c r="D404" s="14"/>
    </row>
    <row r="405">
      <c r="B405" s="14"/>
      <c r="D405" s="14"/>
    </row>
    <row r="406">
      <c r="B406" s="14"/>
      <c r="D406" s="14"/>
    </row>
    <row r="407">
      <c r="B407" s="14"/>
      <c r="D407" s="14"/>
    </row>
    <row r="408">
      <c r="B408" s="14"/>
      <c r="D408" s="14"/>
    </row>
    <row r="409">
      <c r="B409" s="14"/>
      <c r="D409" s="14"/>
    </row>
    <row r="410">
      <c r="B410" s="14"/>
      <c r="D410" s="14"/>
    </row>
    <row r="411">
      <c r="B411" s="14"/>
      <c r="D411" s="14"/>
    </row>
    <row r="412">
      <c r="B412" s="14"/>
      <c r="D412" s="14"/>
    </row>
    <row r="413">
      <c r="B413" s="14"/>
      <c r="D413" s="14"/>
    </row>
    <row r="414">
      <c r="B414" s="14"/>
      <c r="D414" s="14"/>
    </row>
    <row r="415">
      <c r="B415" s="14"/>
      <c r="D415" s="14"/>
    </row>
    <row r="416">
      <c r="B416" s="14"/>
      <c r="D416" s="14"/>
    </row>
    <row r="417">
      <c r="B417" s="14"/>
      <c r="D417" s="14"/>
    </row>
    <row r="418">
      <c r="B418" s="14"/>
      <c r="D418" s="14"/>
    </row>
    <row r="419">
      <c r="B419" s="14"/>
      <c r="D419" s="14"/>
    </row>
    <row r="420">
      <c r="B420" s="14"/>
      <c r="D420" s="14"/>
    </row>
    <row r="421">
      <c r="B421" s="14"/>
      <c r="D421" s="14"/>
    </row>
    <row r="422">
      <c r="B422" s="14"/>
      <c r="D422" s="14"/>
    </row>
    <row r="423">
      <c r="B423" s="14"/>
      <c r="D423" s="14"/>
    </row>
    <row r="424">
      <c r="B424" s="14"/>
      <c r="D424" s="14"/>
    </row>
    <row r="425">
      <c r="B425" s="14"/>
      <c r="D425" s="14"/>
    </row>
    <row r="426">
      <c r="B426" s="14"/>
      <c r="D426" s="14"/>
    </row>
    <row r="427">
      <c r="B427" s="14"/>
      <c r="D427" s="14"/>
    </row>
    <row r="428">
      <c r="B428" s="14"/>
      <c r="D428" s="14"/>
    </row>
    <row r="429">
      <c r="B429" s="14"/>
      <c r="D429" s="14"/>
    </row>
    <row r="430">
      <c r="B430" s="14"/>
      <c r="D430" s="14"/>
    </row>
    <row r="431">
      <c r="B431" s="14"/>
      <c r="D431" s="14"/>
    </row>
    <row r="432">
      <c r="B432" s="14"/>
      <c r="D432" s="14"/>
    </row>
    <row r="433">
      <c r="B433" s="14"/>
      <c r="D433" s="14"/>
    </row>
    <row r="434">
      <c r="B434" s="14"/>
      <c r="D434" s="14"/>
    </row>
    <row r="435">
      <c r="B435" s="14"/>
      <c r="D435" s="14"/>
    </row>
    <row r="436">
      <c r="B436" s="14"/>
      <c r="D436" s="14"/>
    </row>
    <row r="437">
      <c r="B437" s="14"/>
      <c r="D437" s="14"/>
    </row>
    <row r="438">
      <c r="B438" s="14"/>
      <c r="D438" s="14"/>
    </row>
    <row r="439">
      <c r="B439" s="14"/>
      <c r="D439" s="14"/>
    </row>
    <row r="440">
      <c r="B440" s="14"/>
      <c r="D440" s="14"/>
    </row>
    <row r="441">
      <c r="B441" s="14"/>
      <c r="D441" s="14"/>
    </row>
    <row r="442">
      <c r="B442" s="14"/>
      <c r="D442" s="14"/>
    </row>
    <row r="443">
      <c r="B443" s="14"/>
      <c r="D443" s="14"/>
    </row>
    <row r="444">
      <c r="B444" s="14"/>
      <c r="D444" s="14"/>
    </row>
    <row r="445">
      <c r="B445" s="14"/>
      <c r="D445" s="14"/>
    </row>
    <row r="446">
      <c r="B446" s="14"/>
      <c r="D446" s="14"/>
    </row>
    <row r="447">
      <c r="B447" s="14"/>
      <c r="D447" s="14"/>
    </row>
    <row r="448">
      <c r="B448" s="14"/>
      <c r="D448" s="14"/>
    </row>
    <row r="449">
      <c r="B449" s="14"/>
      <c r="D449" s="14"/>
    </row>
    <row r="450">
      <c r="B450" s="14"/>
      <c r="D450" s="14"/>
    </row>
    <row r="451">
      <c r="B451" s="14"/>
      <c r="D451" s="14"/>
    </row>
    <row r="452">
      <c r="B452" s="14"/>
      <c r="D452" s="14"/>
    </row>
    <row r="453">
      <c r="B453" s="14"/>
      <c r="D453" s="14"/>
    </row>
    <row r="454">
      <c r="B454" s="14"/>
      <c r="D454" s="14"/>
    </row>
    <row r="455">
      <c r="B455" s="14"/>
      <c r="D455" s="14"/>
    </row>
    <row r="456">
      <c r="B456" s="14"/>
      <c r="D456" s="14"/>
    </row>
    <row r="457">
      <c r="B457" s="14"/>
      <c r="D457" s="14"/>
    </row>
    <row r="458">
      <c r="B458" s="14"/>
      <c r="D458" s="14"/>
    </row>
    <row r="459">
      <c r="B459" s="14"/>
      <c r="D459" s="14"/>
    </row>
    <row r="460">
      <c r="B460" s="14"/>
      <c r="D460" s="14"/>
    </row>
    <row r="461">
      <c r="B461" s="14"/>
      <c r="D461" s="14"/>
    </row>
    <row r="462">
      <c r="B462" s="14"/>
      <c r="D462" s="14"/>
    </row>
    <row r="463">
      <c r="B463" s="14"/>
      <c r="D463" s="14"/>
    </row>
    <row r="464">
      <c r="B464" s="14"/>
      <c r="D464" s="14"/>
    </row>
    <row r="465">
      <c r="B465" s="14"/>
      <c r="D465" s="14"/>
    </row>
    <row r="466">
      <c r="B466" s="14"/>
      <c r="D466" s="14"/>
    </row>
    <row r="467">
      <c r="B467" s="14"/>
      <c r="D467" s="14"/>
    </row>
    <row r="468">
      <c r="B468" s="14"/>
      <c r="D468" s="14"/>
    </row>
    <row r="469">
      <c r="B469" s="14"/>
      <c r="D469" s="14"/>
    </row>
    <row r="470">
      <c r="B470" s="14"/>
      <c r="D470" s="14"/>
    </row>
    <row r="471">
      <c r="B471" s="14"/>
      <c r="D471" s="14"/>
    </row>
    <row r="472">
      <c r="B472" s="14"/>
      <c r="D472" s="14"/>
    </row>
    <row r="473">
      <c r="B473" s="14"/>
      <c r="D473" s="14"/>
    </row>
    <row r="474">
      <c r="B474" s="14"/>
      <c r="D474" s="14"/>
    </row>
    <row r="475">
      <c r="B475" s="14"/>
      <c r="D475" s="14"/>
    </row>
    <row r="476">
      <c r="B476" s="14"/>
      <c r="D476" s="14"/>
    </row>
    <row r="477">
      <c r="B477" s="14"/>
      <c r="D477" s="14"/>
    </row>
    <row r="478">
      <c r="B478" s="14"/>
      <c r="D478" s="14"/>
    </row>
    <row r="479">
      <c r="B479" s="14"/>
      <c r="D479" s="14"/>
    </row>
    <row r="480">
      <c r="B480" s="14"/>
      <c r="D480" s="14"/>
    </row>
    <row r="481">
      <c r="B481" s="14"/>
      <c r="D481" s="14"/>
    </row>
    <row r="482">
      <c r="B482" s="14"/>
      <c r="D482" s="14"/>
    </row>
    <row r="483">
      <c r="B483" s="14"/>
      <c r="D483" s="14"/>
    </row>
    <row r="484">
      <c r="B484" s="14"/>
      <c r="D484" s="14"/>
    </row>
    <row r="485">
      <c r="B485" s="14"/>
      <c r="D485" s="14"/>
    </row>
    <row r="486">
      <c r="B486" s="14"/>
      <c r="D486" s="14"/>
    </row>
    <row r="487">
      <c r="B487" s="14"/>
      <c r="D487" s="14"/>
    </row>
    <row r="488">
      <c r="B488" s="14"/>
      <c r="D488" s="14"/>
    </row>
    <row r="489">
      <c r="B489" s="14"/>
      <c r="D489" s="14"/>
    </row>
    <row r="490">
      <c r="B490" s="14"/>
      <c r="D490" s="14"/>
    </row>
    <row r="491">
      <c r="B491" s="14"/>
      <c r="D491" s="14"/>
    </row>
    <row r="492">
      <c r="B492" s="14"/>
      <c r="D492" s="14"/>
    </row>
    <row r="493">
      <c r="B493" s="14"/>
      <c r="D493" s="14"/>
    </row>
    <row r="494">
      <c r="B494" s="14"/>
      <c r="D494" s="14"/>
    </row>
    <row r="495">
      <c r="B495" s="14"/>
      <c r="D495" s="14"/>
    </row>
    <row r="496">
      <c r="B496" s="14"/>
      <c r="D496" s="14"/>
    </row>
    <row r="497">
      <c r="B497" s="14"/>
      <c r="D497" s="14"/>
    </row>
    <row r="498">
      <c r="B498" s="14"/>
      <c r="D498" s="14"/>
    </row>
    <row r="499">
      <c r="B499" s="14"/>
      <c r="D499" s="14"/>
    </row>
    <row r="500">
      <c r="B500" s="14"/>
      <c r="D500" s="14"/>
    </row>
    <row r="501">
      <c r="B501" s="14"/>
      <c r="D501" s="14"/>
    </row>
    <row r="502">
      <c r="B502" s="14"/>
      <c r="D502" s="14"/>
    </row>
    <row r="503">
      <c r="B503" s="14"/>
      <c r="D503" s="14"/>
    </row>
    <row r="504">
      <c r="B504" s="14"/>
      <c r="D504" s="14"/>
    </row>
    <row r="505">
      <c r="B505" s="14"/>
      <c r="D505" s="14"/>
    </row>
    <row r="506">
      <c r="B506" s="14"/>
      <c r="D506" s="14"/>
    </row>
    <row r="507">
      <c r="B507" s="14"/>
      <c r="D507" s="14"/>
    </row>
    <row r="508">
      <c r="B508" s="14"/>
      <c r="D508" s="14"/>
    </row>
    <row r="509">
      <c r="B509" s="14"/>
      <c r="D509" s="14"/>
    </row>
    <row r="510">
      <c r="B510" s="14"/>
      <c r="D510" s="14"/>
    </row>
    <row r="511">
      <c r="B511" s="14"/>
      <c r="D511" s="14"/>
    </row>
    <row r="512">
      <c r="B512" s="14"/>
      <c r="D512" s="14"/>
    </row>
    <row r="513">
      <c r="B513" s="14"/>
      <c r="D513" s="14"/>
    </row>
    <row r="514">
      <c r="B514" s="14"/>
      <c r="D514" s="14"/>
    </row>
    <row r="515">
      <c r="B515" s="14"/>
      <c r="D515" s="14"/>
    </row>
    <row r="516">
      <c r="B516" s="14"/>
      <c r="D516" s="14"/>
    </row>
    <row r="517">
      <c r="B517" s="14"/>
      <c r="D517" s="14"/>
    </row>
    <row r="518">
      <c r="B518" s="14"/>
      <c r="D518" s="14"/>
    </row>
    <row r="519">
      <c r="B519" s="14"/>
      <c r="D519" s="14"/>
    </row>
    <row r="520">
      <c r="B520" s="14"/>
      <c r="D520" s="14"/>
    </row>
    <row r="521">
      <c r="B521" s="14"/>
      <c r="D521" s="14"/>
    </row>
    <row r="522">
      <c r="B522" s="14"/>
      <c r="D522" s="14"/>
    </row>
    <row r="523">
      <c r="B523" s="14"/>
      <c r="D523" s="14"/>
    </row>
    <row r="524">
      <c r="B524" s="14"/>
      <c r="D524" s="14"/>
    </row>
    <row r="525">
      <c r="B525" s="14"/>
      <c r="D525" s="14"/>
    </row>
    <row r="526">
      <c r="B526" s="14"/>
      <c r="D526" s="14"/>
    </row>
    <row r="527">
      <c r="B527" s="14"/>
      <c r="D527" s="14"/>
    </row>
    <row r="528">
      <c r="B528" s="14"/>
      <c r="D528" s="14"/>
    </row>
    <row r="529">
      <c r="B529" s="14"/>
      <c r="D529" s="14"/>
    </row>
    <row r="530">
      <c r="B530" s="14"/>
      <c r="D530" s="14"/>
    </row>
    <row r="531">
      <c r="B531" s="14"/>
      <c r="D531" s="14"/>
    </row>
    <row r="532">
      <c r="B532" s="14"/>
      <c r="D532" s="14"/>
    </row>
    <row r="533">
      <c r="B533" s="14"/>
      <c r="D533" s="14"/>
    </row>
    <row r="534">
      <c r="B534" s="14"/>
      <c r="D534" s="14"/>
    </row>
    <row r="535">
      <c r="B535" s="14"/>
      <c r="D535" s="14"/>
    </row>
    <row r="536">
      <c r="B536" s="14"/>
      <c r="D536" s="14"/>
    </row>
    <row r="537">
      <c r="B537" s="14"/>
      <c r="D537" s="14"/>
    </row>
    <row r="538">
      <c r="B538" s="14"/>
      <c r="D538" s="14"/>
    </row>
    <row r="539">
      <c r="B539" s="14"/>
      <c r="D539" s="14"/>
    </row>
    <row r="540">
      <c r="B540" s="14"/>
      <c r="D540" s="14"/>
    </row>
    <row r="541">
      <c r="B541" s="14"/>
      <c r="D541" s="14"/>
    </row>
    <row r="542">
      <c r="B542" s="14"/>
      <c r="D542" s="14"/>
    </row>
    <row r="543">
      <c r="B543" s="14"/>
      <c r="D543" s="14"/>
    </row>
    <row r="544">
      <c r="B544" s="14"/>
      <c r="D544" s="14"/>
    </row>
    <row r="545">
      <c r="B545" s="14"/>
      <c r="D545" s="14"/>
    </row>
    <row r="546">
      <c r="B546" s="14"/>
      <c r="D546" s="14"/>
    </row>
    <row r="547">
      <c r="B547" s="14"/>
      <c r="D547" s="14"/>
    </row>
    <row r="548">
      <c r="B548" s="14"/>
      <c r="D548" s="14"/>
    </row>
    <row r="549">
      <c r="B549" s="14"/>
      <c r="D549" s="14"/>
    </row>
    <row r="550">
      <c r="B550" s="14"/>
      <c r="D550" s="14"/>
    </row>
    <row r="551">
      <c r="B551" s="14"/>
      <c r="D551" s="14"/>
    </row>
    <row r="552">
      <c r="B552" s="14"/>
      <c r="D552" s="14"/>
    </row>
    <row r="553">
      <c r="B553" s="14"/>
      <c r="D553" s="14"/>
    </row>
    <row r="554">
      <c r="B554" s="14"/>
      <c r="D554" s="14"/>
    </row>
    <row r="555">
      <c r="B555" s="14"/>
      <c r="D555" s="14"/>
    </row>
    <row r="556">
      <c r="B556" s="14"/>
      <c r="D556" s="14"/>
    </row>
    <row r="557">
      <c r="B557" s="14"/>
      <c r="D557" s="14"/>
    </row>
    <row r="558">
      <c r="B558" s="14"/>
      <c r="D558" s="14"/>
    </row>
    <row r="559">
      <c r="B559" s="14"/>
      <c r="D559" s="14"/>
    </row>
    <row r="560">
      <c r="B560" s="14"/>
      <c r="D560" s="14"/>
    </row>
    <row r="561">
      <c r="B561" s="14"/>
      <c r="D561" s="14"/>
    </row>
    <row r="562">
      <c r="B562" s="14"/>
      <c r="D562" s="14"/>
    </row>
    <row r="563">
      <c r="B563" s="14"/>
      <c r="D563" s="14"/>
    </row>
    <row r="564">
      <c r="B564" s="14"/>
      <c r="D564" s="14"/>
    </row>
    <row r="565">
      <c r="B565" s="14"/>
      <c r="D565" s="14"/>
    </row>
    <row r="566">
      <c r="B566" s="14"/>
      <c r="D566" s="14"/>
    </row>
    <row r="567">
      <c r="B567" s="14"/>
      <c r="D567" s="14"/>
    </row>
    <row r="568">
      <c r="B568" s="14"/>
      <c r="D568" s="14"/>
    </row>
    <row r="569">
      <c r="B569" s="14"/>
      <c r="D569" s="14"/>
    </row>
    <row r="570">
      <c r="B570" s="14"/>
      <c r="D570" s="14"/>
    </row>
    <row r="571">
      <c r="B571" s="14"/>
      <c r="D571" s="14"/>
    </row>
    <row r="572">
      <c r="B572" s="14"/>
      <c r="D572" s="14"/>
    </row>
    <row r="573">
      <c r="B573" s="14"/>
      <c r="D573" s="14"/>
    </row>
    <row r="574">
      <c r="B574" s="14"/>
      <c r="D574" s="14"/>
    </row>
    <row r="575">
      <c r="B575" s="14"/>
      <c r="D575" s="14"/>
    </row>
    <row r="576">
      <c r="B576" s="14"/>
      <c r="D576" s="14"/>
    </row>
    <row r="577">
      <c r="B577" s="14"/>
      <c r="D577" s="14"/>
    </row>
    <row r="578">
      <c r="B578" s="14"/>
      <c r="D578" s="14"/>
    </row>
    <row r="579">
      <c r="B579" s="14"/>
      <c r="D579" s="14"/>
    </row>
    <row r="580">
      <c r="B580" s="14"/>
      <c r="D580" s="14"/>
    </row>
    <row r="581">
      <c r="B581" s="14"/>
      <c r="D581" s="14"/>
    </row>
    <row r="582">
      <c r="B582" s="14"/>
      <c r="D582" s="14"/>
    </row>
    <row r="583">
      <c r="B583" s="14"/>
      <c r="D583" s="14"/>
    </row>
    <row r="584">
      <c r="B584" s="14"/>
      <c r="D584" s="14"/>
    </row>
    <row r="585">
      <c r="B585" s="14"/>
      <c r="D585" s="14"/>
    </row>
    <row r="586">
      <c r="B586" s="14"/>
      <c r="D586" s="14"/>
    </row>
    <row r="587">
      <c r="B587" s="14"/>
      <c r="D587" s="14"/>
    </row>
    <row r="588">
      <c r="B588" s="14"/>
      <c r="D588" s="14"/>
    </row>
    <row r="589">
      <c r="B589" s="14"/>
      <c r="D589" s="14"/>
    </row>
    <row r="590">
      <c r="B590" s="14"/>
      <c r="D590" s="14"/>
    </row>
    <row r="591">
      <c r="B591" s="14"/>
      <c r="D591" s="14"/>
    </row>
    <row r="592">
      <c r="B592" s="14"/>
      <c r="D592" s="14"/>
    </row>
    <row r="593">
      <c r="B593" s="14"/>
      <c r="D593" s="14"/>
    </row>
    <row r="594">
      <c r="B594" s="14"/>
      <c r="D594" s="14"/>
    </row>
    <row r="595">
      <c r="B595" s="14"/>
      <c r="D595" s="14"/>
    </row>
    <row r="596">
      <c r="B596" s="14"/>
      <c r="D596" s="14"/>
    </row>
    <row r="597">
      <c r="B597" s="14"/>
      <c r="D597" s="14"/>
    </row>
    <row r="598">
      <c r="B598" s="14"/>
      <c r="D598" s="14"/>
    </row>
    <row r="599">
      <c r="B599" s="14"/>
      <c r="D599" s="14"/>
    </row>
    <row r="600">
      <c r="B600" s="14"/>
      <c r="D600" s="14"/>
    </row>
    <row r="601">
      <c r="B601" s="14"/>
      <c r="D601" s="14"/>
    </row>
    <row r="602">
      <c r="B602" s="14"/>
      <c r="D602" s="14"/>
    </row>
    <row r="603">
      <c r="B603" s="14"/>
      <c r="D603" s="14"/>
    </row>
    <row r="604">
      <c r="B604" s="14"/>
      <c r="D604" s="14"/>
    </row>
    <row r="605">
      <c r="B605" s="14"/>
      <c r="D605" s="14"/>
    </row>
    <row r="606">
      <c r="B606" s="14"/>
      <c r="D606" s="14"/>
    </row>
    <row r="607">
      <c r="B607" s="14"/>
      <c r="D607" s="14"/>
    </row>
    <row r="608">
      <c r="B608" s="14"/>
      <c r="D608" s="14"/>
    </row>
    <row r="609">
      <c r="B609" s="14"/>
      <c r="D609" s="14"/>
    </row>
    <row r="610">
      <c r="B610" s="14"/>
      <c r="D610" s="14"/>
    </row>
    <row r="611">
      <c r="B611" s="14"/>
      <c r="D611" s="14"/>
    </row>
    <row r="612">
      <c r="B612" s="14"/>
      <c r="D612" s="14"/>
    </row>
    <row r="613">
      <c r="B613" s="14"/>
      <c r="D613" s="14"/>
    </row>
    <row r="614">
      <c r="B614" s="14"/>
      <c r="D614" s="14"/>
    </row>
    <row r="615">
      <c r="B615" s="14"/>
      <c r="D615" s="14"/>
    </row>
    <row r="616">
      <c r="B616" s="14"/>
      <c r="D616" s="14"/>
    </row>
    <row r="617">
      <c r="B617" s="14"/>
      <c r="D617" s="14"/>
    </row>
    <row r="618">
      <c r="B618" s="14"/>
      <c r="D618" s="14"/>
    </row>
    <row r="619">
      <c r="B619" s="14"/>
      <c r="D619" s="14"/>
    </row>
    <row r="620">
      <c r="B620" s="14"/>
      <c r="D620" s="14"/>
    </row>
    <row r="621">
      <c r="B621" s="14"/>
      <c r="D621" s="14"/>
    </row>
    <row r="622">
      <c r="B622" s="14"/>
      <c r="D622" s="14"/>
    </row>
    <row r="623">
      <c r="B623" s="14"/>
      <c r="D623" s="14"/>
    </row>
    <row r="624">
      <c r="B624" s="14"/>
      <c r="D624" s="14"/>
    </row>
    <row r="625">
      <c r="B625" s="14"/>
      <c r="D625" s="14"/>
    </row>
    <row r="626">
      <c r="B626" s="14"/>
      <c r="D626" s="14"/>
    </row>
    <row r="627">
      <c r="B627" s="14"/>
      <c r="D627" s="14"/>
    </row>
    <row r="628">
      <c r="B628" s="14"/>
      <c r="D628" s="14"/>
    </row>
    <row r="629">
      <c r="B629" s="14"/>
      <c r="D629" s="14"/>
    </row>
    <row r="630">
      <c r="B630" s="14"/>
      <c r="D630" s="14"/>
    </row>
    <row r="631">
      <c r="B631" s="14"/>
      <c r="D631" s="14"/>
    </row>
    <row r="632">
      <c r="B632" s="14"/>
      <c r="D632" s="14"/>
    </row>
    <row r="633">
      <c r="B633" s="14"/>
      <c r="D633" s="14"/>
    </row>
    <row r="634">
      <c r="B634" s="14"/>
      <c r="D634" s="14"/>
    </row>
    <row r="635">
      <c r="B635" s="14"/>
      <c r="D635" s="14"/>
    </row>
    <row r="636">
      <c r="B636" s="14"/>
      <c r="D636" s="14"/>
    </row>
    <row r="637">
      <c r="B637" s="14"/>
      <c r="D637" s="14"/>
    </row>
    <row r="638">
      <c r="B638" s="14"/>
      <c r="D638" s="14"/>
    </row>
    <row r="639">
      <c r="B639" s="14"/>
      <c r="D639" s="14"/>
    </row>
    <row r="640">
      <c r="B640" s="14"/>
      <c r="D640" s="14"/>
    </row>
    <row r="641">
      <c r="B641" s="14"/>
      <c r="D641" s="14"/>
    </row>
    <row r="642">
      <c r="B642" s="14"/>
      <c r="D642" s="14"/>
    </row>
    <row r="643">
      <c r="B643" s="14"/>
      <c r="D643" s="14"/>
    </row>
    <row r="644">
      <c r="B644" s="14"/>
      <c r="D644" s="14"/>
    </row>
    <row r="645">
      <c r="B645" s="14"/>
      <c r="D645" s="14"/>
    </row>
    <row r="646">
      <c r="B646" s="14"/>
      <c r="D646" s="14"/>
    </row>
    <row r="647">
      <c r="B647" s="14"/>
      <c r="D647" s="14"/>
    </row>
    <row r="648">
      <c r="B648" s="14"/>
      <c r="D648" s="14"/>
    </row>
    <row r="649">
      <c r="B649" s="14"/>
      <c r="D649" s="14"/>
    </row>
    <row r="650">
      <c r="B650" s="14"/>
      <c r="D650" s="14"/>
    </row>
    <row r="651">
      <c r="B651" s="14"/>
      <c r="D651" s="14"/>
    </row>
    <row r="652">
      <c r="B652" s="14"/>
      <c r="D652" s="14"/>
    </row>
    <row r="653">
      <c r="B653" s="14"/>
      <c r="D653" s="14"/>
    </row>
    <row r="654">
      <c r="B654" s="14"/>
      <c r="D654" s="14"/>
    </row>
    <row r="655">
      <c r="B655" s="14"/>
      <c r="D655" s="14"/>
    </row>
    <row r="656">
      <c r="B656" s="14"/>
      <c r="D656" s="14"/>
    </row>
    <row r="657">
      <c r="B657" s="14"/>
      <c r="D657" s="14"/>
    </row>
    <row r="658">
      <c r="B658" s="14"/>
      <c r="D658" s="14"/>
    </row>
    <row r="659">
      <c r="B659" s="14"/>
      <c r="D659" s="14"/>
    </row>
    <row r="660">
      <c r="B660" s="14"/>
      <c r="D660" s="14"/>
    </row>
    <row r="661">
      <c r="B661" s="14"/>
      <c r="D661" s="14"/>
    </row>
    <row r="662">
      <c r="B662" s="14"/>
      <c r="D662" s="14"/>
    </row>
    <row r="663">
      <c r="B663" s="14"/>
      <c r="D663" s="14"/>
    </row>
    <row r="664">
      <c r="B664" s="14"/>
      <c r="D664" s="14"/>
    </row>
    <row r="665">
      <c r="B665" s="14"/>
      <c r="D665" s="14"/>
    </row>
    <row r="666">
      <c r="B666" s="14"/>
      <c r="D666" s="14"/>
    </row>
    <row r="667">
      <c r="B667" s="14"/>
      <c r="D667" s="14"/>
    </row>
    <row r="668">
      <c r="B668" s="14"/>
      <c r="D668" s="14"/>
    </row>
    <row r="669">
      <c r="B669" s="14"/>
      <c r="D669" s="14"/>
    </row>
    <row r="670">
      <c r="B670" s="14"/>
      <c r="D670" s="14"/>
    </row>
    <row r="671">
      <c r="B671" s="14"/>
      <c r="D671" s="14"/>
    </row>
    <row r="672">
      <c r="B672" s="14"/>
      <c r="D672" s="14"/>
    </row>
    <row r="673">
      <c r="B673" s="14"/>
      <c r="D673" s="14"/>
    </row>
    <row r="674">
      <c r="B674" s="14"/>
      <c r="D674" s="14"/>
    </row>
    <row r="675">
      <c r="B675" s="14"/>
      <c r="D675" s="14"/>
    </row>
    <row r="676">
      <c r="B676" s="14"/>
      <c r="D676" s="14"/>
    </row>
    <row r="677">
      <c r="B677" s="14"/>
      <c r="D677" s="14"/>
    </row>
    <row r="678">
      <c r="B678" s="14"/>
      <c r="D678" s="14"/>
    </row>
    <row r="679">
      <c r="B679" s="14"/>
      <c r="D679" s="14"/>
    </row>
    <row r="680">
      <c r="B680" s="14"/>
      <c r="D680" s="14"/>
    </row>
    <row r="681">
      <c r="B681" s="14"/>
      <c r="D681" s="14"/>
    </row>
    <row r="682">
      <c r="B682" s="14"/>
      <c r="D682" s="14"/>
    </row>
    <row r="683">
      <c r="B683" s="14"/>
      <c r="D683" s="14"/>
    </row>
    <row r="684">
      <c r="B684" s="14"/>
      <c r="D684" s="14"/>
    </row>
    <row r="685">
      <c r="B685" s="14"/>
      <c r="D685" s="14"/>
    </row>
    <row r="686">
      <c r="B686" s="14"/>
      <c r="D686" s="14"/>
    </row>
    <row r="687">
      <c r="B687" s="14"/>
      <c r="D687" s="14"/>
    </row>
    <row r="688">
      <c r="B688" s="14"/>
      <c r="D688" s="14"/>
    </row>
    <row r="689">
      <c r="B689" s="14"/>
      <c r="D689" s="14"/>
    </row>
    <row r="690">
      <c r="B690" s="14"/>
      <c r="D690" s="14"/>
    </row>
    <row r="691">
      <c r="B691" s="14"/>
      <c r="D691" s="14"/>
    </row>
    <row r="692">
      <c r="B692" s="14"/>
      <c r="D692" s="14"/>
    </row>
    <row r="693">
      <c r="B693" s="14"/>
      <c r="D693" s="14"/>
    </row>
    <row r="694">
      <c r="B694" s="14"/>
      <c r="D694" s="14"/>
    </row>
    <row r="695">
      <c r="B695" s="14"/>
      <c r="D695" s="14"/>
    </row>
    <row r="696">
      <c r="B696" s="14"/>
      <c r="D696" s="14"/>
    </row>
    <row r="697">
      <c r="B697" s="14"/>
      <c r="D697" s="14"/>
    </row>
    <row r="698">
      <c r="B698" s="14"/>
      <c r="D698" s="14"/>
    </row>
    <row r="699">
      <c r="B699" s="14"/>
      <c r="D699" s="14"/>
    </row>
    <row r="700">
      <c r="B700" s="14"/>
      <c r="D700" s="14"/>
    </row>
    <row r="701">
      <c r="B701" s="14"/>
      <c r="D701" s="14"/>
    </row>
    <row r="702">
      <c r="B702" s="14"/>
      <c r="D702" s="14"/>
    </row>
    <row r="703">
      <c r="B703" s="14"/>
      <c r="D703" s="14"/>
    </row>
    <row r="704">
      <c r="B704" s="14"/>
      <c r="D704" s="14"/>
    </row>
    <row r="705">
      <c r="B705" s="14"/>
      <c r="D705" s="14"/>
    </row>
    <row r="706">
      <c r="B706" s="14"/>
      <c r="D706" s="14"/>
    </row>
    <row r="707">
      <c r="B707" s="14"/>
      <c r="D707" s="14"/>
    </row>
    <row r="708">
      <c r="B708" s="14"/>
      <c r="D708" s="14"/>
    </row>
    <row r="709">
      <c r="B709" s="14"/>
      <c r="D709" s="14"/>
    </row>
    <row r="710">
      <c r="B710" s="14"/>
      <c r="D710" s="14"/>
    </row>
    <row r="711">
      <c r="B711" s="14"/>
      <c r="D711" s="14"/>
    </row>
    <row r="712">
      <c r="B712" s="14"/>
      <c r="D712" s="14"/>
    </row>
    <row r="713">
      <c r="B713" s="14"/>
      <c r="D713" s="14"/>
    </row>
    <row r="714">
      <c r="B714" s="14"/>
      <c r="D714" s="14"/>
    </row>
    <row r="715">
      <c r="B715" s="14"/>
      <c r="D715" s="14"/>
    </row>
    <row r="716">
      <c r="B716" s="14"/>
      <c r="D716" s="14"/>
    </row>
    <row r="717">
      <c r="B717" s="14"/>
      <c r="D717" s="14"/>
    </row>
    <row r="718">
      <c r="B718" s="14"/>
      <c r="D718" s="14"/>
    </row>
    <row r="719">
      <c r="B719" s="14"/>
      <c r="D719" s="14"/>
    </row>
    <row r="720">
      <c r="B720" s="14"/>
      <c r="D720" s="14"/>
    </row>
    <row r="721">
      <c r="B721" s="14"/>
      <c r="D721" s="14"/>
    </row>
    <row r="722">
      <c r="B722" s="14"/>
      <c r="D722" s="14"/>
    </row>
    <row r="723">
      <c r="B723" s="14"/>
      <c r="D723" s="14"/>
    </row>
    <row r="724">
      <c r="B724" s="14"/>
      <c r="D724" s="14"/>
    </row>
    <row r="725">
      <c r="B725" s="14"/>
      <c r="D725" s="14"/>
    </row>
    <row r="726">
      <c r="B726" s="14"/>
      <c r="D726" s="14"/>
    </row>
    <row r="727">
      <c r="B727" s="14"/>
      <c r="D727" s="14"/>
    </row>
    <row r="728">
      <c r="B728" s="14"/>
      <c r="D728" s="14"/>
    </row>
    <row r="729">
      <c r="B729" s="14"/>
      <c r="D729" s="14"/>
    </row>
    <row r="730">
      <c r="B730" s="14"/>
      <c r="D730" s="14"/>
    </row>
    <row r="731">
      <c r="B731" s="14"/>
      <c r="D731" s="14"/>
    </row>
    <row r="732">
      <c r="B732" s="14"/>
      <c r="D732" s="14"/>
    </row>
    <row r="733">
      <c r="B733" s="14"/>
      <c r="D733" s="14"/>
    </row>
    <row r="734">
      <c r="B734" s="14"/>
      <c r="D734" s="14"/>
    </row>
    <row r="735">
      <c r="B735" s="14"/>
      <c r="D735" s="14"/>
    </row>
    <row r="736">
      <c r="B736" s="14"/>
      <c r="D736" s="14"/>
    </row>
    <row r="737">
      <c r="B737" s="14"/>
      <c r="D737" s="14"/>
    </row>
    <row r="738">
      <c r="B738" s="14"/>
      <c r="D738" s="14"/>
    </row>
    <row r="739">
      <c r="B739" s="14"/>
      <c r="D739" s="14"/>
    </row>
    <row r="740">
      <c r="B740" s="14"/>
      <c r="D740" s="14"/>
    </row>
    <row r="741">
      <c r="B741" s="14"/>
      <c r="D741" s="14"/>
    </row>
    <row r="742">
      <c r="B742" s="14"/>
      <c r="D742" s="14"/>
    </row>
    <row r="743">
      <c r="B743" s="14"/>
      <c r="D743" s="14"/>
    </row>
    <row r="744">
      <c r="B744" s="14"/>
      <c r="D744" s="14"/>
    </row>
    <row r="745">
      <c r="B745" s="14"/>
      <c r="D745" s="14"/>
    </row>
    <row r="746">
      <c r="B746" s="14"/>
      <c r="D746" s="14"/>
    </row>
    <row r="747">
      <c r="B747" s="14"/>
      <c r="D747" s="14"/>
    </row>
    <row r="748">
      <c r="B748" s="14"/>
      <c r="D748" s="14"/>
    </row>
    <row r="749">
      <c r="B749" s="14"/>
      <c r="D749" s="14"/>
    </row>
    <row r="750">
      <c r="B750" s="14"/>
      <c r="D750" s="14"/>
    </row>
    <row r="751">
      <c r="B751" s="14"/>
      <c r="D751" s="14"/>
    </row>
    <row r="752">
      <c r="B752" s="14"/>
      <c r="D752" s="14"/>
    </row>
    <row r="753">
      <c r="B753" s="14"/>
      <c r="D753" s="14"/>
    </row>
    <row r="754">
      <c r="B754" s="14"/>
      <c r="D754" s="14"/>
    </row>
    <row r="755">
      <c r="B755" s="14"/>
      <c r="D755" s="14"/>
    </row>
    <row r="756">
      <c r="B756" s="14"/>
      <c r="D756" s="14"/>
    </row>
    <row r="757">
      <c r="B757" s="14"/>
      <c r="D757" s="14"/>
    </row>
    <row r="758">
      <c r="B758" s="14"/>
      <c r="D758" s="14"/>
    </row>
    <row r="759">
      <c r="B759" s="14"/>
      <c r="D759" s="14"/>
    </row>
    <row r="760">
      <c r="B760" s="14"/>
      <c r="D760" s="14"/>
    </row>
    <row r="761">
      <c r="B761" s="14"/>
      <c r="D761" s="14"/>
    </row>
    <row r="762">
      <c r="B762" s="14"/>
      <c r="D762" s="14"/>
    </row>
    <row r="763">
      <c r="B763" s="14"/>
      <c r="D763" s="14"/>
    </row>
    <row r="764">
      <c r="B764" s="14"/>
      <c r="D764" s="14"/>
    </row>
    <row r="765">
      <c r="B765" s="14"/>
      <c r="D765" s="14"/>
    </row>
    <row r="766">
      <c r="B766" s="14"/>
      <c r="D766" s="14"/>
    </row>
    <row r="767">
      <c r="B767" s="14"/>
      <c r="D767" s="14"/>
    </row>
    <row r="768">
      <c r="B768" s="14"/>
      <c r="D768" s="14"/>
    </row>
    <row r="769">
      <c r="B769" s="14"/>
      <c r="D769" s="14"/>
    </row>
    <row r="770">
      <c r="B770" s="14"/>
      <c r="D770" s="14"/>
    </row>
    <row r="771">
      <c r="B771" s="14"/>
      <c r="D771" s="14"/>
    </row>
    <row r="772">
      <c r="B772" s="14"/>
      <c r="D772" s="14"/>
    </row>
    <row r="773">
      <c r="B773" s="14"/>
      <c r="D773" s="14"/>
    </row>
    <row r="774">
      <c r="B774" s="14"/>
      <c r="D774" s="14"/>
    </row>
    <row r="775">
      <c r="B775" s="14"/>
      <c r="D775" s="14"/>
    </row>
    <row r="776">
      <c r="B776" s="14"/>
      <c r="D776" s="14"/>
    </row>
    <row r="777">
      <c r="B777" s="14"/>
      <c r="D777" s="14"/>
    </row>
    <row r="778">
      <c r="B778" s="14"/>
      <c r="D778" s="14"/>
    </row>
    <row r="779">
      <c r="B779" s="14"/>
      <c r="D779" s="14"/>
    </row>
    <row r="780">
      <c r="B780" s="14"/>
      <c r="D780" s="14"/>
    </row>
    <row r="781">
      <c r="B781" s="14"/>
      <c r="D781" s="14"/>
    </row>
    <row r="782">
      <c r="B782" s="14"/>
      <c r="D782" s="14"/>
    </row>
    <row r="783">
      <c r="B783" s="14"/>
      <c r="D783" s="14"/>
    </row>
    <row r="784">
      <c r="B784" s="14"/>
      <c r="D784" s="14"/>
    </row>
    <row r="785">
      <c r="B785" s="14"/>
      <c r="D785" s="14"/>
    </row>
    <row r="786">
      <c r="B786" s="14"/>
      <c r="D786" s="14"/>
    </row>
    <row r="787">
      <c r="B787" s="14"/>
      <c r="D787" s="14"/>
    </row>
    <row r="788">
      <c r="B788" s="14"/>
      <c r="D788" s="14"/>
    </row>
    <row r="789">
      <c r="B789" s="14"/>
      <c r="D789" s="14"/>
    </row>
    <row r="790">
      <c r="B790" s="14"/>
      <c r="D790" s="14"/>
    </row>
    <row r="791">
      <c r="B791" s="14"/>
      <c r="D791" s="14"/>
    </row>
    <row r="792">
      <c r="B792" s="14"/>
      <c r="D792" s="14"/>
    </row>
    <row r="793">
      <c r="B793" s="14"/>
      <c r="D793" s="14"/>
    </row>
    <row r="794">
      <c r="B794" s="14"/>
      <c r="D794" s="14"/>
    </row>
    <row r="795">
      <c r="B795" s="14"/>
      <c r="D795" s="14"/>
    </row>
    <row r="796">
      <c r="B796" s="14"/>
      <c r="D796" s="14"/>
    </row>
    <row r="797">
      <c r="B797" s="14"/>
      <c r="D797" s="14"/>
    </row>
    <row r="798">
      <c r="B798" s="14"/>
      <c r="D798" s="14"/>
    </row>
    <row r="799">
      <c r="B799" s="14"/>
      <c r="D799" s="14"/>
    </row>
    <row r="800">
      <c r="B800" s="14"/>
      <c r="D800" s="14"/>
    </row>
    <row r="801">
      <c r="B801" s="14"/>
      <c r="D801" s="14"/>
    </row>
    <row r="802">
      <c r="B802" s="14"/>
      <c r="D802" s="14"/>
    </row>
    <row r="803">
      <c r="B803" s="14"/>
      <c r="D803" s="14"/>
    </row>
    <row r="804">
      <c r="B804" s="14"/>
      <c r="D804" s="14"/>
    </row>
    <row r="805">
      <c r="B805" s="14"/>
      <c r="D805" s="14"/>
    </row>
    <row r="806">
      <c r="B806" s="14"/>
      <c r="D806" s="14"/>
    </row>
    <row r="807">
      <c r="B807" s="14"/>
      <c r="D807" s="14"/>
    </row>
    <row r="808">
      <c r="B808" s="14"/>
      <c r="D808" s="14"/>
    </row>
    <row r="809">
      <c r="B809" s="14"/>
      <c r="D809" s="14"/>
    </row>
    <row r="810">
      <c r="B810" s="14"/>
      <c r="D810" s="14"/>
    </row>
    <row r="811">
      <c r="B811" s="14"/>
      <c r="D811" s="14"/>
    </row>
    <row r="812">
      <c r="B812" s="14"/>
      <c r="D812" s="14"/>
    </row>
    <row r="813">
      <c r="B813" s="14"/>
      <c r="D813" s="14"/>
    </row>
    <row r="814">
      <c r="B814" s="14"/>
      <c r="D814" s="14"/>
    </row>
    <row r="815">
      <c r="B815" s="14"/>
      <c r="D815" s="14"/>
    </row>
    <row r="816">
      <c r="B816" s="14"/>
      <c r="D816" s="14"/>
    </row>
    <row r="817">
      <c r="B817" s="14"/>
      <c r="D817" s="14"/>
    </row>
    <row r="818">
      <c r="B818" s="14"/>
      <c r="D818" s="14"/>
    </row>
    <row r="819">
      <c r="B819" s="14"/>
      <c r="D819" s="14"/>
    </row>
    <row r="820">
      <c r="B820" s="14"/>
      <c r="D820" s="14"/>
    </row>
    <row r="821">
      <c r="B821" s="14"/>
      <c r="D821" s="14"/>
    </row>
    <row r="822">
      <c r="B822" s="14"/>
      <c r="D822" s="14"/>
    </row>
    <row r="823">
      <c r="B823" s="14"/>
      <c r="D823" s="14"/>
    </row>
    <row r="824">
      <c r="B824" s="14"/>
      <c r="D824" s="14"/>
    </row>
    <row r="825">
      <c r="B825" s="14"/>
      <c r="D825" s="14"/>
    </row>
    <row r="826">
      <c r="B826" s="14"/>
      <c r="D826" s="14"/>
    </row>
    <row r="827">
      <c r="B827" s="14"/>
      <c r="D827" s="14"/>
    </row>
    <row r="828">
      <c r="B828" s="14"/>
      <c r="D828" s="14"/>
    </row>
    <row r="829">
      <c r="B829" s="14"/>
      <c r="D829" s="14"/>
    </row>
    <row r="830">
      <c r="B830" s="14"/>
      <c r="D830" s="14"/>
    </row>
    <row r="831">
      <c r="B831" s="14"/>
      <c r="D831" s="14"/>
    </row>
    <row r="832">
      <c r="B832" s="14"/>
      <c r="D832" s="14"/>
    </row>
    <row r="833">
      <c r="B833" s="14"/>
      <c r="D833" s="14"/>
    </row>
    <row r="834">
      <c r="B834" s="14"/>
      <c r="D834" s="14"/>
    </row>
    <row r="835">
      <c r="B835" s="14"/>
      <c r="D835" s="14"/>
    </row>
    <row r="836">
      <c r="B836" s="14"/>
      <c r="D836" s="14"/>
    </row>
    <row r="837">
      <c r="B837" s="14"/>
      <c r="D837" s="14"/>
    </row>
    <row r="838">
      <c r="B838" s="14"/>
      <c r="D838" s="14"/>
    </row>
    <row r="839">
      <c r="B839" s="14"/>
      <c r="D839" s="14"/>
    </row>
    <row r="840">
      <c r="B840" s="14"/>
      <c r="D840" s="14"/>
    </row>
    <row r="841">
      <c r="B841" s="14"/>
      <c r="D841" s="14"/>
    </row>
    <row r="842">
      <c r="B842" s="14"/>
      <c r="D842" s="14"/>
    </row>
    <row r="843">
      <c r="B843" s="14"/>
      <c r="D843" s="14"/>
    </row>
    <row r="844">
      <c r="B844" s="14"/>
      <c r="D844" s="14"/>
    </row>
    <row r="845">
      <c r="B845" s="14"/>
      <c r="D845" s="14"/>
    </row>
    <row r="846">
      <c r="B846" s="14"/>
      <c r="D846" s="14"/>
    </row>
    <row r="847">
      <c r="B847" s="14"/>
      <c r="D847" s="14"/>
    </row>
    <row r="848">
      <c r="B848" s="14"/>
      <c r="D848" s="14"/>
    </row>
    <row r="849">
      <c r="B849" s="14"/>
      <c r="D849" s="14"/>
    </row>
    <row r="850">
      <c r="B850" s="14"/>
      <c r="D850" s="14"/>
    </row>
    <row r="851">
      <c r="B851" s="14"/>
      <c r="D851" s="14"/>
    </row>
    <row r="852">
      <c r="B852" s="14"/>
      <c r="D852" s="14"/>
    </row>
    <row r="853">
      <c r="B853" s="14"/>
      <c r="D853" s="14"/>
    </row>
    <row r="854">
      <c r="B854" s="14"/>
      <c r="D854" s="14"/>
    </row>
    <row r="855">
      <c r="B855" s="14"/>
      <c r="D855" s="14"/>
    </row>
    <row r="856">
      <c r="B856" s="14"/>
      <c r="D856" s="14"/>
    </row>
    <row r="857">
      <c r="B857" s="14"/>
      <c r="D857" s="14"/>
    </row>
    <row r="858">
      <c r="B858" s="14"/>
      <c r="D858" s="14"/>
    </row>
    <row r="859">
      <c r="B859" s="14"/>
      <c r="D859" s="14"/>
    </row>
    <row r="860">
      <c r="B860" s="14"/>
      <c r="D860" s="14"/>
    </row>
    <row r="861">
      <c r="B861" s="14"/>
      <c r="D861" s="14"/>
    </row>
    <row r="862">
      <c r="B862" s="14"/>
      <c r="D862" s="14"/>
    </row>
    <row r="863">
      <c r="B863" s="14"/>
      <c r="D863" s="14"/>
    </row>
    <row r="864">
      <c r="B864" s="14"/>
      <c r="D864" s="14"/>
    </row>
    <row r="865">
      <c r="B865" s="14"/>
      <c r="D865" s="14"/>
    </row>
    <row r="866">
      <c r="B866" s="14"/>
      <c r="D866" s="14"/>
    </row>
    <row r="867">
      <c r="B867" s="14"/>
      <c r="D867" s="14"/>
    </row>
    <row r="868">
      <c r="B868" s="14"/>
      <c r="D868" s="14"/>
    </row>
    <row r="869">
      <c r="B869" s="14"/>
      <c r="D869" s="14"/>
    </row>
    <row r="870">
      <c r="B870" s="14"/>
      <c r="D870" s="14"/>
    </row>
    <row r="871">
      <c r="B871" s="14"/>
      <c r="D871" s="14"/>
    </row>
    <row r="872">
      <c r="B872" s="14"/>
      <c r="D872" s="14"/>
    </row>
    <row r="873">
      <c r="B873" s="14"/>
      <c r="D873" s="14"/>
    </row>
    <row r="874">
      <c r="B874" s="14"/>
      <c r="D874" s="14"/>
    </row>
    <row r="875">
      <c r="B875" s="14"/>
      <c r="D875" s="14"/>
    </row>
    <row r="876">
      <c r="B876" s="14"/>
      <c r="D876" s="14"/>
    </row>
    <row r="877">
      <c r="B877" s="14"/>
      <c r="D877" s="14"/>
    </row>
    <row r="878">
      <c r="B878" s="14"/>
      <c r="D878" s="14"/>
    </row>
    <row r="879">
      <c r="B879" s="14"/>
      <c r="D879" s="14"/>
    </row>
    <row r="880">
      <c r="B880" s="14"/>
      <c r="D880" s="14"/>
    </row>
    <row r="881">
      <c r="B881" s="14"/>
      <c r="D881" s="14"/>
    </row>
    <row r="882">
      <c r="B882" s="14"/>
      <c r="D882" s="14"/>
    </row>
    <row r="883">
      <c r="B883" s="14"/>
      <c r="D883" s="14"/>
    </row>
    <row r="884">
      <c r="B884" s="14"/>
      <c r="D884" s="14"/>
    </row>
    <row r="885">
      <c r="B885" s="14"/>
      <c r="D885" s="14"/>
    </row>
    <row r="886">
      <c r="B886" s="14"/>
      <c r="D886" s="14"/>
    </row>
    <row r="887">
      <c r="B887" s="14"/>
      <c r="D887" s="14"/>
    </row>
    <row r="888">
      <c r="B888" s="14"/>
      <c r="D888" s="14"/>
    </row>
    <row r="889">
      <c r="B889" s="14"/>
      <c r="D889" s="14"/>
    </row>
    <row r="890">
      <c r="B890" s="14"/>
      <c r="D890" s="14"/>
    </row>
    <row r="891">
      <c r="B891" s="14"/>
      <c r="D891" s="14"/>
    </row>
    <row r="892">
      <c r="B892" s="14"/>
      <c r="D892" s="14"/>
    </row>
    <row r="893">
      <c r="B893" s="14"/>
      <c r="D893" s="14"/>
    </row>
    <row r="894">
      <c r="B894" s="14"/>
      <c r="D894" s="14"/>
    </row>
    <row r="895">
      <c r="B895" s="14"/>
      <c r="D895" s="14"/>
    </row>
    <row r="896">
      <c r="B896" s="14"/>
      <c r="D896" s="14"/>
    </row>
    <row r="897">
      <c r="B897" s="14"/>
      <c r="D897" s="14"/>
    </row>
    <row r="898">
      <c r="B898" s="14"/>
      <c r="D898" s="14"/>
    </row>
    <row r="899">
      <c r="B899" s="14"/>
      <c r="D899" s="14"/>
    </row>
    <row r="900">
      <c r="B900" s="14"/>
      <c r="D900" s="14"/>
    </row>
    <row r="901">
      <c r="B901" s="14"/>
      <c r="D901" s="14"/>
    </row>
    <row r="902">
      <c r="B902" s="14"/>
      <c r="D902" s="14"/>
    </row>
    <row r="903">
      <c r="B903" s="14"/>
      <c r="D903" s="14"/>
    </row>
    <row r="904">
      <c r="B904" s="14"/>
      <c r="D904" s="14"/>
    </row>
    <row r="905">
      <c r="B905" s="14"/>
      <c r="D905" s="14"/>
    </row>
    <row r="906">
      <c r="B906" s="14"/>
      <c r="D906" s="14"/>
    </row>
    <row r="907">
      <c r="B907" s="14"/>
      <c r="D907" s="14"/>
    </row>
    <row r="908">
      <c r="B908" s="14"/>
      <c r="D908" s="14"/>
    </row>
    <row r="909">
      <c r="B909" s="14"/>
      <c r="D909" s="14"/>
    </row>
    <row r="910">
      <c r="B910" s="14"/>
      <c r="D910" s="14"/>
    </row>
    <row r="911">
      <c r="B911" s="14"/>
      <c r="D911" s="14"/>
    </row>
    <row r="912">
      <c r="B912" s="14"/>
      <c r="D912" s="14"/>
    </row>
    <row r="913">
      <c r="B913" s="14"/>
      <c r="D913" s="14"/>
    </row>
    <row r="914">
      <c r="B914" s="14"/>
      <c r="D914" s="14"/>
    </row>
    <row r="915">
      <c r="B915" s="14"/>
      <c r="D915" s="14"/>
    </row>
    <row r="916">
      <c r="B916" s="14"/>
      <c r="D916" s="14"/>
    </row>
    <row r="917">
      <c r="B917" s="14"/>
      <c r="D917" s="14"/>
    </row>
    <row r="918">
      <c r="B918" s="14"/>
      <c r="D918" s="14"/>
    </row>
    <row r="919">
      <c r="B919" s="14"/>
      <c r="D919" s="14"/>
    </row>
    <row r="920">
      <c r="B920" s="14"/>
      <c r="D920" s="14"/>
    </row>
    <row r="921">
      <c r="B921" s="14"/>
      <c r="D921" s="14"/>
    </row>
    <row r="922">
      <c r="B922" s="14"/>
      <c r="D922" s="14"/>
    </row>
    <row r="923">
      <c r="B923" s="14"/>
      <c r="D923" s="14"/>
    </row>
    <row r="924">
      <c r="B924" s="14"/>
      <c r="D924" s="14"/>
    </row>
    <row r="925">
      <c r="B925" s="14"/>
      <c r="D925" s="14"/>
    </row>
    <row r="926">
      <c r="B926" s="14"/>
      <c r="D926" s="14"/>
    </row>
    <row r="927">
      <c r="B927" s="14"/>
      <c r="D927" s="14"/>
    </row>
    <row r="928">
      <c r="B928" s="14"/>
      <c r="D928" s="14"/>
    </row>
    <row r="929">
      <c r="B929" s="14"/>
      <c r="D929" s="14"/>
    </row>
    <row r="930">
      <c r="B930" s="14"/>
      <c r="D930" s="14"/>
    </row>
    <row r="931">
      <c r="B931" s="14"/>
      <c r="D931" s="14"/>
    </row>
    <row r="932">
      <c r="B932" s="14"/>
      <c r="D932" s="14"/>
    </row>
    <row r="933">
      <c r="B933" s="14"/>
      <c r="D933" s="14"/>
    </row>
    <row r="934">
      <c r="B934" s="14"/>
      <c r="D934" s="14"/>
    </row>
    <row r="935">
      <c r="B935" s="14"/>
      <c r="D935" s="14"/>
    </row>
    <row r="936">
      <c r="B936" s="14"/>
      <c r="D936" s="14"/>
    </row>
    <row r="937">
      <c r="B937" s="14"/>
      <c r="D937" s="14"/>
    </row>
    <row r="938">
      <c r="B938" s="14"/>
      <c r="D938" s="14"/>
    </row>
    <row r="939">
      <c r="B939" s="14"/>
      <c r="D939" s="14"/>
    </row>
    <row r="940">
      <c r="B940" s="14"/>
      <c r="D940" s="14"/>
    </row>
    <row r="941">
      <c r="B941" s="14"/>
      <c r="D941" s="14"/>
    </row>
    <row r="942">
      <c r="B942" s="14"/>
      <c r="D942" s="14"/>
    </row>
    <row r="943">
      <c r="B943" s="14"/>
      <c r="D943" s="14"/>
    </row>
    <row r="944">
      <c r="B944" s="14"/>
      <c r="D944" s="14"/>
    </row>
    <row r="945">
      <c r="B945" s="14"/>
      <c r="D945" s="14"/>
    </row>
    <row r="946">
      <c r="B946" s="14"/>
      <c r="D946" s="14"/>
    </row>
    <row r="947">
      <c r="B947" s="14"/>
      <c r="D947" s="14"/>
    </row>
    <row r="948">
      <c r="B948" s="14"/>
      <c r="D948" s="14"/>
    </row>
    <row r="949">
      <c r="B949" s="14"/>
      <c r="D949" s="14"/>
    </row>
    <row r="950">
      <c r="B950" s="14"/>
      <c r="D950" s="14"/>
    </row>
    <row r="951">
      <c r="B951" s="14"/>
      <c r="D951" s="14"/>
    </row>
    <row r="952">
      <c r="B952" s="14"/>
      <c r="D952" s="14"/>
    </row>
    <row r="953">
      <c r="B953" s="14"/>
      <c r="D953" s="14"/>
    </row>
    <row r="954">
      <c r="B954" s="14"/>
      <c r="D954" s="14"/>
    </row>
    <row r="955">
      <c r="B955" s="14"/>
      <c r="D955" s="14"/>
    </row>
    <row r="956">
      <c r="B956" s="14"/>
      <c r="D956" s="14"/>
    </row>
    <row r="957">
      <c r="B957" s="14"/>
      <c r="D957" s="14"/>
    </row>
    <row r="958">
      <c r="B958" s="14"/>
      <c r="D958" s="14"/>
    </row>
    <row r="959">
      <c r="B959" s="14"/>
      <c r="D959" s="14"/>
    </row>
    <row r="960">
      <c r="B960" s="14"/>
      <c r="D960" s="14"/>
    </row>
    <row r="961">
      <c r="B961" s="14"/>
      <c r="D961" s="14"/>
    </row>
    <row r="962">
      <c r="B962" s="14"/>
      <c r="D962" s="14"/>
    </row>
    <row r="963">
      <c r="B963" s="14"/>
      <c r="D963" s="14"/>
    </row>
    <row r="964">
      <c r="B964" s="14"/>
      <c r="D964" s="14"/>
    </row>
    <row r="965">
      <c r="B965" s="14"/>
      <c r="D965" s="14"/>
    </row>
    <row r="966">
      <c r="B966" s="14"/>
      <c r="D966" s="14"/>
    </row>
    <row r="967">
      <c r="B967" s="14"/>
      <c r="D967" s="14"/>
    </row>
    <row r="968">
      <c r="B968" s="14"/>
      <c r="D968" s="14"/>
    </row>
    <row r="969">
      <c r="B969" s="14"/>
      <c r="D969" s="14"/>
    </row>
    <row r="970">
      <c r="B970" s="14"/>
      <c r="D970" s="14"/>
    </row>
    <row r="971">
      <c r="B971" s="14"/>
      <c r="D971" s="14"/>
    </row>
    <row r="972">
      <c r="B972" s="14"/>
      <c r="D972" s="14"/>
    </row>
    <row r="973">
      <c r="B973" s="14"/>
      <c r="D973" s="14"/>
    </row>
    <row r="974">
      <c r="B974" s="14"/>
      <c r="D974" s="14"/>
    </row>
    <row r="975">
      <c r="B975" s="14"/>
      <c r="D975" s="14"/>
    </row>
    <row r="976">
      <c r="B976" s="14"/>
      <c r="D976" s="14"/>
    </row>
    <row r="977">
      <c r="B977" s="14"/>
      <c r="D977" s="14"/>
    </row>
    <row r="978">
      <c r="B978" s="14"/>
      <c r="D978" s="14"/>
    </row>
    <row r="979">
      <c r="B979" s="14"/>
      <c r="D979" s="14"/>
    </row>
    <row r="980">
      <c r="B980" s="14"/>
      <c r="D980" s="14"/>
    </row>
    <row r="981">
      <c r="B981" s="14"/>
      <c r="D981" s="14"/>
    </row>
    <row r="982">
      <c r="B982" s="14"/>
      <c r="D982" s="14"/>
    </row>
    <row r="983">
      <c r="B983" s="14"/>
      <c r="D983" s="14"/>
    </row>
    <row r="984">
      <c r="B984" s="14"/>
      <c r="D984" s="14"/>
    </row>
    <row r="985">
      <c r="B985" s="14"/>
      <c r="D985" s="14"/>
    </row>
  </sheetData>
  <mergeCells count="26">
    <mergeCell ref="B4:B8"/>
    <mergeCell ref="C4:C8"/>
    <mergeCell ref="B9:B23"/>
    <mergeCell ref="C9:C23"/>
    <mergeCell ref="B24:B28"/>
    <mergeCell ref="C24:C28"/>
    <mergeCell ref="C29:C33"/>
    <mergeCell ref="B29:B33"/>
    <mergeCell ref="B34:B39"/>
    <mergeCell ref="C34:C39"/>
    <mergeCell ref="B40:B44"/>
    <mergeCell ref="C40:C44"/>
    <mergeCell ref="B45:B48"/>
    <mergeCell ref="C45:C48"/>
    <mergeCell ref="B64:B68"/>
    <mergeCell ref="B69:B73"/>
    <mergeCell ref="B74:B78"/>
    <mergeCell ref="C69:C73"/>
    <mergeCell ref="C74:C78"/>
    <mergeCell ref="B49:B53"/>
    <mergeCell ref="C49:C53"/>
    <mergeCell ref="B54:B58"/>
    <mergeCell ref="C54:C58"/>
    <mergeCell ref="B59:B63"/>
    <mergeCell ref="C59:C63"/>
    <mergeCell ref="C64:C6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5.25"/>
    <col customWidth="1" min="3" max="3" width="21.63"/>
    <col customWidth="1" min="4" max="4" width="24.5"/>
    <col customWidth="1" min="5" max="5" width="58.5"/>
    <col customWidth="1" min="6" max="6" width="29.0"/>
  </cols>
  <sheetData>
    <row r="1">
      <c r="A1" s="270" t="s">
        <v>1851</v>
      </c>
      <c r="B1" s="271" t="s">
        <v>146</v>
      </c>
      <c r="C1" s="272"/>
      <c r="D1" s="273" t="s">
        <v>230</v>
      </c>
      <c r="E1" s="273" t="s">
        <v>231</v>
      </c>
      <c r="F1" s="273" t="s">
        <v>149</v>
      </c>
    </row>
    <row r="2">
      <c r="A2" s="274"/>
      <c r="B2" s="275"/>
      <c r="C2" s="276"/>
      <c r="D2" s="276"/>
      <c r="E2" s="276"/>
      <c r="F2" s="276"/>
    </row>
    <row r="3">
      <c r="A3" s="277">
        <v>1.0</v>
      </c>
      <c r="B3" s="278" t="s">
        <v>1311</v>
      </c>
      <c r="C3" s="279"/>
      <c r="D3" s="280" t="s">
        <v>1852</v>
      </c>
      <c r="E3" s="280" t="s">
        <v>1853</v>
      </c>
      <c r="F3" s="281" t="s">
        <v>1854</v>
      </c>
    </row>
    <row r="4">
      <c r="A4" s="207"/>
      <c r="B4" s="207"/>
      <c r="C4" s="279"/>
      <c r="D4" s="280" t="s">
        <v>1855</v>
      </c>
      <c r="E4" s="279"/>
      <c r="F4" s="279"/>
    </row>
    <row r="5">
      <c r="A5" s="207"/>
      <c r="B5" s="207"/>
      <c r="C5" s="279"/>
      <c r="D5" s="279"/>
      <c r="E5" s="279"/>
      <c r="F5" s="279"/>
    </row>
    <row r="6">
      <c r="A6" s="207"/>
      <c r="B6" s="207"/>
      <c r="C6" s="279"/>
      <c r="D6" s="280" t="s">
        <v>1855</v>
      </c>
      <c r="E6" s="280" t="s">
        <v>1856</v>
      </c>
      <c r="F6" s="280" t="s">
        <v>1857</v>
      </c>
    </row>
    <row r="7">
      <c r="A7" s="207"/>
      <c r="B7" s="207"/>
      <c r="C7" s="279"/>
      <c r="D7" s="280" t="s">
        <v>1858</v>
      </c>
      <c r="E7" s="280" t="s">
        <v>1859</v>
      </c>
      <c r="F7" s="279"/>
    </row>
    <row r="8">
      <c r="A8" s="207"/>
      <c r="B8" s="207"/>
      <c r="C8" s="279"/>
      <c r="D8" s="279"/>
      <c r="E8" s="279"/>
      <c r="F8" s="279"/>
    </row>
    <row r="9">
      <c r="A9" s="207"/>
      <c r="B9" s="207"/>
      <c r="C9" s="279"/>
      <c r="D9" s="280" t="s">
        <v>1855</v>
      </c>
      <c r="E9" s="280" t="s">
        <v>1860</v>
      </c>
      <c r="F9" s="280" t="s">
        <v>1861</v>
      </c>
    </row>
    <row r="10">
      <c r="A10" s="207"/>
      <c r="B10" s="207"/>
      <c r="C10" s="279"/>
      <c r="D10" s="280" t="s">
        <v>1858</v>
      </c>
      <c r="E10" s="280" t="s">
        <v>1862</v>
      </c>
      <c r="F10" s="279"/>
    </row>
    <row r="11">
      <c r="A11" s="207"/>
      <c r="B11" s="207"/>
      <c r="C11" s="279"/>
      <c r="D11" s="279"/>
      <c r="E11" s="279"/>
      <c r="F11" s="279"/>
    </row>
    <row r="12">
      <c r="A12" s="207"/>
      <c r="B12" s="207"/>
      <c r="C12" s="279"/>
      <c r="D12" s="280" t="s">
        <v>1855</v>
      </c>
      <c r="E12" s="280" t="s">
        <v>1863</v>
      </c>
      <c r="F12" s="281" t="s">
        <v>1864</v>
      </c>
    </row>
    <row r="13">
      <c r="A13" s="207"/>
      <c r="B13" s="207"/>
      <c r="C13" s="279"/>
      <c r="D13" s="280" t="s">
        <v>1858</v>
      </c>
      <c r="E13" s="280" t="s">
        <v>1865</v>
      </c>
      <c r="F13" s="279"/>
    </row>
    <row r="14">
      <c r="A14" s="207"/>
      <c r="B14" s="207"/>
      <c r="C14" s="279"/>
      <c r="D14" s="279"/>
      <c r="E14" s="279"/>
      <c r="F14" s="279"/>
    </row>
    <row r="15">
      <c r="A15" s="207"/>
      <c r="B15" s="207"/>
      <c r="C15" s="279"/>
      <c r="D15" s="280" t="s">
        <v>1855</v>
      </c>
      <c r="E15" s="280" t="s">
        <v>1866</v>
      </c>
      <c r="F15" s="281" t="s">
        <v>1867</v>
      </c>
    </row>
    <row r="16">
      <c r="A16" s="207"/>
      <c r="B16" s="207"/>
      <c r="C16" s="279"/>
      <c r="D16" s="280" t="s">
        <v>1858</v>
      </c>
      <c r="E16" s="280" t="s">
        <v>1868</v>
      </c>
      <c r="F16" s="279"/>
    </row>
    <row r="17">
      <c r="A17" s="201"/>
      <c r="B17" s="207"/>
      <c r="C17" s="279"/>
      <c r="D17" s="279"/>
      <c r="E17" s="279"/>
      <c r="F17" s="279"/>
    </row>
    <row r="18">
      <c r="A18" s="277">
        <v>2.0</v>
      </c>
      <c r="B18" s="282" t="s">
        <v>17</v>
      </c>
      <c r="C18" s="276"/>
      <c r="D18" s="283" t="s">
        <v>1869</v>
      </c>
      <c r="E18" s="283" t="s">
        <v>1870</v>
      </c>
      <c r="F18" s="283" t="s">
        <v>1871</v>
      </c>
    </row>
    <row r="19">
      <c r="A19" s="207"/>
      <c r="B19" s="207"/>
      <c r="C19" s="276"/>
      <c r="D19" s="283" t="s">
        <v>1872</v>
      </c>
      <c r="E19" s="283" t="s">
        <v>1873</v>
      </c>
      <c r="F19" s="276"/>
    </row>
    <row r="20">
      <c r="A20" s="207"/>
      <c r="B20" s="207"/>
      <c r="C20" s="276"/>
      <c r="D20" s="276"/>
      <c r="E20" s="276"/>
      <c r="F20" s="276"/>
    </row>
    <row r="21">
      <c r="A21" s="207"/>
      <c r="B21" s="207"/>
      <c r="C21" s="276"/>
      <c r="D21" s="283" t="s">
        <v>1874</v>
      </c>
      <c r="E21" s="283" t="s">
        <v>1875</v>
      </c>
      <c r="F21" s="283" t="s">
        <v>1876</v>
      </c>
    </row>
    <row r="22">
      <c r="A22" s="207"/>
      <c r="B22" s="207"/>
      <c r="C22" s="276"/>
      <c r="D22" s="276"/>
      <c r="E22" s="283" t="s">
        <v>1877</v>
      </c>
      <c r="F22" s="276"/>
    </row>
    <row r="23">
      <c r="A23" s="207"/>
      <c r="B23" s="207"/>
      <c r="C23" s="276"/>
      <c r="D23" s="276"/>
      <c r="E23" s="276"/>
      <c r="F23" s="276"/>
    </row>
    <row r="24">
      <c r="A24" s="207"/>
      <c r="B24" s="207"/>
      <c r="C24" s="276"/>
      <c r="D24" s="283" t="s">
        <v>1869</v>
      </c>
      <c r="E24" s="283" t="s">
        <v>1878</v>
      </c>
      <c r="F24" s="283" t="s">
        <v>1879</v>
      </c>
    </row>
    <row r="25">
      <c r="A25" s="207"/>
      <c r="B25" s="207"/>
      <c r="C25" s="276"/>
      <c r="D25" s="283" t="s">
        <v>1880</v>
      </c>
      <c r="E25" s="283" t="s">
        <v>1881</v>
      </c>
      <c r="F25" s="276"/>
    </row>
    <row r="26">
      <c r="A26" s="207"/>
      <c r="B26" s="207"/>
      <c r="C26" s="276"/>
      <c r="D26" s="276"/>
      <c r="E26" s="276"/>
      <c r="F26" s="276"/>
    </row>
    <row r="27">
      <c r="A27" s="207"/>
      <c r="B27" s="207"/>
      <c r="C27" s="276"/>
      <c r="D27" s="283" t="s">
        <v>1882</v>
      </c>
      <c r="E27" s="283" t="s">
        <v>1883</v>
      </c>
      <c r="F27" s="283" t="s">
        <v>1884</v>
      </c>
    </row>
    <row r="28">
      <c r="A28" s="207"/>
      <c r="B28" s="207"/>
      <c r="C28" s="276"/>
      <c r="D28" s="283" t="s">
        <v>1874</v>
      </c>
      <c r="E28" s="283" t="s">
        <v>1885</v>
      </c>
      <c r="F28" s="276"/>
    </row>
    <row r="29">
      <c r="A29" s="207"/>
      <c r="B29" s="207"/>
      <c r="C29" s="276"/>
      <c r="D29" s="276"/>
      <c r="E29" s="276"/>
      <c r="F29" s="276"/>
    </row>
    <row r="30">
      <c r="A30" s="207"/>
      <c r="B30" s="207"/>
      <c r="C30" s="276"/>
      <c r="D30" s="283" t="s">
        <v>1886</v>
      </c>
      <c r="E30" s="283" t="s">
        <v>1887</v>
      </c>
      <c r="F30" s="283" t="s">
        <v>1888</v>
      </c>
    </row>
    <row r="31">
      <c r="A31" s="207"/>
      <c r="B31" s="207"/>
      <c r="C31" s="276"/>
      <c r="D31" s="276"/>
      <c r="E31" s="283" t="s">
        <v>1889</v>
      </c>
      <c r="F31" s="276"/>
    </row>
    <row r="32">
      <c r="A32" s="201"/>
      <c r="B32" s="201"/>
      <c r="C32" s="276"/>
      <c r="D32" s="276"/>
      <c r="E32" s="276"/>
      <c r="F32" s="276"/>
    </row>
    <row r="33">
      <c r="A33" s="277">
        <v>3.0</v>
      </c>
      <c r="B33" s="278" t="s">
        <v>6</v>
      </c>
      <c r="C33" s="280" t="s">
        <v>1890</v>
      </c>
      <c r="D33" s="281" t="s">
        <v>1891</v>
      </c>
      <c r="E33" s="280" t="s">
        <v>631</v>
      </c>
      <c r="F33" s="280" t="s">
        <v>1892</v>
      </c>
    </row>
    <row r="34">
      <c r="A34" s="207"/>
      <c r="B34" s="207"/>
      <c r="C34" s="279"/>
      <c r="D34" s="279"/>
      <c r="E34" s="279"/>
      <c r="F34" s="279"/>
    </row>
    <row r="35">
      <c r="A35" s="207"/>
      <c r="B35" s="207"/>
      <c r="C35" s="280" t="s">
        <v>1893</v>
      </c>
      <c r="D35" s="280" t="s">
        <v>1894</v>
      </c>
      <c r="E35" s="280" t="s">
        <v>1895</v>
      </c>
      <c r="F35" s="280">
        <v>123456.0</v>
      </c>
    </row>
    <row r="36">
      <c r="A36" s="207"/>
      <c r="B36" s="207"/>
      <c r="C36" s="279"/>
      <c r="D36" s="279"/>
      <c r="E36" s="279"/>
      <c r="F36" s="279"/>
    </row>
    <row r="37">
      <c r="A37" s="207"/>
      <c r="B37" s="207"/>
      <c r="C37" s="280" t="s">
        <v>1896</v>
      </c>
      <c r="D37" s="280" t="s">
        <v>1897</v>
      </c>
      <c r="E37" s="280" t="s">
        <v>1898</v>
      </c>
      <c r="F37" s="280" t="s">
        <v>1899</v>
      </c>
    </row>
    <row r="38">
      <c r="A38" s="207"/>
      <c r="B38" s="207"/>
      <c r="C38" s="279"/>
      <c r="D38" s="279"/>
      <c r="E38" s="279"/>
      <c r="F38" s="279"/>
    </row>
    <row r="39">
      <c r="A39" s="207"/>
      <c r="B39" s="207"/>
      <c r="C39" s="280" t="s">
        <v>1900</v>
      </c>
      <c r="D39" s="280">
        <v>1236456.0</v>
      </c>
      <c r="E39" s="280" t="s">
        <v>1901</v>
      </c>
      <c r="F39" s="280">
        <v>1236456.0</v>
      </c>
    </row>
    <row r="40">
      <c r="A40" s="207"/>
      <c r="B40" s="207"/>
      <c r="C40" s="279"/>
      <c r="D40" s="279"/>
      <c r="E40" s="279"/>
      <c r="F40" s="279"/>
    </row>
    <row r="41">
      <c r="A41" s="207"/>
      <c r="B41" s="207"/>
      <c r="C41" s="280" t="s">
        <v>1902</v>
      </c>
      <c r="D41" s="280" t="s">
        <v>1903</v>
      </c>
      <c r="E41" s="280" t="s">
        <v>1904</v>
      </c>
      <c r="F41" s="280" t="s">
        <v>1903</v>
      </c>
    </row>
    <row r="42">
      <c r="A42" s="201"/>
      <c r="B42" s="207"/>
      <c r="C42" s="279"/>
      <c r="D42" s="279"/>
      <c r="E42" s="279"/>
      <c r="F42" s="279"/>
    </row>
    <row r="43">
      <c r="A43" s="277">
        <v>4.0</v>
      </c>
      <c r="B43" s="282" t="s">
        <v>44</v>
      </c>
      <c r="C43" s="276"/>
      <c r="D43" s="283" t="s">
        <v>1855</v>
      </c>
      <c r="E43" s="283" t="s">
        <v>1905</v>
      </c>
      <c r="F43" s="283" t="b">
        <v>1</v>
      </c>
    </row>
    <row r="44">
      <c r="A44" s="207"/>
      <c r="B44" s="207"/>
      <c r="C44" s="276"/>
      <c r="D44" s="283" t="s">
        <v>1855</v>
      </c>
      <c r="E44" s="283" t="s">
        <v>1906</v>
      </c>
      <c r="F44" s="276"/>
    </row>
    <row r="45">
      <c r="A45" s="207"/>
      <c r="B45" s="207"/>
      <c r="C45" s="276"/>
      <c r="D45" s="276"/>
      <c r="E45" s="276"/>
      <c r="F45" s="276"/>
    </row>
    <row r="46">
      <c r="A46" s="207"/>
      <c r="B46" s="207"/>
      <c r="C46" s="276"/>
      <c r="D46" s="283" t="s">
        <v>1855</v>
      </c>
      <c r="E46" s="283" t="s">
        <v>1907</v>
      </c>
      <c r="F46" s="283" t="b">
        <v>0</v>
      </c>
    </row>
    <row r="47">
      <c r="A47" s="207"/>
      <c r="B47" s="207"/>
      <c r="C47" s="276"/>
      <c r="D47" s="283" t="s">
        <v>1852</v>
      </c>
      <c r="E47" s="283" t="s">
        <v>1908</v>
      </c>
      <c r="F47" s="276"/>
    </row>
    <row r="48">
      <c r="A48" s="207"/>
      <c r="B48" s="207"/>
      <c r="C48" s="276"/>
      <c r="D48" s="276"/>
      <c r="E48" s="276"/>
      <c r="F48" s="276"/>
    </row>
    <row r="49">
      <c r="A49" s="207"/>
      <c r="B49" s="207"/>
      <c r="C49" s="276"/>
      <c r="D49" s="283" t="s">
        <v>1909</v>
      </c>
      <c r="E49" s="283" t="s">
        <v>1910</v>
      </c>
      <c r="F49" s="283" t="b">
        <v>0</v>
      </c>
    </row>
    <row r="50">
      <c r="A50" s="207"/>
      <c r="B50" s="207"/>
      <c r="C50" s="276"/>
      <c r="D50" s="276"/>
      <c r="E50" s="276"/>
      <c r="F50" s="276"/>
    </row>
    <row r="51">
      <c r="A51" s="207"/>
      <c r="B51" s="207"/>
      <c r="C51" s="276"/>
      <c r="D51" s="283" t="s">
        <v>1911</v>
      </c>
      <c r="E51" s="283" t="s">
        <v>1912</v>
      </c>
      <c r="F51" s="283" t="b">
        <v>1</v>
      </c>
    </row>
    <row r="52">
      <c r="A52" s="207"/>
      <c r="B52" s="207"/>
      <c r="C52" s="276"/>
      <c r="D52" s="283" t="s">
        <v>1911</v>
      </c>
      <c r="E52" s="283" t="s">
        <v>1913</v>
      </c>
      <c r="F52" s="276"/>
    </row>
    <row r="53">
      <c r="A53" s="207"/>
      <c r="B53" s="207"/>
      <c r="C53" s="276"/>
      <c r="D53" s="276"/>
      <c r="E53" s="276"/>
      <c r="F53" s="276"/>
    </row>
    <row r="54">
      <c r="A54" s="207"/>
      <c r="B54" s="207"/>
      <c r="C54" s="276"/>
      <c r="D54" s="283" t="s">
        <v>1911</v>
      </c>
      <c r="E54" s="283" t="s">
        <v>1914</v>
      </c>
      <c r="F54" s="283" t="b">
        <v>0</v>
      </c>
    </row>
    <row r="55">
      <c r="A55" s="207"/>
      <c r="B55" s="207"/>
      <c r="C55" s="276"/>
      <c r="D55" s="283" t="s">
        <v>1915</v>
      </c>
      <c r="E55" s="283" t="s">
        <v>1916</v>
      </c>
      <c r="F55" s="276"/>
    </row>
    <row r="56">
      <c r="A56" s="201"/>
      <c r="B56" s="201"/>
      <c r="C56" s="276"/>
      <c r="D56" s="276"/>
      <c r="E56" s="276"/>
      <c r="F56" s="276"/>
    </row>
    <row r="57">
      <c r="A57" s="277">
        <v>5.0</v>
      </c>
      <c r="B57" s="278" t="s">
        <v>33</v>
      </c>
      <c r="C57" s="279"/>
      <c r="D57" s="280" t="s">
        <v>1917</v>
      </c>
      <c r="E57" s="280" t="s">
        <v>1918</v>
      </c>
      <c r="F57" s="280">
        <v>9.0</v>
      </c>
    </row>
    <row r="58">
      <c r="A58" s="207"/>
      <c r="B58" s="207"/>
      <c r="C58" s="279"/>
      <c r="D58" s="279"/>
      <c r="E58" s="279"/>
      <c r="F58" s="279"/>
    </row>
    <row r="59">
      <c r="A59" s="207"/>
      <c r="B59" s="207"/>
      <c r="C59" s="279"/>
      <c r="D59" s="280" t="s">
        <v>1917</v>
      </c>
      <c r="E59" s="280" t="s">
        <v>1919</v>
      </c>
      <c r="F59" s="280" t="e">
        <v>#VALUE!</v>
      </c>
    </row>
    <row r="60">
      <c r="A60" s="207"/>
      <c r="B60" s="207"/>
      <c r="C60" s="279"/>
      <c r="D60" s="279"/>
      <c r="E60" s="279"/>
      <c r="F60" s="279"/>
    </row>
    <row r="61">
      <c r="A61" s="207"/>
      <c r="B61" s="207"/>
      <c r="C61" s="279"/>
      <c r="D61" s="280" t="s">
        <v>1855</v>
      </c>
      <c r="E61" s="280" t="s">
        <v>1920</v>
      </c>
      <c r="F61" s="280">
        <v>1.0</v>
      </c>
    </row>
    <row r="62">
      <c r="A62" s="207"/>
      <c r="B62" s="207"/>
      <c r="C62" s="279"/>
      <c r="D62" s="279"/>
      <c r="E62" s="279"/>
      <c r="F62" s="279"/>
    </row>
    <row r="63">
      <c r="A63" s="207"/>
      <c r="B63" s="207"/>
      <c r="C63" s="279"/>
      <c r="D63" s="280" t="s">
        <v>1855</v>
      </c>
      <c r="E63" s="280" t="s">
        <v>1921</v>
      </c>
      <c r="F63" s="280">
        <v>4.0</v>
      </c>
    </row>
    <row r="64">
      <c r="A64" s="207"/>
      <c r="B64" s="207"/>
      <c r="C64" s="279"/>
      <c r="D64" s="279"/>
      <c r="E64" s="279"/>
      <c r="F64" s="279"/>
    </row>
    <row r="65">
      <c r="A65" s="207"/>
      <c r="B65" s="207"/>
      <c r="C65" s="279"/>
      <c r="D65" s="284" t="s">
        <v>1922</v>
      </c>
      <c r="E65" s="280" t="s">
        <v>1923</v>
      </c>
      <c r="F65" s="280">
        <v>7.0</v>
      </c>
    </row>
    <row r="66">
      <c r="A66" s="201"/>
      <c r="B66" s="201"/>
      <c r="C66" s="279"/>
      <c r="D66" s="279"/>
      <c r="E66" s="279"/>
      <c r="F66" s="279"/>
    </row>
    <row r="67">
      <c r="A67" s="277">
        <v>6.0</v>
      </c>
      <c r="B67" s="278" t="s">
        <v>57</v>
      </c>
      <c r="C67" s="276"/>
      <c r="D67" s="283" t="s">
        <v>1869</v>
      </c>
      <c r="E67" s="283" t="s">
        <v>1924</v>
      </c>
      <c r="F67" s="283" t="s">
        <v>1925</v>
      </c>
    </row>
    <row r="68">
      <c r="A68" s="207"/>
      <c r="B68" s="207"/>
      <c r="C68" s="276"/>
      <c r="D68" s="276"/>
      <c r="E68" s="276"/>
      <c r="F68" s="276"/>
    </row>
    <row r="69">
      <c r="A69" s="207"/>
      <c r="B69" s="207"/>
      <c r="C69" s="276"/>
      <c r="D69" s="283" t="s">
        <v>1926</v>
      </c>
      <c r="E69" s="283" t="s">
        <v>1927</v>
      </c>
      <c r="F69" s="283" t="s">
        <v>1928</v>
      </c>
    </row>
    <row r="70">
      <c r="A70" s="207"/>
      <c r="B70" s="207"/>
      <c r="C70" s="276"/>
      <c r="D70" s="276"/>
      <c r="E70" s="276"/>
      <c r="F70" s="276"/>
    </row>
    <row r="71">
      <c r="A71" s="207"/>
      <c r="B71" s="207"/>
      <c r="C71" s="276"/>
      <c r="D71" s="283" t="s">
        <v>1929</v>
      </c>
      <c r="E71" s="283" t="s">
        <v>1930</v>
      </c>
      <c r="F71" s="283" t="s">
        <v>1886</v>
      </c>
    </row>
    <row r="72">
      <c r="A72" s="207"/>
      <c r="B72" s="207"/>
      <c r="C72" s="276"/>
      <c r="D72" s="276"/>
      <c r="E72" s="276"/>
      <c r="F72" s="276"/>
    </row>
    <row r="73">
      <c r="A73" s="207"/>
      <c r="B73" s="207"/>
      <c r="C73" s="276"/>
      <c r="D73" s="285" t="s">
        <v>1931</v>
      </c>
      <c r="E73" s="283" t="s">
        <v>1932</v>
      </c>
      <c r="F73" s="283" t="s">
        <v>1933</v>
      </c>
    </row>
    <row r="74">
      <c r="A74" s="207"/>
      <c r="B74" s="207"/>
      <c r="C74" s="276"/>
      <c r="D74" s="276"/>
      <c r="E74" s="276"/>
      <c r="F74" s="276"/>
    </row>
    <row r="75">
      <c r="A75" s="207"/>
      <c r="B75" s="207"/>
      <c r="C75" s="276"/>
      <c r="D75" s="286">
        <v>38448.0</v>
      </c>
      <c r="E75" s="283" t="s">
        <v>1934</v>
      </c>
      <c r="F75" s="283">
        <v>4.0</v>
      </c>
    </row>
    <row r="76">
      <c r="A76" s="201"/>
      <c r="B76" s="201"/>
      <c r="C76" s="276"/>
      <c r="D76" s="276"/>
      <c r="E76" s="276"/>
      <c r="F76" s="276"/>
    </row>
    <row r="77">
      <c r="A77" s="277">
        <v>7.0</v>
      </c>
      <c r="B77" s="278" t="s">
        <v>123</v>
      </c>
      <c r="C77" s="279"/>
      <c r="D77" s="280" t="s">
        <v>1869</v>
      </c>
      <c r="E77" s="280" t="s">
        <v>1935</v>
      </c>
      <c r="F77" s="280" t="s">
        <v>1936</v>
      </c>
    </row>
    <row r="78">
      <c r="A78" s="207"/>
      <c r="B78" s="207"/>
      <c r="C78" s="279"/>
      <c r="D78" s="279"/>
      <c r="E78" s="279"/>
      <c r="F78" s="279"/>
    </row>
    <row r="79">
      <c r="A79" s="207"/>
      <c r="B79" s="207"/>
      <c r="C79" s="279"/>
      <c r="D79" s="280" t="s">
        <v>1926</v>
      </c>
      <c r="E79" s="280" t="s">
        <v>1937</v>
      </c>
      <c r="F79" s="280">
        <v>1234.0</v>
      </c>
    </row>
    <row r="80">
      <c r="A80" s="207"/>
      <c r="B80" s="207"/>
      <c r="C80" s="279"/>
      <c r="D80" s="279"/>
      <c r="E80" s="279"/>
      <c r="F80" s="279"/>
    </row>
    <row r="81">
      <c r="A81" s="207"/>
      <c r="B81" s="207"/>
      <c r="C81" s="279"/>
      <c r="D81" s="280" t="s">
        <v>1929</v>
      </c>
      <c r="E81" s="280" t="s">
        <v>1938</v>
      </c>
      <c r="F81" s="280">
        <v>2344.0</v>
      </c>
    </row>
    <row r="82">
      <c r="A82" s="207"/>
      <c r="B82" s="207"/>
      <c r="C82" s="279"/>
      <c r="D82" s="279"/>
      <c r="E82" s="279"/>
      <c r="F82" s="279"/>
    </row>
    <row r="83">
      <c r="A83" s="207"/>
      <c r="B83" s="207"/>
      <c r="C83" s="279"/>
      <c r="D83" s="280" t="s">
        <v>1931</v>
      </c>
      <c r="E83" s="280" t="s">
        <v>1939</v>
      </c>
      <c r="F83" s="280" t="s">
        <v>1940</v>
      </c>
    </row>
    <row r="84">
      <c r="A84" s="207"/>
      <c r="B84" s="207"/>
      <c r="C84" s="279"/>
      <c r="D84" s="279"/>
      <c r="E84" s="279"/>
      <c r="F84" s="279"/>
    </row>
    <row r="85">
      <c r="A85" s="207"/>
      <c r="B85" s="207"/>
      <c r="C85" s="279"/>
      <c r="D85" s="287">
        <v>38448.0</v>
      </c>
      <c r="E85" s="280" t="s">
        <v>1941</v>
      </c>
      <c r="F85" s="280">
        <v>5.0</v>
      </c>
    </row>
    <row r="86">
      <c r="A86" s="201"/>
      <c r="B86" s="201"/>
      <c r="C86" s="279"/>
      <c r="D86" s="279"/>
      <c r="E86" s="279"/>
      <c r="F86" s="279"/>
    </row>
    <row r="87">
      <c r="A87" s="277">
        <v>8.0</v>
      </c>
      <c r="B87" s="278" t="s">
        <v>90</v>
      </c>
      <c r="C87" s="276"/>
      <c r="D87" s="283" t="s">
        <v>1942</v>
      </c>
      <c r="E87" s="283" t="s">
        <v>1943</v>
      </c>
      <c r="F87" s="283" t="s">
        <v>1944</v>
      </c>
    </row>
    <row r="88">
      <c r="A88" s="207"/>
      <c r="B88" s="207"/>
      <c r="C88" s="276"/>
      <c r="D88" s="276"/>
      <c r="E88" s="276"/>
      <c r="F88" s="276"/>
    </row>
    <row r="89">
      <c r="A89" s="207"/>
      <c r="B89" s="207"/>
      <c r="C89" s="276"/>
      <c r="D89" s="283" t="s">
        <v>1945</v>
      </c>
      <c r="E89" s="283" t="s">
        <v>1946</v>
      </c>
      <c r="F89" s="283">
        <v>12345.0</v>
      </c>
    </row>
    <row r="90">
      <c r="A90" s="207"/>
      <c r="B90" s="207"/>
      <c r="C90" s="288"/>
      <c r="D90" s="276"/>
      <c r="E90" s="276"/>
      <c r="F90" s="276"/>
    </row>
    <row r="91">
      <c r="A91" s="207"/>
      <c r="B91" s="207"/>
      <c r="C91" s="276"/>
      <c r="D91" s="286">
        <v>38448.0</v>
      </c>
      <c r="E91" s="283" t="s">
        <v>1947</v>
      </c>
      <c r="F91" s="283" t="s">
        <v>1948</v>
      </c>
    </row>
    <row r="92">
      <c r="A92" s="207"/>
      <c r="B92" s="207"/>
      <c r="C92" s="276"/>
      <c r="D92" s="276"/>
      <c r="E92" s="276"/>
      <c r="F92" s="276"/>
    </row>
    <row r="93">
      <c r="A93" s="207"/>
      <c r="B93" s="207"/>
      <c r="C93" s="276"/>
      <c r="D93" s="289" t="s">
        <v>1949</v>
      </c>
      <c r="E93" s="283" t="s">
        <v>1950</v>
      </c>
      <c r="F93" s="283" t="s">
        <v>1951</v>
      </c>
    </row>
    <row r="94">
      <c r="A94" s="207"/>
      <c r="B94" s="207"/>
      <c r="C94" s="276"/>
      <c r="D94" s="276"/>
      <c r="E94" s="276"/>
      <c r="F94" s="276"/>
    </row>
    <row r="95">
      <c r="A95" s="207"/>
      <c r="B95" s="207"/>
      <c r="C95" s="276"/>
      <c r="D95" s="283" t="s">
        <v>1952</v>
      </c>
      <c r="E95" s="283" t="s">
        <v>1953</v>
      </c>
      <c r="F95" s="283" t="s">
        <v>1954</v>
      </c>
    </row>
    <row r="96">
      <c r="A96" s="201"/>
      <c r="B96" s="201"/>
      <c r="C96" s="276"/>
      <c r="D96" s="276"/>
      <c r="E96" s="276"/>
      <c r="F96" s="276"/>
    </row>
    <row r="97">
      <c r="A97" s="277">
        <v>9.0</v>
      </c>
      <c r="B97" s="278" t="s">
        <v>79</v>
      </c>
      <c r="C97" s="279"/>
      <c r="D97" s="280" t="s">
        <v>1917</v>
      </c>
      <c r="E97" s="280" t="s">
        <v>1955</v>
      </c>
      <c r="F97" s="280" t="s">
        <v>1857</v>
      </c>
    </row>
    <row r="98">
      <c r="A98" s="207"/>
      <c r="B98" s="207"/>
      <c r="C98" s="279"/>
      <c r="D98" s="279"/>
      <c r="E98" s="279"/>
      <c r="F98" s="279"/>
    </row>
    <row r="99">
      <c r="A99" s="207"/>
      <c r="B99" s="207"/>
      <c r="C99" s="279"/>
      <c r="D99" s="289" t="s">
        <v>1956</v>
      </c>
      <c r="E99" s="280" t="s">
        <v>1957</v>
      </c>
      <c r="F99" s="280" t="s">
        <v>1958</v>
      </c>
    </row>
    <row r="100">
      <c r="A100" s="207"/>
      <c r="B100" s="207"/>
      <c r="C100" s="279"/>
      <c r="D100" s="279"/>
      <c r="E100" s="279"/>
      <c r="F100" s="279"/>
    </row>
    <row r="101">
      <c r="A101" s="207"/>
      <c r="B101" s="207"/>
      <c r="C101" s="279"/>
      <c r="D101" s="280" t="s">
        <v>1959</v>
      </c>
      <c r="E101" s="280" t="s">
        <v>1960</v>
      </c>
      <c r="F101" s="280" t="s">
        <v>1961</v>
      </c>
    </row>
    <row r="102">
      <c r="A102" s="207"/>
      <c r="B102" s="207"/>
      <c r="C102" s="279"/>
      <c r="D102" s="279"/>
      <c r="E102" s="279"/>
      <c r="F102" s="279"/>
    </row>
    <row r="103">
      <c r="A103" s="207"/>
      <c r="B103" s="207"/>
      <c r="C103" s="279"/>
      <c r="D103" s="280" t="s">
        <v>1962</v>
      </c>
      <c r="E103" s="280" t="s">
        <v>1963</v>
      </c>
      <c r="F103" s="280" t="s">
        <v>1964</v>
      </c>
    </row>
    <row r="104">
      <c r="A104" s="207"/>
      <c r="B104" s="207"/>
      <c r="C104" s="279"/>
      <c r="D104" s="279"/>
      <c r="E104" s="279"/>
      <c r="F104" s="279"/>
    </row>
    <row r="105">
      <c r="A105" s="207"/>
      <c r="B105" s="207"/>
      <c r="C105" s="279"/>
      <c r="D105" s="280" t="s">
        <v>1965</v>
      </c>
      <c r="E105" s="280" t="s">
        <v>1966</v>
      </c>
      <c r="F105" s="280" t="s">
        <v>1967</v>
      </c>
    </row>
    <row r="106">
      <c r="A106" s="201"/>
      <c r="B106" s="201"/>
      <c r="C106" s="279"/>
      <c r="D106" s="279"/>
      <c r="E106" s="279"/>
      <c r="F106" s="279"/>
    </row>
    <row r="107">
      <c r="A107" s="277">
        <v>10.0</v>
      </c>
      <c r="B107" s="278" t="s">
        <v>134</v>
      </c>
      <c r="C107" s="276"/>
      <c r="D107" s="283" t="s">
        <v>1857</v>
      </c>
      <c r="E107" s="283" t="s">
        <v>1968</v>
      </c>
      <c r="F107" s="283" t="s">
        <v>1917</v>
      </c>
    </row>
    <row r="108">
      <c r="A108" s="207"/>
      <c r="B108" s="207"/>
      <c r="C108" s="276"/>
      <c r="D108" s="276"/>
      <c r="E108" s="276"/>
      <c r="F108" s="276"/>
    </row>
    <row r="109">
      <c r="A109" s="207"/>
      <c r="B109" s="207"/>
      <c r="C109" s="276"/>
      <c r="D109" s="289" t="s">
        <v>1969</v>
      </c>
      <c r="E109" s="283" t="s">
        <v>1970</v>
      </c>
      <c r="F109" s="283" t="s">
        <v>1971</v>
      </c>
    </row>
    <row r="110">
      <c r="A110" s="207"/>
      <c r="B110" s="207"/>
      <c r="C110" s="276"/>
      <c r="D110" s="276"/>
      <c r="E110" s="276"/>
      <c r="F110" s="276"/>
    </row>
    <row r="111">
      <c r="A111" s="207"/>
      <c r="B111" s="207"/>
      <c r="C111" s="276"/>
      <c r="D111" s="283" t="s">
        <v>1959</v>
      </c>
      <c r="E111" s="283" t="s">
        <v>1972</v>
      </c>
      <c r="F111" s="283" t="s">
        <v>1942</v>
      </c>
    </row>
    <row r="112">
      <c r="A112" s="207"/>
      <c r="B112" s="207"/>
      <c r="C112" s="276"/>
      <c r="D112" s="276"/>
      <c r="E112" s="276"/>
      <c r="F112" s="276"/>
    </row>
    <row r="113">
      <c r="A113" s="207"/>
      <c r="B113" s="207"/>
      <c r="C113" s="276"/>
      <c r="D113" s="283" t="s">
        <v>1964</v>
      </c>
      <c r="E113" s="283" t="s">
        <v>1973</v>
      </c>
      <c r="F113" s="283" t="s">
        <v>1962</v>
      </c>
    </row>
    <row r="114">
      <c r="A114" s="207"/>
      <c r="B114" s="207"/>
      <c r="C114" s="276"/>
      <c r="D114" s="276"/>
      <c r="E114" s="276"/>
      <c r="F114" s="276"/>
    </row>
    <row r="115">
      <c r="A115" s="207"/>
      <c r="B115" s="207"/>
      <c r="C115" s="276"/>
      <c r="D115" s="283" t="s">
        <v>1965</v>
      </c>
      <c r="E115" s="283" t="s">
        <v>1974</v>
      </c>
      <c r="F115" s="283" t="s">
        <v>1975</v>
      </c>
    </row>
    <row r="116">
      <c r="A116" s="201"/>
      <c r="B116" s="201"/>
      <c r="C116" s="276"/>
      <c r="D116" s="276"/>
      <c r="E116" s="276"/>
      <c r="F116" s="276"/>
    </row>
    <row r="117">
      <c r="A117" s="277">
        <v>11.0</v>
      </c>
      <c r="B117" s="278" t="s">
        <v>68</v>
      </c>
      <c r="C117" s="279"/>
      <c r="D117" s="280" t="s">
        <v>1869</v>
      </c>
      <c r="E117" s="280" t="s">
        <v>1976</v>
      </c>
      <c r="F117" s="280">
        <v>8.0</v>
      </c>
    </row>
    <row r="118">
      <c r="A118" s="207"/>
      <c r="B118" s="207"/>
      <c r="C118" s="279"/>
      <c r="D118" s="279"/>
      <c r="E118" s="279"/>
      <c r="F118" s="279"/>
    </row>
    <row r="119">
      <c r="A119" s="207"/>
      <c r="B119" s="207"/>
      <c r="C119" s="279"/>
      <c r="D119" s="280" t="s">
        <v>1917</v>
      </c>
      <c r="E119" s="280" t="s">
        <v>1977</v>
      </c>
      <c r="F119" s="280">
        <v>15.0</v>
      </c>
    </row>
    <row r="120">
      <c r="A120" s="207"/>
      <c r="B120" s="207"/>
      <c r="C120" s="279"/>
      <c r="D120" s="279"/>
      <c r="E120" s="279"/>
      <c r="F120" s="279"/>
    </row>
    <row r="121">
      <c r="A121" s="207"/>
      <c r="B121" s="207"/>
      <c r="C121" s="279"/>
      <c r="D121" s="280">
        <v>7.498290155E9</v>
      </c>
      <c r="E121" s="280" t="s">
        <v>1978</v>
      </c>
      <c r="F121" s="280">
        <v>10.0</v>
      </c>
    </row>
    <row r="122">
      <c r="A122" s="207"/>
      <c r="B122" s="207"/>
      <c r="C122" s="279"/>
      <c r="D122" s="279"/>
      <c r="E122" s="279"/>
      <c r="F122" s="279"/>
    </row>
    <row r="123">
      <c r="A123" s="207"/>
      <c r="B123" s="207"/>
      <c r="C123" s="279"/>
      <c r="D123" s="289" t="s">
        <v>1979</v>
      </c>
      <c r="E123" s="280" t="s">
        <v>1980</v>
      </c>
      <c r="F123" s="280">
        <v>23.0</v>
      </c>
    </row>
    <row r="124">
      <c r="A124" s="207"/>
      <c r="B124" s="207"/>
      <c r="C124" s="279"/>
      <c r="D124" s="279"/>
      <c r="E124" s="279"/>
      <c r="F124" s="279"/>
    </row>
    <row r="125">
      <c r="A125" s="207"/>
      <c r="B125" s="207"/>
      <c r="C125" s="279"/>
      <c r="D125" s="280" t="s">
        <v>1981</v>
      </c>
      <c r="E125" s="280" t="s">
        <v>1982</v>
      </c>
      <c r="F125" s="280">
        <v>13.0</v>
      </c>
    </row>
    <row r="126">
      <c r="A126" s="201"/>
      <c r="B126" s="201"/>
      <c r="C126" s="279"/>
      <c r="D126" s="279"/>
      <c r="E126" s="279"/>
      <c r="F126" s="279"/>
    </row>
    <row r="127">
      <c r="A127" s="277">
        <v>12.0</v>
      </c>
      <c r="B127" s="278" t="s">
        <v>112</v>
      </c>
      <c r="C127" s="276"/>
      <c r="D127" s="283" t="s">
        <v>1869</v>
      </c>
      <c r="E127" s="283" t="s">
        <v>1983</v>
      </c>
      <c r="F127" s="283" t="s">
        <v>1984</v>
      </c>
    </row>
    <row r="128">
      <c r="A128" s="207"/>
      <c r="B128" s="207"/>
      <c r="C128" s="276"/>
      <c r="D128" s="276"/>
      <c r="E128" s="276"/>
      <c r="F128" s="276"/>
    </row>
    <row r="129">
      <c r="A129" s="207"/>
      <c r="B129" s="207"/>
      <c r="C129" s="276"/>
      <c r="D129" s="283" t="s">
        <v>1985</v>
      </c>
      <c r="E129" s="283" t="s">
        <v>1986</v>
      </c>
      <c r="F129" s="283" t="s">
        <v>1987</v>
      </c>
    </row>
    <row r="130">
      <c r="A130" s="207"/>
      <c r="B130" s="207"/>
      <c r="C130" s="276"/>
      <c r="D130" s="276"/>
      <c r="E130" s="276"/>
      <c r="F130" s="276"/>
    </row>
    <row r="131">
      <c r="A131" s="207"/>
      <c r="B131" s="207"/>
      <c r="C131" s="276"/>
      <c r="D131" s="283">
        <v>7.498290155E9</v>
      </c>
      <c r="E131" s="283" t="s">
        <v>1988</v>
      </c>
      <c r="F131" s="283" t="s">
        <v>1989</v>
      </c>
    </row>
    <row r="132">
      <c r="A132" s="207"/>
      <c r="B132" s="207"/>
      <c r="C132" s="276"/>
      <c r="D132" s="276"/>
      <c r="E132" s="276"/>
      <c r="F132" s="276"/>
    </row>
    <row r="133">
      <c r="A133" s="207"/>
      <c r="B133" s="207"/>
      <c r="C133" s="276"/>
      <c r="D133" s="286">
        <v>46118.0</v>
      </c>
      <c r="E133" s="283" t="s">
        <v>1990</v>
      </c>
      <c r="F133" s="286">
        <v>38448.0</v>
      </c>
    </row>
    <row r="134">
      <c r="A134" s="207"/>
      <c r="B134" s="207"/>
      <c r="C134" s="276"/>
      <c r="D134" s="276"/>
      <c r="E134" s="276"/>
      <c r="F134" s="276"/>
    </row>
    <row r="135">
      <c r="A135" s="207"/>
      <c r="B135" s="207"/>
      <c r="C135" s="276"/>
      <c r="D135" s="283" t="s">
        <v>1991</v>
      </c>
      <c r="E135" s="283" t="s">
        <v>1992</v>
      </c>
      <c r="F135" s="283" t="s">
        <v>1993</v>
      </c>
    </row>
    <row r="136">
      <c r="A136" s="201"/>
      <c r="B136" s="201"/>
      <c r="C136" s="276"/>
      <c r="D136" s="276"/>
      <c r="E136" s="276"/>
      <c r="F136" s="276"/>
    </row>
    <row r="137">
      <c r="A137" s="277">
        <v>13.0</v>
      </c>
      <c r="B137" s="282" t="s">
        <v>1994</v>
      </c>
      <c r="C137" s="279"/>
      <c r="D137" s="280" t="s">
        <v>1869</v>
      </c>
      <c r="E137" s="280" t="s">
        <v>1995</v>
      </c>
      <c r="F137" s="280" t="s">
        <v>1869</v>
      </c>
    </row>
    <row r="138">
      <c r="A138" s="207"/>
      <c r="B138" s="207"/>
      <c r="C138" s="279"/>
      <c r="D138" s="279"/>
      <c r="E138" s="279"/>
      <c r="F138" s="279"/>
    </row>
    <row r="139">
      <c r="A139" s="207"/>
      <c r="B139" s="207"/>
      <c r="C139" s="279"/>
      <c r="D139" s="280" t="s">
        <v>1996</v>
      </c>
      <c r="E139" s="280" t="s">
        <v>1997</v>
      </c>
      <c r="F139" s="280" t="s">
        <v>1996</v>
      </c>
    </row>
    <row r="140">
      <c r="A140" s="207"/>
      <c r="B140" s="207"/>
      <c r="C140" s="279"/>
      <c r="D140" s="279"/>
      <c r="E140" s="279"/>
      <c r="F140" s="279"/>
    </row>
    <row r="141">
      <c r="A141" s="207"/>
      <c r="B141" s="207"/>
      <c r="C141" s="279"/>
      <c r="D141" s="280" t="s">
        <v>1998</v>
      </c>
      <c r="E141" s="280" t="s">
        <v>1999</v>
      </c>
      <c r="F141" s="280" t="s">
        <v>1998</v>
      </c>
    </row>
    <row r="142">
      <c r="A142" s="207"/>
      <c r="B142" s="207"/>
      <c r="C142" s="279"/>
      <c r="D142" s="279"/>
      <c r="E142" s="279"/>
      <c r="F142" s="279"/>
    </row>
    <row r="143">
      <c r="A143" s="207"/>
      <c r="B143" s="207"/>
      <c r="C143" s="279"/>
      <c r="D143" s="280" t="s">
        <v>2000</v>
      </c>
      <c r="E143" s="280" t="s">
        <v>2001</v>
      </c>
      <c r="F143" s="280" t="s">
        <v>2000</v>
      </c>
    </row>
    <row r="144">
      <c r="A144" s="207"/>
      <c r="B144" s="207"/>
      <c r="C144" s="279"/>
      <c r="D144" s="279"/>
      <c r="E144" s="279"/>
      <c r="F144" s="279"/>
    </row>
    <row r="145">
      <c r="A145" s="207"/>
      <c r="B145" s="207"/>
      <c r="C145" s="279"/>
      <c r="D145" s="280" t="s">
        <v>1869</v>
      </c>
      <c r="E145" s="280" t="s">
        <v>2002</v>
      </c>
      <c r="F145" s="280">
        <v>28.0</v>
      </c>
    </row>
    <row r="146">
      <c r="A146" s="201"/>
      <c r="B146" s="201"/>
      <c r="C146" s="279"/>
      <c r="D146" s="279"/>
      <c r="E146" s="280" t="s">
        <v>2003</v>
      </c>
      <c r="F146" s="280">
        <v>7.0</v>
      </c>
    </row>
    <row r="147">
      <c r="A147" s="277">
        <v>14.0</v>
      </c>
      <c r="B147" s="278" t="s">
        <v>2004</v>
      </c>
      <c r="C147" s="276"/>
      <c r="D147" s="283" t="s">
        <v>2005</v>
      </c>
      <c r="E147" s="283" t="s">
        <v>2006</v>
      </c>
      <c r="F147" s="286">
        <v>46237.0</v>
      </c>
    </row>
    <row r="148">
      <c r="A148" s="207"/>
      <c r="B148" s="207"/>
      <c r="C148" s="276"/>
      <c r="D148" s="276"/>
      <c r="E148" s="276"/>
      <c r="F148" s="276"/>
    </row>
    <row r="149">
      <c r="A149" s="207"/>
      <c r="B149" s="207"/>
      <c r="C149" s="276"/>
      <c r="D149" s="283" t="s">
        <v>2007</v>
      </c>
      <c r="E149" s="283" t="s">
        <v>2008</v>
      </c>
      <c r="F149" s="290">
        <v>46237.84583333333</v>
      </c>
    </row>
    <row r="150">
      <c r="A150" s="207"/>
      <c r="B150" s="207"/>
      <c r="C150" s="276"/>
      <c r="D150" s="276"/>
      <c r="E150" s="276"/>
      <c r="F150" s="276"/>
    </row>
    <row r="151">
      <c r="A151" s="207"/>
      <c r="B151" s="207"/>
      <c r="C151" s="276"/>
      <c r="D151" s="283" t="s">
        <v>2009</v>
      </c>
      <c r="E151" s="283" t="s">
        <v>2010</v>
      </c>
      <c r="F151" s="283">
        <v>2026.0</v>
      </c>
    </row>
    <row r="152">
      <c r="A152" s="207"/>
      <c r="B152" s="207"/>
      <c r="C152" s="276"/>
      <c r="D152" s="276"/>
      <c r="E152" s="276"/>
      <c r="F152" s="276"/>
    </row>
    <row r="153">
      <c r="A153" s="207"/>
      <c r="B153" s="207"/>
      <c r="C153" s="276"/>
      <c r="D153" s="283" t="s">
        <v>2011</v>
      </c>
      <c r="E153" s="283" t="s">
        <v>2012</v>
      </c>
      <c r="F153" s="283">
        <v>3.0</v>
      </c>
    </row>
    <row r="154">
      <c r="A154" s="207"/>
      <c r="B154" s="207"/>
      <c r="C154" s="276"/>
      <c r="D154" s="276"/>
      <c r="E154" s="276"/>
      <c r="F154" s="276"/>
    </row>
    <row r="155">
      <c r="A155" s="207"/>
      <c r="B155" s="207"/>
      <c r="C155" s="276"/>
      <c r="D155" s="283" t="s">
        <v>2013</v>
      </c>
      <c r="E155" s="283" t="s">
        <v>2014</v>
      </c>
      <c r="F155" s="283">
        <v>8.0</v>
      </c>
    </row>
    <row r="156">
      <c r="A156" s="201"/>
      <c r="B156" s="201"/>
      <c r="C156" s="276"/>
      <c r="D156" s="276"/>
      <c r="E156" s="276"/>
      <c r="F156" s="276"/>
    </row>
    <row r="157">
      <c r="A157" s="277">
        <v>15.0</v>
      </c>
      <c r="B157" s="278" t="s">
        <v>230</v>
      </c>
      <c r="C157" s="279"/>
      <c r="D157" s="280">
        <v>12345.0</v>
      </c>
      <c r="E157" s="280" t="s">
        <v>2015</v>
      </c>
      <c r="F157" s="280">
        <v>12345.0</v>
      </c>
    </row>
    <row r="158">
      <c r="A158" s="207"/>
      <c r="B158" s="207"/>
      <c r="C158" s="279"/>
      <c r="D158" s="279"/>
      <c r="E158" s="279"/>
      <c r="F158" s="279"/>
    </row>
    <row r="159">
      <c r="A159" s="207"/>
      <c r="B159" s="207"/>
      <c r="C159" s="279"/>
      <c r="D159" s="287">
        <v>46237.0</v>
      </c>
      <c r="E159" s="280" t="s">
        <v>2016</v>
      </c>
      <c r="F159" s="280">
        <v>46089.0</v>
      </c>
    </row>
    <row r="160">
      <c r="A160" s="207"/>
      <c r="B160" s="207"/>
      <c r="C160" s="279"/>
      <c r="D160" s="279"/>
      <c r="E160" s="279"/>
      <c r="F160" s="279"/>
    </row>
    <row r="161">
      <c r="A161" s="207"/>
      <c r="B161" s="207"/>
      <c r="C161" s="279"/>
      <c r="D161" s="291">
        <v>46237.5</v>
      </c>
      <c r="E161" s="280" t="s">
        <v>2017</v>
      </c>
      <c r="F161" s="292">
        <v>0.5</v>
      </c>
    </row>
    <row r="162">
      <c r="A162" s="207"/>
      <c r="B162" s="207"/>
      <c r="C162" s="279"/>
      <c r="D162" s="279"/>
      <c r="E162" s="279"/>
      <c r="F162" s="279"/>
    </row>
    <row r="163">
      <c r="A163" s="207"/>
      <c r="B163" s="207"/>
      <c r="C163" s="279"/>
      <c r="D163" s="280">
        <v>50.0</v>
      </c>
      <c r="E163" s="280" t="s">
        <v>2018</v>
      </c>
      <c r="F163" s="280">
        <v>60.0</v>
      </c>
    </row>
    <row r="164">
      <c r="A164" s="207"/>
      <c r="B164" s="207"/>
      <c r="C164" s="279"/>
      <c r="D164" s="279"/>
      <c r="E164" s="279"/>
      <c r="F164" s="279"/>
    </row>
    <row r="165">
      <c r="A165" s="207"/>
      <c r="B165" s="207"/>
      <c r="C165" s="279"/>
      <c r="D165" s="280">
        <v>70.0</v>
      </c>
      <c r="E165" s="280" t="s">
        <v>2019</v>
      </c>
      <c r="F165" s="280">
        <v>70.0</v>
      </c>
    </row>
    <row r="166">
      <c r="A166" s="201"/>
      <c r="B166" s="201"/>
      <c r="C166" s="279"/>
      <c r="D166" s="279"/>
      <c r="E166" s="279"/>
      <c r="F166" s="279"/>
    </row>
    <row r="167">
      <c r="A167" s="293">
        <v>16.0</v>
      </c>
      <c r="B167" s="278" t="s">
        <v>101</v>
      </c>
      <c r="C167" s="276"/>
      <c r="D167" s="283" t="s">
        <v>2020</v>
      </c>
      <c r="E167" s="283" t="s">
        <v>2021</v>
      </c>
      <c r="F167" s="283" t="s">
        <v>2022</v>
      </c>
    </row>
    <row r="168">
      <c r="A168" s="294"/>
      <c r="B168" s="207"/>
      <c r="C168" s="276"/>
      <c r="D168" s="276"/>
      <c r="E168" s="276"/>
      <c r="F168" s="276"/>
    </row>
    <row r="169">
      <c r="A169" s="294"/>
      <c r="B169" s="207"/>
      <c r="C169" s="276"/>
      <c r="D169" s="283" t="s">
        <v>2023</v>
      </c>
      <c r="E169" s="283" t="s">
        <v>2024</v>
      </c>
      <c r="F169" s="283" t="s">
        <v>2025</v>
      </c>
    </row>
    <row r="170">
      <c r="A170" s="294"/>
      <c r="B170" s="207"/>
      <c r="C170" s="276"/>
      <c r="D170" s="276"/>
      <c r="E170" s="276"/>
      <c r="F170" s="276"/>
    </row>
    <row r="171">
      <c r="A171" s="294"/>
      <c r="B171" s="207"/>
      <c r="C171" s="276"/>
      <c r="D171" s="283" t="s">
        <v>2026</v>
      </c>
      <c r="E171" s="283" t="s">
        <v>2027</v>
      </c>
      <c r="F171" s="283" t="s">
        <v>2028</v>
      </c>
    </row>
    <row r="172">
      <c r="A172" s="294"/>
      <c r="B172" s="207"/>
      <c r="C172" s="276"/>
      <c r="D172" s="276"/>
      <c r="E172" s="276"/>
      <c r="F172" s="276"/>
    </row>
    <row r="173">
      <c r="A173" s="294"/>
      <c r="B173" s="207"/>
      <c r="C173" s="276"/>
      <c r="D173" s="283" t="s">
        <v>2029</v>
      </c>
      <c r="E173" s="283" t="s">
        <v>2030</v>
      </c>
      <c r="F173" s="283" t="s">
        <v>2031</v>
      </c>
    </row>
    <row r="174">
      <c r="A174" s="294"/>
      <c r="B174" s="207"/>
      <c r="C174" s="276"/>
      <c r="D174" s="276"/>
      <c r="E174" s="276"/>
      <c r="F174" s="276"/>
    </row>
    <row r="175">
      <c r="A175" s="294"/>
      <c r="B175" s="207"/>
      <c r="C175" s="276"/>
      <c r="D175" s="283" t="s">
        <v>2032</v>
      </c>
      <c r="E175" s="283" t="s">
        <v>2033</v>
      </c>
      <c r="F175" s="283" t="s">
        <v>2034</v>
      </c>
    </row>
    <row r="176">
      <c r="A176" s="294"/>
      <c r="B176" s="207"/>
      <c r="C176" s="276"/>
      <c r="D176" s="276"/>
      <c r="E176" s="276"/>
      <c r="F176" s="276"/>
    </row>
    <row r="177">
      <c r="A177" s="274"/>
      <c r="B177" s="295"/>
      <c r="C177" s="279"/>
      <c r="D177" s="279"/>
      <c r="E177" s="279"/>
      <c r="F177" s="279"/>
    </row>
    <row r="178">
      <c r="A178" s="296"/>
      <c r="B178" s="297"/>
      <c r="C178" s="279"/>
      <c r="D178" s="279"/>
      <c r="E178" s="279"/>
      <c r="F178" s="279"/>
    </row>
    <row r="179">
      <c r="A179" s="298"/>
      <c r="B179" s="299"/>
    </row>
    <row r="180">
      <c r="A180" s="298"/>
      <c r="B180" s="299"/>
    </row>
    <row r="181">
      <c r="A181" s="298"/>
      <c r="B181" s="299"/>
    </row>
    <row r="182">
      <c r="A182" s="298"/>
      <c r="B182" s="299"/>
    </row>
    <row r="183">
      <c r="A183" s="298"/>
      <c r="B183" s="299"/>
    </row>
    <row r="184">
      <c r="A184" s="298"/>
      <c r="B184" s="299"/>
    </row>
    <row r="185">
      <c r="A185" s="298"/>
      <c r="B185" s="299"/>
    </row>
    <row r="186">
      <c r="A186" s="298"/>
      <c r="B186" s="299"/>
    </row>
    <row r="187">
      <c r="A187" s="298"/>
      <c r="B187" s="299"/>
    </row>
    <row r="188">
      <c r="A188" s="298"/>
      <c r="B188" s="299"/>
    </row>
    <row r="189">
      <c r="A189" s="298"/>
      <c r="B189" s="299"/>
    </row>
    <row r="190">
      <c r="A190" s="298"/>
      <c r="B190" s="299"/>
    </row>
    <row r="191">
      <c r="A191" s="298"/>
      <c r="B191" s="299"/>
    </row>
    <row r="192">
      <c r="A192" s="298"/>
      <c r="B192" s="299"/>
    </row>
    <row r="193">
      <c r="A193" s="298"/>
      <c r="B193" s="299"/>
    </row>
    <row r="194">
      <c r="A194" s="298"/>
      <c r="B194" s="299"/>
    </row>
    <row r="195">
      <c r="A195" s="298"/>
      <c r="B195" s="299"/>
    </row>
    <row r="196">
      <c r="A196" s="298"/>
      <c r="B196" s="299"/>
    </row>
    <row r="197">
      <c r="A197" s="298"/>
      <c r="B197" s="299"/>
    </row>
    <row r="198">
      <c r="A198" s="298"/>
      <c r="B198" s="299"/>
    </row>
    <row r="199">
      <c r="A199" s="298"/>
      <c r="B199" s="299"/>
    </row>
    <row r="200">
      <c r="A200" s="298"/>
      <c r="B200" s="299"/>
    </row>
    <row r="201">
      <c r="A201" s="298"/>
      <c r="B201" s="299"/>
    </row>
    <row r="202">
      <c r="A202" s="298"/>
      <c r="B202" s="299"/>
    </row>
    <row r="203">
      <c r="A203" s="298"/>
      <c r="B203" s="299"/>
    </row>
    <row r="204">
      <c r="A204" s="298"/>
      <c r="B204" s="299"/>
    </row>
    <row r="205">
      <c r="A205" s="298"/>
      <c r="B205" s="299"/>
    </row>
    <row r="206">
      <c r="A206" s="298"/>
      <c r="B206" s="299"/>
    </row>
    <row r="207">
      <c r="A207" s="298"/>
      <c r="B207" s="299"/>
    </row>
    <row r="208">
      <c r="A208" s="298"/>
      <c r="B208" s="299"/>
    </row>
    <row r="209">
      <c r="A209" s="298"/>
      <c r="B209" s="299"/>
    </row>
    <row r="210">
      <c r="A210" s="298"/>
      <c r="B210" s="299"/>
    </row>
    <row r="211">
      <c r="A211" s="298"/>
      <c r="B211" s="299"/>
    </row>
    <row r="212">
      <c r="A212" s="298"/>
      <c r="B212" s="299"/>
    </row>
    <row r="213">
      <c r="A213" s="298"/>
      <c r="B213" s="299"/>
    </row>
    <row r="214">
      <c r="A214" s="298"/>
      <c r="B214" s="299"/>
    </row>
    <row r="215">
      <c r="A215" s="298"/>
      <c r="B215" s="299"/>
    </row>
    <row r="216">
      <c r="A216" s="298"/>
      <c r="B216" s="299"/>
    </row>
    <row r="217">
      <c r="A217" s="298"/>
      <c r="B217" s="299"/>
    </row>
    <row r="218">
      <c r="A218" s="298"/>
      <c r="B218" s="299"/>
    </row>
    <row r="219">
      <c r="A219" s="298"/>
      <c r="B219" s="299"/>
    </row>
    <row r="220">
      <c r="A220" s="298"/>
      <c r="B220" s="299"/>
    </row>
    <row r="221">
      <c r="A221" s="298"/>
      <c r="B221" s="299"/>
    </row>
    <row r="222">
      <c r="A222" s="298"/>
      <c r="B222" s="299"/>
    </row>
    <row r="223">
      <c r="A223" s="298"/>
      <c r="B223" s="299"/>
    </row>
    <row r="224">
      <c r="A224" s="298"/>
      <c r="B224" s="299"/>
    </row>
    <row r="225">
      <c r="A225" s="298"/>
      <c r="B225" s="299"/>
    </row>
    <row r="226">
      <c r="A226" s="298"/>
      <c r="B226" s="299"/>
    </row>
    <row r="227">
      <c r="A227" s="298"/>
      <c r="B227" s="299"/>
    </row>
    <row r="228">
      <c r="A228" s="298"/>
      <c r="B228" s="299"/>
    </row>
    <row r="229">
      <c r="A229" s="298"/>
      <c r="B229" s="299"/>
    </row>
    <row r="230">
      <c r="A230" s="298"/>
      <c r="B230" s="299"/>
    </row>
    <row r="231">
      <c r="A231" s="298"/>
      <c r="B231" s="299"/>
    </row>
    <row r="232">
      <c r="A232" s="298"/>
      <c r="B232" s="299"/>
    </row>
    <row r="233">
      <c r="A233" s="298"/>
      <c r="B233" s="299"/>
    </row>
    <row r="234">
      <c r="A234" s="298"/>
      <c r="B234" s="299"/>
    </row>
    <row r="235">
      <c r="A235" s="298"/>
      <c r="B235" s="299"/>
    </row>
    <row r="236">
      <c r="A236" s="298"/>
      <c r="B236" s="299"/>
    </row>
    <row r="237">
      <c r="A237" s="298"/>
      <c r="B237" s="299"/>
    </row>
    <row r="238">
      <c r="A238" s="298"/>
      <c r="B238" s="299"/>
    </row>
    <row r="239">
      <c r="A239" s="298"/>
      <c r="B239" s="299"/>
    </row>
    <row r="240">
      <c r="A240" s="298"/>
      <c r="B240" s="299"/>
    </row>
    <row r="241">
      <c r="A241" s="298"/>
      <c r="B241" s="299"/>
    </row>
    <row r="242">
      <c r="A242" s="298"/>
      <c r="B242" s="299"/>
    </row>
    <row r="243">
      <c r="A243" s="298"/>
      <c r="B243" s="299"/>
    </row>
    <row r="244">
      <c r="A244" s="298"/>
      <c r="B244" s="299"/>
    </row>
    <row r="245">
      <c r="A245" s="298"/>
      <c r="B245" s="299"/>
    </row>
    <row r="246">
      <c r="A246" s="298"/>
      <c r="B246" s="299"/>
    </row>
    <row r="247">
      <c r="A247" s="298"/>
      <c r="B247" s="299"/>
    </row>
    <row r="248">
      <c r="A248" s="298"/>
      <c r="B248" s="299"/>
    </row>
    <row r="249">
      <c r="A249" s="298"/>
      <c r="B249" s="299"/>
    </row>
    <row r="250">
      <c r="A250" s="298"/>
      <c r="B250" s="299"/>
    </row>
    <row r="251">
      <c r="A251" s="298"/>
      <c r="B251" s="299"/>
    </row>
    <row r="252">
      <c r="A252" s="298"/>
      <c r="B252" s="299"/>
    </row>
    <row r="253">
      <c r="A253" s="298"/>
      <c r="B253" s="299"/>
    </row>
    <row r="254">
      <c r="A254" s="298"/>
      <c r="B254" s="299"/>
    </row>
    <row r="255">
      <c r="A255" s="298"/>
      <c r="B255" s="299"/>
    </row>
    <row r="256">
      <c r="A256" s="298"/>
      <c r="B256" s="299"/>
    </row>
    <row r="257">
      <c r="A257" s="298"/>
      <c r="B257" s="299"/>
    </row>
    <row r="258">
      <c r="A258" s="298"/>
      <c r="B258" s="299"/>
    </row>
    <row r="259">
      <c r="A259" s="298"/>
      <c r="B259" s="299"/>
    </row>
    <row r="260">
      <c r="A260" s="298"/>
      <c r="B260" s="299"/>
    </row>
    <row r="261">
      <c r="A261" s="298"/>
      <c r="B261" s="299"/>
    </row>
    <row r="262">
      <c r="A262" s="298"/>
      <c r="B262" s="299"/>
    </row>
    <row r="263">
      <c r="A263" s="298"/>
      <c r="B263" s="299"/>
    </row>
    <row r="264">
      <c r="A264" s="298"/>
      <c r="B264" s="299"/>
    </row>
    <row r="265">
      <c r="A265" s="298"/>
      <c r="B265" s="299"/>
    </row>
    <row r="266">
      <c r="A266" s="298"/>
      <c r="B266" s="299"/>
    </row>
    <row r="267">
      <c r="A267" s="298"/>
      <c r="B267" s="299"/>
    </row>
    <row r="268">
      <c r="A268" s="298"/>
      <c r="B268" s="299"/>
    </row>
    <row r="269">
      <c r="A269" s="298"/>
      <c r="B269" s="299"/>
    </row>
    <row r="270">
      <c r="A270" s="298"/>
      <c r="B270" s="299"/>
    </row>
    <row r="271">
      <c r="A271" s="298"/>
      <c r="B271" s="299"/>
    </row>
    <row r="272">
      <c r="A272" s="298"/>
      <c r="B272" s="299"/>
    </row>
    <row r="273">
      <c r="A273" s="298"/>
      <c r="B273" s="299"/>
    </row>
    <row r="274">
      <c r="A274" s="298"/>
      <c r="B274" s="299"/>
    </row>
    <row r="275">
      <c r="A275" s="298"/>
      <c r="B275" s="299"/>
    </row>
    <row r="276">
      <c r="A276" s="298"/>
      <c r="B276" s="299"/>
    </row>
    <row r="277">
      <c r="A277" s="298"/>
      <c r="B277" s="299"/>
    </row>
    <row r="278">
      <c r="A278" s="298"/>
      <c r="B278" s="299"/>
    </row>
    <row r="279">
      <c r="A279" s="298"/>
      <c r="B279" s="299"/>
    </row>
    <row r="280">
      <c r="A280" s="298"/>
      <c r="B280" s="299"/>
    </row>
    <row r="281">
      <c r="A281" s="298"/>
      <c r="B281" s="299"/>
    </row>
    <row r="282">
      <c r="A282" s="298"/>
      <c r="B282" s="299"/>
    </row>
    <row r="283">
      <c r="A283" s="298"/>
      <c r="B283" s="299"/>
    </row>
    <row r="284">
      <c r="A284" s="298"/>
      <c r="B284" s="299"/>
    </row>
    <row r="285">
      <c r="A285" s="298"/>
      <c r="B285" s="299"/>
    </row>
    <row r="286">
      <c r="A286" s="298"/>
      <c r="B286" s="299"/>
    </row>
    <row r="287">
      <c r="A287" s="298"/>
      <c r="B287" s="299"/>
    </row>
    <row r="288">
      <c r="A288" s="298"/>
      <c r="B288" s="299"/>
    </row>
    <row r="289">
      <c r="A289" s="298"/>
      <c r="B289" s="299"/>
    </row>
    <row r="290">
      <c r="A290" s="298"/>
      <c r="B290" s="299"/>
    </row>
    <row r="291">
      <c r="A291" s="298"/>
      <c r="B291" s="299"/>
    </row>
    <row r="292">
      <c r="A292" s="298"/>
      <c r="B292" s="299"/>
    </row>
    <row r="293">
      <c r="A293" s="298"/>
      <c r="B293" s="299"/>
    </row>
    <row r="294">
      <c r="A294" s="298"/>
      <c r="B294" s="299"/>
    </row>
    <row r="295">
      <c r="A295" s="298"/>
      <c r="B295" s="299"/>
    </row>
    <row r="296">
      <c r="A296" s="298"/>
      <c r="B296" s="299"/>
    </row>
    <row r="297">
      <c r="A297" s="298"/>
      <c r="B297" s="299"/>
    </row>
    <row r="298">
      <c r="A298" s="298"/>
      <c r="B298" s="299"/>
    </row>
    <row r="299">
      <c r="A299" s="298"/>
      <c r="B299" s="299"/>
    </row>
    <row r="300">
      <c r="A300" s="298"/>
      <c r="B300" s="299"/>
    </row>
    <row r="301">
      <c r="A301" s="298"/>
      <c r="B301" s="299"/>
    </row>
    <row r="302">
      <c r="A302" s="298"/>
      <c r="B302" s="299"/>
    </row>
    <row r="303">
      <c r="A303" s="298"/>
      <c r="B303" s="299"/>
    </row>
    <row r="304">
      <c r="A304" s="298"/>
      <c r="B304" s="299"/>
    </row>
    <row r="305">
      <c r="A305" s="298"/>
      <c r="B305" s="299"/>
    </row>
    <row r="306">
      <c r="A306" s="298"/>
      <c r="B306" s="299"/>
    </row>
    <row r="307">
      <c r="A307" s="298"/>
      <c r="B307" s="299"/>
    </row>
    <row r="308">
      <c r="A308" s="298"/>
      <c r="B308" s="299"/>
    </row>
    <row r="309">
      <c r="A309" s="298"/>
      <c r="B309" s="299"/>
    </row>
    <row r="310">
      <c r="A310" s="298"/>
      <c r="B310" s="299"/>
    </row>
    <row r="311">
      <c r="A311" s="298"/>
      <c r="B311" s="299"/>
    </row>
    <row r="312">
      <c r="A312" s="298"/>
      <c r="B312" s="299"/>
    </row>
    <row r="313">
      <c r="A313" s="298"/>
      <c r="B313" s="299"/>
    </row>
    <row r="314">
      <c r="A314" s="298"/>
      <c r="B314" s="299"/>
    </row>
    <row r="315">
      <c r="A315" s="298"/>
      <c r="B315" s="299"/>
    </row>
    <row r="316">
      <c r="A316" s="298"/>
      <c r="B316" s="299"/>
    </row>
    <row r="317">
      <c r="A317" s="298"/>
      <c r="B317" s="299"/>
    </row>
    <row r="318">
      <c r="A318" s="298"/>
      <c r="B318" s="299"/>
    </row>
    <row r="319">
      <c r="A319" s="298"/>
      <c r="B319" s="299"/>
    </row>
    <row r="320">
      <c r="A320" s="298"/>
      <c r="B320" s="299"/>
    </row>
    <row r="321">
      <c r="A321" s="298"/>
      <c r="B321" s="299"/>
    </row>
    <row r="322">
      <c r="A322" s="298"/>
      <c r="B322" s="299"/>
    </row>
    <row r="323">
      <c r="A323" s="298"/>
      <c r="B323" s="299"/>
    </row>
    <row r="324">
      <c r="A324" s="298"/>
      <c r="B324" s="299"/>
    </row>
    <row r="325">
      <c r="A325" s="298"/>
      <c r="B325" s="299"/>
    </row>
    <row r="326">
      <c r="A326" s="298"/>
      <c r="B326" s="299"/>
    </row>
    <row r="327">
      <c r="A327" s="298"/>
      <c r="B327" s="299"/>
    </row>
    <row r="328">
      <c r="A328" s="298"/>
      <c r="B328" s="299"/>
    </row>
    <row r="329">
      <c r="A329" s="298"/>
      <c r="B329" s="299"/>
    </row>
    <row r="330">
      <c r="A330" s="298"/>
      <c r="B330" s="299"/>
    </row>
    <row r="331">
      <c r="A331" s="298"/>
      <c r="B331" s="299"/>
    </row>
    <row r="332">
      <c r="A332" s="298"/>
      <c r="B332" s="299"/>
    </row>
    <row r="333">
      <c r="A333" s="298"/>
      <c r="B333" s="299"/>
    </row>
    <row r="334">
      <c r="A334" s="298"/>
      <c r="B334" s="299"/>
    </row>
    <row r="335">
      <c r="A335" s="298"/>
      <c r="B335" s="299"/>
    </row>
    <row r="336">
      <c r="A336" s="298"/>
      <c r="B336" s="299"/>
    </row>
    <row r="337">
      <c r="A337" s="298"/>
      <c r="B337" s="299"/>
    </row>
    <row r="338">
      <c r="A338" s="298"/>
      <c r="B338" s="299"/>
    </row>
    <row r="339">
      <c r="A339" s="298"/>
      <c r="B339" s="299"/>
    </row>
    <row r="340">
      <c r="A340" s="298"/>
      <c r="B340" s="299"/>
    </row>
    <row r="341">
      <c r="A341" s="298"/>
      <c r="B341" s="299"/>
    </row>
    <row r="342">
      <c r="A342" s="298"/>
      <c r="B342" s="299"/>
    </row>
    <row r="343">
      <c r="A343" s="298"/>
      <c r="B343" s="299"/>
    </row>
    <row r="344">
      <c r="A344" s="298"/>
      <c r="B344" s="299"/>
    </row>
    <row r="345">
      <c r="A345" s="298"/>
      <c r="B345" s="299"/>
    </row>
    <row r="346">
      <c r="A346" s="298"/>
      <c r="B346" s="299"/>
    </row>
    <row r="347">
      <c r="A347" s="298"/>
      <c r="B347" s="299"/>
    </row>
    <row r="348">
      <c r="A348" s="298"/>
      <c r="B348" s="299"/>
    </row>
    <row r="349">
      <c r="A349" s="298"/>
      <c r="B349" s="299"/>
    </row>
    <row r="350">
      <c r="A350" s="298"/>
      <c r="B350" s="299"/>
    </row>
    <row r="351">
      <c r="A351" s="298"/>
      <c r="B351" s="299"/>
    </row>
    <row r="352">
      <c r="A352" s="298"/>
      <c r="B352" s="299"/>
    </row>
    <row r="353">
      <c r="A353" s="298"/>
      <c r="B353" s="299"/>
    </row>
    <row r="354">
      <c r="A354" s="298"/>
      <c r="B354" s="299"/>
    </row>
    <row r="355">
      <c r="A355" s="298"/>
      <c r="B355" s="299"/>
    </row>
    <row r="356">
      <c r="A356" s="298"/>
      <c r="B356" s="299"/>
    </row>
    <row r="357">
      <c r="A357" s="298"/>
      <c r="B357" s="299"/>
    </row>
    <row r="358">
      <c r="A358" s="298"/>
      <c r="B358" s="299"/>
    </row>
    <row r="359">
      <c r="A359" s="298"/>
      <c r="B359" s="299"/>
    </row>
    <row r="360">
      <c r="A360" s="298"/>
      <c r="B360" s="299"/>
    </row>
    <row r="361">
      <c r="A361" s="298"/>
      <c r="B361" s="299"/>
    </row>
    <row r="362">
      <c r="A362" s="298"/>
      <c r="B362" s="299"/>
    </row>
    <row r="363">
      <c r="A363" s="298"/>
      <c r="B363" s="299"/>
    </row>
    <row r="364">
      <c r="A364" s="298"/>
      <c r="B364" s="299"/>
    </row>
    <row r="365">
      <c r="A365" s="298"/>
      <c r="B365" s="299"/>
    </row>
    <row r="366">
      <c r="A366" s="298"/>
      <c r="B366" s="299"/>
    </row>
    <row r="367">
      <c r="A367" s="298"/>
      <c r="B367" s="299"/>
    </row>
    <row r="368">
      <c r="A368" s="298"/>
      <c r="B368" s="299"/>
    </row>
    <row r="369">
      <c r="A369" s="298"/>
      <c r="B369" s="299"/>
    </row>
    <row r="370">
      <c r="A370" s="298"/>
      <c r="B370" s="299"/>
    </row>
    <row r="371">
      <c r="A371" s="298"/>
      <c r="B371" s="299"/>
    </row>
    <row r="372">
      <c r="A372" s="298"/>
      <c r="B372" s="299"/>
    </row>
    <row r="373">
      <c r="A373" s="298"/>
      <c r="B373" s="299"/>
    </row>
    <row r="374">
      <c r="A374" s="298"/>
      <c r="B374" s="299"/>
    </row>
    <row r="375">
      <c r="A375" s="298"/>
      <c r="B375" s="299"/>
    </row>
    <row r="376">
      <c r="A376" s="298"/>
      <c r="B376" s="299"/>
    </row>
    <row r="377">
      <c r="A377" s="298"/>
      <c r="B377" s="299"/>
    </row>
    <row r="378">
      <c r="A378" s="298"/>
      <c r="B378" s="299"/>
    </row>
    <row r="379">
      <c r="A379" s="298"/>
      <c r="B379" s="299"/>
    </row>
    <row r="380">
      <c r="A380" s="298"/>
      <c r="B380" s="299"/>
    </row>
    <row r="381">
      <c r="A381" s="298"/>
      <c r="B381" s="299"/>
    </row>
    <row r="382">
      <c r="A382" s="298"/>
      <c r="B382" s="299"/>
    </row>
    <row r="383">
      <c r="A383" s="298"/>
      <c r="B383" s="299"/>
    </row>
    <row r="384">
      <c r="A384" s="298"/>
      <c r="B384" s="299"/>
    </row>
    <row r="385">
      <c r="A385" s="298"/>
      <c r="B385" s="299"/>
    </row>
    <row r="386">
      <c r="A386" s="298"/>
      <c r="B386" s="299"/>
    </row>
    <row r="387">
      <c r="A387" s="298"/>
      <c r="B387" s="299"/>
    </row>
    <row r="388">
      <c r="A388" s="298"/>
      <c r="B388" s="299"/>
    </row>
    <row r="389">
      <c r="A389" s="298"/>
      <c r="B389" s="299"/>
    </row>
    <row r="390">
      <c r="A390" s="298"/>
      <c r="B390" s="299"/>
    </row>
    <row r="391">
      <c r="A391" s="298"/>
      <c r="B391" s="299"/>
    </row>
    <row r="392">
      <c r="A392" s="298"/>
      <c r="B392" s="299"/>
    </row>
    <row r="393">
      <c r="A393" s="298"/>
      <c r="B393" s="299"/>
    </row>
    <row r="394">
      <c r="A394" s="298"/>
      <c r="B394" s="299"/>
    </row>
    <row r="395">
      <c r="A395" s="298"/>
      <c r="B395" s="299"/>
    </row>
    <row r="396">
      <c r="A396" s="298"/>
      <c r="B396" s="299"/>
    </row>
    <row r="397">
      <c r="A397" s="298"/>
      <c r="B397" s="299"/>
    </row>
    <row r="398">
      <c r="A398" s="298"/>
      <c r="B398" s="299"/>
    </row>
    <row r="399">
      <c r="A399" s="298"/>
      <c r="B399" s="299"/>
    </row>
    <row r="400">
      <c r="A400" s="298"/>
      <c r="B400" s="299"/>
    </row>
    <row r="401">
      <c r="A401" s="298"/>
      <c r="B401" s="299"/>
    </row>
    <row r="402">
      <c r="A402" s="298"/>
      <c r="B402" s="299"/>
    </row>
    <row r="403">
      <c r="A403" s="298"/>
      <c r="B403" s="299"/>
    </row>
    <row r="404">
      <c r="A404" s="298"/>
      <c r="B404" s="299"/>
    </row>
    <row r="405">
      <c r="A405" s="298"/>
      <c r="B405" s="299"/>
    </row>
    <row r="406">
      <c r="A406" s="298"/>
      <c r="B406" s="299"/>
    </row>
    <row r="407">
      <c r="A407" s="298"/>
      <c r="B407" s="299"/>
    </row>
    <row r="408">
      <c r="A408" s="298"/>
      <c r="B408" s="299"/>
    </row>
    <row r="409">
      <c r="A409" s="298"/>
      <c r="B409" s="299"/>
    </row>
    <row r="410">
      <c r="A410" s="298"/>
      <c r="B410" s="299"/>
    </row>
    <row r="411">
      <c r="A411" s="298"/>
      <c r="B411" s="299"/>
    </row>
    <row r="412">
      <c r="A412" s="298"/>
      <c r="B412" s="299"/>
    </row>
    <row r="413">
      <c r="A413" s="298"/>
      <c r="B413" s="299"/>
    </row>
    <row r="414">
      <c r="A414" s="298"/>
      <c r="B414" s="299"/>
    </row>
    <row r="415">
      <c r="A415" s="298"/>
      <c r="B415" s="299"/>
    </row>
    <row r="416">
      <c r="A416" s="298"/>
      <c r="B416" s="299"/>
    </row>
    <row r="417">
      <c r="A417" s="298"/>
      <c r="B417" s="299"/>
    </row>
    <row r="418">
      <c r="A418" s="298"/>
      <c r="B418" s="299"/>
    </row>
    <row r="419">
      <c r="A419" s="298"/>
      <c r="B419" s="299"/>
    </row>
    <row r="420">
      <c r="A420" s="298"/>
      <c r="B420" s="299"/>
    </row>
    <row r="421">
      <c r="A421" s="298"/>
      <c r="B421" s="299"/>
    </row>
    <row r="422">
      <c r="A422" s="298"/>
      <c r="B422" s="299"/>
    </row>
    <row r="423">
      <c r="A423" s="298"/>
      <c r="B423" s="299"/>
    </row>
    <row r="424">
      <c r="A424" s="298"/>
      <c r="B424" s="299"/>
    </row>
    <row r="425">
      <c r="A425" s="298"/>
      <c r="B425" s="299"/>
    </row>
    <row r="426">
      <c r="A426" s="298"/>
      <c r="B426" s="299"/>
    </row>
    <row r="427">
      <c r="A427" s="298"/>
      <c r="B427" s="299"/>
    </row>
    <row r="428">
      <c r="A428" s="298"/>
      <c r="B428" s="299"/>
    </row>
    <row r="429">
      <c r="A429" s="298"/>
      <c r="B429" s="299"/>
    </row>
    <row r="430">
      <c r="A430" s="298"/>
      <c r="B430" s="299"/>
    </row>
    <row r="431">
      <c r="A431" s="298"/>
      <c r="B431" s="299"/>
    </row>
    <row r="432">
      <c r="A432" s="298"/>
      <c r="B432" s="299"/>
    </row>
    <row r="433">
      <c r="A433" s="298"/>
      <c r="B433" s="299"/>
    </row>
    <row r="434">
      <c r="A434" s="298"/>
      <c r="B434" s="299"/>
    </row>
    <row r="435">
      <c r="A435" s="298"/>
      <c r="B435" s="299"/>
    </row>
    <row r="436">
      <c r="A436" s="298"/>
      <c r="B436" s="299"/>
    </row>
    <row r="437">
      <c r="A437" s="298"/>
      <c r="B437" s="299"/>
    </row>
    <row r="438">
      <c r="A438" s="298"/>
      <c r="B438" s="299"/>
    </row>
    <row r="439">
      <c r="A439" s="298"/>
      <c r="B439" s="299"/>
    </row>
    <row r="440">
      <c r="A440" s="298"/>
      <c r="B440" s="299"/>
    </row>
    <row r="441">
      <c r="A441" s="298"/>
      <c r="B441" s="299"/>
    </row>
    <row r="442">
      <c r="A442" s="298"/>
      <c r="B442" s="299"/>
    </row>
    <row r="443">
      <c r="A443" s="298"/>
      <c r="B443" s="299"/>
    </row>
    <row r="444">
      <c r="A444" s="298"/>
      <c r="B444" s="299"/>
    </row>
    <row r="445">
      <c r="A445" s="298"/>
      <c r="B445" s="299"/>
    </row>
    <row r="446">
      <c r="A446" s="298"/>
      <c r="B446" s="299"/>
    </row>
    <row r="447">
      <c r="A447" s="298"/>
      <c r="B447" s="299"/>
    </row>
    <row r="448">
      <c r="A448" s="298"/>
      <c r="B448" s="299"/>
    </row>
    <row r="449">
      <c r="A449" s="298"/>
      <c r="B449" s="299"/>
    </row>
    <row r="450">
      <c r="A450" s="298"/>
      <c r="B450" s="299"/>
    </row>
    <row r="451">
      <c r="A451" s="298"/>
      <c r="B451" s="299"/>
    </row>
    <row r="452">
      <c r="A452" s="298"/>
      <c r="B452" s="299"/>
    </row>
    <row r="453">
      <c r="A453" s="298"/>
      <c r="B453" s="299"/>
    </row>
    <row r="454">
      <c r="A454" s="298"/>
      <c r="B454" s="299"/>
    </row>
    <row r="455">
      <c r="A455" s="298"/>
      <c r="B455" s="299"/>
    </row>
    <row r="456">
      <c r="A456" s="298"/>
      <c r="B456" s="299"/>
    </row>
    <row r="457">
      <c r="A457" s="298"/>
      <c r="B457" s="299"/>
    </row>
    <row r="458">
      <c r="A458" s="298"/>
      <c r="B458" s="299"/>
    </row>
    <row r="459">
      <c r="A459" s="298"/>
      <c r="B459" s="299"/>
    </row>
    <row r="460">
      <c r="A460" s="298"/>
      <c r="B460" s="299"/>
    </row>
    <row r="461">
      <c r="A461" s="298"/>
      <c r="B461" s="299"/>
    </row>
    <row r="462">
      <c r="A462" s="298"/>
      <c r="B462" s="299"/>
    </row>
    <row r="463">
      <c r="A463" s="298"/>
      <c r="B463" s="299"/>
    </row>
    <row r="464">
      <c r="A464" s="298"/>
      <c r="B464" s="299"/>
    </row>
    <row r="465">
      <c r="A465" s="298"/>
      <c r="B465" s="299"/>
    </row>
    <row r="466">
      <c r="A466" s="298"/>
      <c r="B466" s="299"/>
    </row>
    <row r="467">
      <c r="A467" s="298"/>
      <c r="B467" s="299"/>
    </row>
    <row r="468">
      <c r="A468" s="298"/>
      <c r="B468" s="299"/>
    </row>
    <row r="469">
      <c r="A469" s="298"/>
      <c r="B469" s="299"/>
    </row>
    <row r="470">
      <c r="A470" s="298"/>
      <c r="B470" s="299"/>
    </row>
    <row r="471">
      <c r="A471" s="298"/>
      <c r="B471" s="299"/>
    </row>
    <row r="472">
      <c r="A472" s="298"/>
      <c r="B472" s="299"/>
    </row>
    <row r="473">
      <c r="A473" s="298"/>
      <c r="B473" s="299"/>
    </row>
    <row r="474">
      <c r="A474" s="298"/>
      <c r="B474" s="299"/>
    </row>
    <row r="475">
      <c r="A475" s="298"/>
      <c r="B475" s="299"/>
    </row>
    <row r="476">
      <c r="A476" s="298"/>
      <c r="B476" s="299"/>
    </row>
    <row r="477">
      <c r="A477" s="298"/>
      <c r="B477" s="299"/>
    </row>
    <row r="478">
      <c r="A478" s="298"/>
      <c r="B478" s="299"/>
    </row>
    <row r="479">
      <c r="A479" s="298"/>
      <c r="B479" s="299"/>
    </row>
    <row r="480">
      <c r="A480" s="298"/>
      <c r="B480" s="299"/>
    </row>
    <row r="481">
      <c r="A481" s="298"/>
      <c r="B481" s="299"/>
    </row>
    <row r="482">
      <c r="A482" s="298"/>
      <c r="B482" s="299"/>
    </row>
    <row r="483">
      <c r="A483" s="298"/>
      <c r="B483" s="299"/>
    </row>
    <row r="484">
      <c r="A484" s="298"/>
      <c r="B484" s="299"/>
    </row>
    <row r="485">
      <c r="A485" s="298"/>
      <c r="B485" s="299"/>
    </row>
    <row r="486">
      <c r="A486" s="298"/>
      <c r="B486" s="299"/>
    </row>
    <row r="487">
      <c r="A487" s="298"/>
      <c r="B487" s="299"/>
    </row>
    <row r="488">
      <c r="A488" s="298"/>
      <c r="B488" s="299"/>
    </row>
    <row r="489">
      <c r="A489" s="298"/>
      <c r="B489" s="299"/>
    </row>
    <row r="490">
      <c r="A490" s="298"/>
      <c r="B490" s="299"/>
    </row>
    <row r="491">
      <c r="A491" s="298"/>
      <c r="B491" s="299"/>
    </row>
    <row r="492">
      <c r="A492" s="298"/>
      <c r="B492" s="299"/>
    </row>
    <row r="493">
      <c r="A493" s="298"/>
      <c r="B493" s="299"/>
    </row>
    <row r="494">
      <c r="A494" s="298"/>
      <c r="B494" s="299"/>
    </row>
    <row r="495">
      <c r="A495" s="298"/>
      <c r="B495" s="299"/>
    </row>
    <row r="496">
      <c r="A496" s="298"/>
      <c r="B496" s="299"/>
    </row>
    <row r="497">
      <c r="A497" s="298"/>
      <c r="B497" s="299"/>
    </row>
    <row r="498">
      <c r="A498" s="298"/>
      <c r="B498" s="299"/>
    </row>
    <row r="499">
      <c r="A499" s="298"/>
      <c r="B499" s="299"/>
    </row>
    <row r="500">
      <c r="A500" s="298"/>
      <c r="B500" s="299"/>
    </row>
    <row r="501">
      <c r="A501" s="298"/>
      <c r="B501" s="299"/>
    </row>
    <row r="502">
      <c r="A502" s="298"/>
      <c r="B502" s="299"/>
    </row>
    <row r="503">
      <c r="A503" s="298"/>
      <c r="B503" s="299"/>
    </row>
    <row r="504">
      <c r="A504" s="298"/>
      <c r="B504" s="299"/>
    </row>
    <row r="505">
      <c r="A505" s="298"/>
      <c r="B505" s="299"/>
    </row>
    <row r="506">
      <c r="A506" s="298"/>
      <c r="B506" s="299"/>
    </row>
    <row r="507">
      <c r="A507" s="298"/>
      <c r="B507" s="299"/>
    </row>
    <row r="508">
      <c r="A508" s="298"/>
      <c r="B508" s="299"/>
    </row>
    <row r="509">
      <c r="A509" s="298"/>
      <c r="B509" s="299"/>
    </row>
    <row r="510">
      <c r="A510" s="298"/>
      <c r="B510" s="299"/>
    </row>
    <row r="511">
      <c r="A511" s="298"/>
      <c r="B511" s="299"/>
    </row>
    <row r="512">
      <c r="A512" s="298"/>
      <c r="B512" s="299"/>
    </row>
    <row r="513">
      <c r="A513" s="298"/>
      <c r="B513" s="299"/>
    </row>
    <row r="514">
      <c r="A514" s="298"/>
      <c r="B514" s="299"/>
    </row>
    <row r="515">
      <c r="A515" s="298"/>
      <c r="B515" s="299"/>
    </row>
    <row r="516">
      <c r="A516" s="298"/>
      <c r="B516" s="299"/>
    </row>
    <row r="517">
      <c r="A517" s="298"/>
      <c r="B517" s="299"/>
    </row>
    <row r="518">
      <c r="A518" s="298"/>
      <c r="B518" s="299"/>
    </row>
    <row r="519">
      <c r="A519" s="298"/>
      <c r="B519" s="299"/>
    </row>
    <row r="520">
      <c r="A520" s="298"/>
      <c r="B520" s="299"/>
    </row>
    <row r="521">
      <c r="A521" s="298"/>
      <c r="B521" s="299"/>
    </row>
    <row r="522">
      <c r="A522" s="298"/>
      <c r="B522" s="299"/>
    </row>
    <row r="523">
      <c r="A523" s="298"/>
      <c r="B523" s="299"/>
    </row>
    <row r="524">
      <c r="A524" s="298"/>
      <c r="B524" s="299"/>
    </row>
    <row r="525">
      <c r="A525" s="298"/>
      <c r="B525" s="299"/>
    </row>
    <row r="526">
      <c r="A526" s="298"/>
      <c r="B526" s="299"/>
    </row>
    <row r="527">
      <c r="A527" s="298"/>
      <c r="B527" s="299"/>
    </row>
    <row r="528">
      <c r="A528" s="298"/>
      <c r="B528" s="299"/>
    </row>
    <row r="529">
      <c r="A529" s="298"/>
      <c r="B529" s="299"/>
    </row>
    <row r="530">
      <c r="A530" s="298"/>
      <c r="B530" s="299"/>
    </row>
    <row r="531">
      <c r="A531" s="298"/>
      <c r="B531" s="299"/>
    </row>
    <row r="532">
      <c r="A532" s="298"/>
      <c r="B532" s="299"/>
    </row>
    <row r="533">
      <c r="A533" s="298"/>
      <c r="B533" s="299"/>
    </row>
    <row r="534">
      <c r="A534" s="298"/>
      <c r="B534" s="299"/>
    </row>
    <row r="535">
      <c r="A535" s="298"/>
      <c r="B535" s="299"/>
    </row>
    <row r="536">
      <c r="A536" s="298"/>
      <c r="B536" s="299"/>
    </row>
    <row r="537">
      <c r="A537" s="298"/>
      <c r="B537" s="299"/>
    </row>
    <row r="538">
      <c r="A538" s="298"/>
      <c r="B538" s="299"/>
    </row>
    <row r="539">
      <c r="A539" s="298"/>
      <c r="B539" s="299"/>
    </row>
    <row r="540">
      <c r="A540" s="298"/>
      <c r="B540" s="299"/>
    </row>
    <row r="541">
      <c r="A541" s="298"/>
      <c r="B541" s="299"/>
    </row>
    <row r="542">
      <c r="A542" s="298"/>
      <c r="B542" s="299"/>
    </row>
    <row r="543">
      <c r="A543" s="298"/>
      <c r="B543" s="299"/>
    </row>
    <row r="544">
      <c r="A544" s="298"/>
      <c r="B544" s="299"/>
    </row>
    <row r="545">
      <c r="A545" s="298"/>
      <c r="B545" s="299"/>
    </row>
    <row r="546">
      <c r="A546" s="298"/>
      <c r="B546" s="299"/>
    </row>
    <row r="547">
      <c r="A547" s="298"/>
      <c r="B547" s="299"/>
    </row>
    <row r="548">
      <c r="A548" s="298"/>
      <c r="B548" s="299"/>
    </row>
    <row r="549">
      <c r="A549" s="298"/>
      <c r="B549" s="299"/>
    </row>
    <row r="550">
      <c r="A550" s="298"/>
      <c r="B550" s="299"/>
    </row>
    <row r="551">
      <c r="A551" s="298"/>
      <c r="B551" s="299"/>
    </row>
    <row r="552">
      <c r="A552" s="298"/>
      <c r="B552" s="299"/>
    </row>
    <row r="553">
      <c r="A553" s="298"/>
      <c r="B553" s="299"/>
    </row>
    <row r="554">
      <c r="A554" s="298"/>
      <c r="B554" s="299"/>
    </row>
    <row r="555">
      <c r="A555" s="298"/>
      <c r="B555" s="299"/>
    </row>
    <row r="556">
      <c r="A556" s="298"/>
      <c r="B556" s="299"/>
    </row>
    <row r="557">
      <c r="A557" s="298"/>
      <c r="B557" s="299"/>
    </row>
    <row r="558">
      <c r="A558" s="298"/>
      <c r="B558" s="299"/>
    </row>
    <row r="559">
      <c r="A559" s="298"/>
      <c r="B559" s="299"/>
    </row>
    <row r="560">
      <c r="A560" s="298"/>
      <c r="B560" s="299"/>
    </row>
    <row r="561">
      <c r="A561" s="298"/>
      <c r="B561" s="299"/>
    </row>
    <row r="562">
      <c r="A562" s="298"/>
      <c r="B562" s="299"/>
    </row>
    <row r="563">
      <c r="A563" s="298"/>
      <c r="B563" s="299"/>
    </row>
    <row r="564">
      <c r="A564" s="298"/>
      <c r="B564" s="299"/>
    </row>
    <row r="565">
      <c r="A565" s="298"/>
      <c r="B565" s="299"/>
    </row>
    <row r="566">
      <c r="A566" s="298"/>
      <c r="B566" s="299"/>
    </row>
    <row r="567">
      <c r="A567" s="298"/>
      <c r="B567" s="299"/>
    </row>
    <row r="568">
      <c r="A568" s="298"/>
      <c r="B568" s="299"/>
    </row>
    <row r="569">
      <c r="A569" s="298"/>
      <c r="B569" s="299"/>
    </row>
    <row r="570">
      <c r="A570" s="298"/>
      <c r="B570" s="299"/>
    </row>
    <row r="571">
      <c r="A571" s="298"/>
      <c r="B571" s="299"/>
    </row>
    <row r="572">
      <c r="A572" s="298"/>
      <c r="B572" s="299"/>
    </row>
    <row r="573">
      <c r="A573" s="298"/>
      <c r="B573" s="299"/>
    </row>
    <row r="574">
      <c r="A574" s="298"/>
      <c r="B574" s="299"/>
    </row>
    <row r="575">
      <c r="A575" s="298"/>
      <c r="B575" s="299"/>
    </row>
    <row r="576">
      <c r="A576" s="298"/>
      <c r="B576" s="299"/>
    </row>
    <row r="577">
      <c r="A577" s="298"/>
      <c r="B577" s="299"/>
    </row>
    <row r="578">
      <c r="A578" s="298"/>
      <c r="B578" s="299"/>
    </row>
    <row r="579">
      <c r="A579" s="298"/>
      <c r="B579" s="299"/>
    </row>
    <row r="580">
      <c r="A580" s="298"/>
      <c r="B580" s="299"/>
    </row>
    <row r="581">
      <c r="A581" s="298"/>
      <c r="B581" s="299"/>
    </row>
    <row r="582">
      <c r="A582" s="298"/>
      <c r="B582" s="299"/>
    </row>
    <row r="583">
      <c r="A583" s="298"/>
      <c r="B583" s="299"/>
    </row>
    <row r="584">
      <c r="A584" s="298"/>
      <c r="B584" s="299"/>
    </row>
    <row r="585">
      <c r="A585" s="298"/>
      <c r="B585" s="299"/>
    </row>
    <row r="586">
      <c r="A586" s="298"/>
      <c r="B586" s="299"/>
    </row>
    <row r="587">
      <c r="A587" s="298"/>
      <c r="B587" s="299"/>
    </row>
    <row r="588">
      <c r="A588" s="298"/>
      <c r="B588" s="299"/>
    </row>
    <row r="589">
      <c r="A589" s="298"/>
      <c r="B589" s="299"/>
    </row>
    <row r="590">
      <c r="A590" s="298"/>
      <c r="B590" s="299"/>
    </row>
    <row r="591">
      <c r="A591" s="298"/>
      <c r="B591" s="299"/>
    </row>
    <row r="592">
      <c r="A592" s="298"/>
      <c r="B592" s="299"/>
    </row>
    <row r="593">
      <c r="A593" s="298"/>
      <c r="B593" s="299"/>
    </row>
    <row r="594">
      <c r="A594" s="298"/>
      <c r="B594" s="299"/>
    </row>
    <row r="595">
      <c r="A595" s="298"/>
      <c r="B595" s="299"/>
    </row>
    <row r="596">
      <c r="A596" s="298"/>
      <c r="B596" s="299"/>
    </row>
    <row r="597">
      <c r="A597" s="298"/>
      <c r="B597" s="299"/>
    </row>
    <row r="598">
      <c r="A598" s="298"/>
      <c r="B598" s="299"/>
    </row>
    <row r="599">
      <c r="A599" s="298"/>
      <c r="B599" s="299"/>
    </row>
    <row r="600">
      <c r="A600" s="298"/>
      <c r="B600" s="299"/>
    </row>
    <row r="601">
      <c r="A601" s="298"/>
      <c r="B601" s="299"/>
    </row>
    <row r="602">
      <c r="A602" s="298"/>
      <c r="B602" s="299"/>
    </row>
    <row r="603">
      <c r="A603" s="298"/>
      <c r="B603" s="299"/>
    </row>
    <row r="604">
      <c r="A604" s="298"/>
      <c r="B604" s="299"/>
    </row>
    <row r="605">
      <c r="A605" s="298"/>
      <c r="B605" s="299"/>
    </row>
    <row r="606">
      <c r="A606" s="298"/>
      <c r="B606" s="299"/>
    </row>
    <row r="607">
      <c r="A607" s="298"/>
      <c r="B607" s="299"/>
    </row>
    <row r="608">
      <c r="A608" s="298"/>
      <c r="B608" s="299"/>
    </row>
    <row r="609">
      <c r="A609" s="298"/>
      <c r="B609" s="299"/>
    </row>
    <row r="610">
      <c r="A610" s="298"/>
      <c r="B610" s="299"/>
    </row>
    <row r="611">
      <c r="A611" s="298"/>
      <c r="B611" s="299"/>
    </row>
    <row r="612">
      <c r="A612" s="298"/>
      <c r="B612" s="299"/>
    </row>
    <row r="613">
      <c r="A613" s="298"/>
      <c r="B613" s="299"/>
    </row>
    <row r="614">
      <c r="A614" s="298"/>
      <c r="B614" s="299"/>
    </row>
    <row r="615">
      <c r="A615" s="298"/>
      <c r="B615" s="299"/>
    </row>
    <row r="616">
      <c r="A616" s="298"/>
      <c r="B616" s="299"/>
    </row>
    <row r="617">
      <c r="A617" s="298"/>
      <c r="B617" s="299"/>
    </row>
    <row r="618">
      <c r="A618" s="298"/>
      <c r="B618" s="299"/>
    </row>
    <row r="619">
      <c r="A619" s="298"/>
      <c r="B619" s="299"/>
    </row>
    <row r="620">
      <c r="A620" s="298"/>
      <c r="B620" s="299"/>
    </row>
    <row r="621">
      <c r="A621" s="298"/>
      <c r="B621" s="299"/>
    </row>
    <row r="622">
      <c r="A622" s="298"/>
      <c r="B622" s="299"/>
    </row>
    <row r="623">
      <c r="A623" s="298"/>
      <c r="B623" s="299"/>
    </row>
    <row r="624">
      <c r="A624" s="298"/>
      <c r="B624" s="299"/>
    </row>
    <row r="625">
      <c r="A625" s="298"/>
      <c r="B625" s="299"/>
    </row>
    <row r="626">
      <c r="A626" s="298"/>
      <c r="B626" s="299"/>
    </row>
    <row r="627">
      <c r="A627" s="298"/>
      <c r="B627" s="299"/>
    </row>
    <row r="628">
      <c r="A628" s="298"/>
      <c r="B628" s="299"/>
    </row>
    <row r="629">
      <c r="A629" s="298"/>
      <c r="B629" s="299"/>
    </row>
    <row r="630">
      <c r="A630" s="298"/>
      <c r="B630" s="299"/>
    </row>
    <row r="631">
      <c r="A631" s="298"/>
      <c r="B631" s="299"/>
    </row>
    <row r="632">
      <c r="A632" s="298"/>
      <c r="B632" s="299"/>
    </row>
    <row r="633">
      <c r="A633" s="298"/>
      <c r="B633" s="299"/>
    </row>
    <row r="634">
      <c r="A634" s="298"/>
      <c r="B634" s="299"/>
    </row>
    <row r="635">
      <c r="A635" s="298"/>
      <c r="B635" s="299"/>
    </row>
    <row r="636">
      <c r="A636" s="298"/>
      <c r="B636" s="299"/>
    </row>
    <row r="637">
      <c r="A637" s="298"/>
      <c r="B637" s="299"/>
    </row>
    <row r="638">
      <c r="A638" s="298"/>
      <c r="B638" s="299"/>
    </row>
    <row r="639">
      <c r="A639" s="298"/>
      <c r="B639" s="299"/>
    </row>
    <row r="640">
      <c r="A640" s="298"/>
      <c r="B640" s="299"/>
    </row>
    <row r="641">
      <c r="A641" s="298"/>
      <c r="B641" s="299"/>
    </row>
    <row r="642">
      <c r="A642" s="298"/>
      <c r="B642" s="299"/>
    </row>
    <row r="643">
      <c r="A643" s="298"/>
      <c r="B643" s="299"/>
    </row>
    <row r="644">
      <c r="A644" s="298"/>
      <c r="B644" s="299"/>
    </row>
    <row r="645">
      <c r="A645" s="298"/>
      <c r="B645" s="299"/>
    </row>
    <row r="646">
      <c r="A646" s="298"/>
      <c r="B646" s="299"/>
    </row>
    <row r="647">
      <c r="A647" s="298"/>
      <c r="B647" s="299"/>
    </row>
    <row r="648">
      <c r="A648" s="298"/>
      <c r="B648" s="299"/>
    </row>
    <row r="649">
      <c r="A649" s="298"/>
      <c r="B649" s="299"/>
    </row>
    <row r="650">
      <c r="A650" s="298"/>
      <c r="B650" s="299"/>
    </row>
    <row r="651">
      <c r="A651" s="298"/>
      <c r="B651" s="299"/>
    </row>
    <row r="652">
      <c r="A652" s="298"/>
      <c r="B652" s="299"/>
    </row>
    <row r="653">
      <c r="A653" s="298"/>
      <c r="B653" s="299"/>
    </row>
    <row r="654">
      <c r="A654" s="298"/>
      <c r="B654" s="299"/>
    </row>
    <row r="655">
      <c r="A655" s="298"/>
      <c r="B655" s="299"/>
    </row>
    <row r="656">
      <c r="A656" s="298"/>
      <c r="B656" s="299"/>
    </row>
    <row r="657">
      <c r="A657" s="298"/>
      <c r="B657" s="299"/>
    </row>
    <row r="658">
      <c r="A658" s="298"/>
      <c r="B658" s="299"/>
    </row>
    <row r="659">
      <c r="A659" s="298"/>
      <c r="B659" s="299"/>
    </row>
    <row r="660">
      <c r="A660" s="298"/>
      <c r="B660" s="299"/>
    </row>
    <row r="661">
      <c r="A661" s="298"/>
      <c r="B661" s="299"/>
    </row>
    <row r="662">
      <c r="A662" s="298"/>
      <c r="B662" s="299"/>
    </row>
    <row r="663">
      <c r="A663" s="298"/>
      <c r="B663" s="299"/>
    </row>
    <row r="664">
      <c r="A664" s="298"/>
      <c r="B664" s="299"/>
    </row>
    <row r="665">
      <c r="A665" s="298"/>
      <c r="B665" s="299"/>
    </row>
    <row r="666">
      <c r="A666" s="298"/>
      <c r="B666" s="299"/>
    </row>
    <row r="667">
      <c r="A667" s="298"/>
      <c r="B667" s="299"/>
    </row>
    <row r="668">
      <c r="A668" s="298"/>
      <c r="B668" s="299"/>
    </row>
    <row r="669">
      <c r="A669" s="298"/>
      <c r="B669" s="299"/>
    </row>
    <row r="670">
      <c r="A670" s="298"/>
      <c r="B670" s="299"/>
    </row>
    <row r="671">
      <c r="A671" s="298"/>
      <c r="B671" s="299"/>
    </row>
    <row r="672">
      <c r="A672" s="298"/>
      <c r="B672" s="299"/>
    </row>
    <row r="673">
      <c r="A673" s="298"/>
      <c r="B673" s="299"/>
    </row>
    <row r="674">
      <c r="A674" s="298"/>
      <c r="B674" s="299"/>
    </row>
    <row r="675">
      <c r="A675" s="298"/>
      <c r="B675" s="299"/>
    </row>
    <row r="676">
      <c r="A676" s="298"/>
      <c r="B676" s="299"/>
    </row>
    <row r="677">
      <c r="A677" s="298"/>
      <c r="B677" s="299"/>
    </row>
    <row r="678">
      <c r="A678" s="298"/>
      <c r="B678" s="299"/>
    </row>
    <row r="679">
      <c r="A679" s="298"/>
      <c r="B679" s="299"/>
    </row>
    <row r="680">
      <c r="A680" s="298"/>
      <c r="B680" s="299"/>
    </row>
    <row r="681">
      <c r="A681" s="298"/>
      <c r="B681" s="299"/>
    </row>
    <row r="682">
      <c r="A682" s="298"/>
      <c r="B682" s="299"/>
    </row>
    <row r="683">
      <c r="A683" s="298"/>
      <c r="B683" s="299"/>
    </row>
    <row r="684">
      <c r="A684" s="298"/>
      <c r="B684" s="299"/>
    </row>
    <row r="685">
      <c r="A685" s="298"/>
      <c r="B685" s="299"/>
    </row>
    <row r="686">
      <c r="A686" s="298"/>
      <c r="B686" s="299"/>
    </row>
    <row r="687">
      <c r="A687" s="298"/>
      <c r="B687" s="299"/>
    </row>
    <row r="688">
      <c r="A688" s="298"/>
      <c r="B688" s="299"/>
    </row>
    <row r="689">
      <c r="A689" s="298"/>
      <c r="B689" s="299"/>
    </row>
    <row r="690">
      <c r="A690" s="298"/>
      <c r="B690" s="299"/>
    </row>
    <row r="691">
      <c r="A691" s="298"/>
      <c r="B691" s="299"/>
    </row>
    <row r="692">
      <c r="A692" s="298"/>
      <c r="B692" s="299"/>
    </row>
    <row r="693">
      <c r="A693" s="298"/>
      <c r="B693" s="299"/>
    </row>
    <row r="694">
      <c r="A694" s="298"/>
      <c r="B694" s="299"/>
    </row>
    <row r="695">
      <c r="A695" s="298"/>
      <c r="B695" s="299"/>
    </row>
    <row r="696">
      <c r="A696" s="298"/>
      <c r="B696" s="299"/>
    </row>
    <row r="697">
      <c r="A697" s="298"/>
      <c r="B697" s="299"/>
    </row>
    <row r="698">
      <c r="A698" s="298"/>
      <c r="B698" s="299"/>
    </row>
    <row r="699">
      <c r="A699" s="298"/>
      <c r="B699" s="299"/>
    </row>
    <row r="700">
      <c r="A700" s="298"/>
      <c r="B700" s="299"/>
    </row>
    <row r="701">
      <c r="A701" s="298"/>
      <c r="B701" s="299"/>
    </row>
    <row r="702">
      <c r="A702" s="298"/>
      <c r="B702" s="299"/>
    </row>
    <row r="703">
      <c r="A703" s="298"/>
      <c r="B703" s="299"/>
    </row>
    <row r="704">
      <c r="A704" s="298"/>
      <c r="B704" s="299"/>
    </row>
    <row r="705">
      <c r="A705" s="298"/>
      <c r="B705" s="299"/>
    </row>
    <row r="706">
      <c r="A706" s="298"/>
      <c r="B706" s="299"/>
    </row>
    <row r="707">
      <c r="A707" s="298"/>
      <c r="B707" s="299"/>
    </row>
    <row r="708">
      <c r="A708" s="298"/>
      <c r="B708" s="299"/>
    </row>
    <row r="709">
      <c r="A709" s="298"/>
      <c r="B709" s="299"/>
    </row>
    <row r="710">
      <c r="A710" s="298"/>
      <c r="B710" s="299"/>
    </row>
    <row r="711">
      <c r="A711" s="298"/>
      <c r="B711" s="299"/>
    </row>
    <row r="712">
      <c r="A712" s="298"/>
      <c r="B712" s="299"/>
    </row>
    <row r="713">
      <c r="A713" s="298"/>
      <c r="B713" s="299"/>
    </row>
    <row r="714">
      <c r="A714" s="298"/>
      <c r="B714" s="299"/>
    </row>
    <row r="715">
      <c r="A715" s="298"/>
      <c r="B715" s="299"/>
    </row>
    <row r="716">
      <c r="A716" s="298"/>
      <c r="B716" s="299"/>
    </row>
    <row r="717">
      <c r="A717" s="298"/>
      <c r="B717" s="299"/>
    </row>
    <row r="718">
      <c r="A718" s="298"/>
      <c r="B718" s="299"/>
    </row>
    <row r="719">
      <c r="A719" s="298"/>
      <c r="B719" s="299"/>
    </row>
    <row r="720">
      <c r="A720" s="298"/>
      <c r="B720" s="299"/>
    </row>
    <row r="721">
      <c r="A721" s="298"/>
      <c r="B721" s="299"/>
    </row>
    <row r="722">
      <c r="A722" s="298"/>
      <c r="B722" s="299"/>
    </row>
    <row r="723">
      <c r="A723" s="298"/>
      <c r="B723" s="299"/>
    </row>
    <row r="724">
      <c r="A724" s="298"/>
      <c r="B724" s="299"/>
    </row>
    <row r="725">
      <c r="A725" s="298"/>
      <c r="B725" s="299"/>
    </row>
    <row r="726">
      <c r="A726" s="298"/>
      <c r="B726" s="299"/>
    </row>
    <row r="727">
      <c r="A727" s="298"/>
      <c r="B727" s="299"/>
    </row>
    <row r="728">
      <c r="A728" s="298"/>
      <c r="B728" s="299"/>
    </row>
    <row r="729">
      <c r="A729" s="298"/>
      <c r="B729" s="299"/>
    </row>
    <row r="730">
      <c r="A730" s="298"/>
      <c r="B730" s="299"/>
    </row>
    <row r="731">
      <c r="A731" s="298"/>
      <c r="B731" s="299"/>
    </row>
    <row r="732">
      <c r="A732" s="298"/>
      <c r="B732" s="299"/>
    </row>
    <row r="733">
      <c r="A733" s="298"/>
      <c r="B733" s="299"/>
    </row>
    <row r="734">
      <c r="A734" s="298"/>
      <c r="B734" s="299"/>
    </row>
    <row r="735">
      <c r="A735" s="298"/>
      <c r="B735" s="299"/>
    </row>
    <row r="736">
      <c r="A736" s="298"/>
      <c r="B736" s="299"/>
    </row>
    <row r="737">
      <c r="A737" s="298"/>
      <c r="B737" s="299"/>
    </row>
    <row r="738">
      <c r="A738" s="298"/>
      <c r="B738" s="299"/>
    </row>
    <row r="739">
      <c r="A739" s="298"/>
      <c r="B739" s="299"/>
    </row>
    <row r="740">
      <c r="A740" s="298"/>
      <c r="B740" s="299"/>
    </row>
    <row r="741">
      <c r="A741" s="298"/>
      <c r="B741" s="299"/>
    </row>
    <row r="742">
      <c r="A742" s="298"/>
      <c r="B742" s="299"/>
    </row>
    <row r="743">
      <c r="A743" s="298"/>
      <c r="B743" s="299"/>
    </row>
    <row r="744">
      <c r="A744" s="298"/>
      <c r="B744" s="299"/>
    </row>
    <row r="745">
      <c r="A745" s="298"/>
      <c r="B745" s="299"/>
    </row>
    <row r="746">
      <c r="A746" s="298"/>
      <c r="B746" s="299"/>
    </row>
    <row r="747">
      <c r="A747" s="298"/>
      <c r="B747" s="299"/>
    </row>
    <row r="748">
      <c r="A748" s="298"/>
      <c r="B748" s="299"/>
    </row>
    <row r="749">
      <c r="A749" s="298"/>
      <c r="B749" s="299"/>
    </row>
    <row r="750">
      <c r="A750" s="298"/>
      <c r="B750" s="299"/>
    </row>
    <row r="751">
      <c r="A751" s="298"/>
      <c r="B751" s="299"/>
    </row>
    <row r="752">
      <c r="A752" s="298"/>
      <c r="B752" s="299"/>
    </row>
    <row r="753">
      <c r="A753" s="298"/>
      <c r="B753" s="299"/>
    </row>
    <row r="754">
      <c r="A754" s="298"/>
      <c r="B754" s="299"/>
    </row>
    <row r="755">
      <c r="A755" s="298"/>
      <c r="B755" s="299"/>
    </row>
    <row r="756">
      <c r="A756" s="298"/>
      <c r="B756" s="299"/>
    </row>
    <row r="757">
      <c r="A757" s="298"/>
      <c r="B757" s="299"/>
    </row>
    <row r="758">
      <c r="A758" s="298"/>
      <c r="B758" s="299"/>
    </row>
    <row r="759">
      <c r="A759" s="298"/>
      <c r="B759" s="299"/>
    </row>
    <row r="760">
      <c r="A760" s="298"/>
      <c r="B760" s="299"/>
    </row>
    <row r="761">
      <c r="A761" s="298"/>
      <c r="B761" s="299"/>
    </row>
    <row r="762">
      <c r="A762" s="298"/>
      <c r="B762" s="299"/>
    </row>
    <row r="763">
      <c r="A763" s="298"/>
      <c r="B763" s="299"/>
    </row>
    <row r="764">
      <c r="A764" s="298"/>
      <c r="B764" s="299"/>
    </row>
    <row r="765">
      <c r="A765" s="298"/>
      <c r="B765" s="299"/>
    </row>
    <row r="766">
      <c r="A766" s="298"/>
      <c r="B766" s="299"/>
    </row>
    <row r="767">
      <c r="A767" s="298"/>
      <c r="B767" s="299"/>
    </row>
    <row r="768">
      <c r="A768" s="298"/>
      <c r="B768" s="299"/>
    </row>
    <row r="769">
      <c r="A769" s="298"/>
      <c r="B769" s="299"/>
    </row>
    <row r="770">
      <c r="A770" s="298"/>
      <c r="B770" s="299"/>
    </row>
    <row r="771">
      <c r="A771" s="298"/>
      <c r="B771" s="299"/>
    </row>
    <row r="772">
      <c r="A772" s="298"/>
      <c r="B772" s="299"/>
    </row>
    <row r="773">
      <c r="A773" s="298"/>
      <c r="B773" s="299"/>
    </row>
    <row r="774">
      <c r="A774" s="298"/>
      <c r="B774" s="299"/>
    </row>
    <row r="775">
      <c r="A775" s="298"/>
      <c r="B775" s="299"/>
    </row>
    <row r="776">
      <c r="A776" s="298"/>
      <c r="B776" s="299"/>
    </row>
    <row r="777">
      <c r="A777" s="298"/>
      <c r="B777" s="299"/>
    </row>
    <row r="778">
      <c r="A778" s="298"/>
      <c r="B778" s="299"/>
    </row>
    <row r="779">
      <c r="A779" s="298"/>
      <c r="B779" s="299"/>
    </row>
    <row r="780">
      <c r="A780" s="298"/>
      <c r="B780" s="299"/>
    </row>
    <row r="781">
      <c r="A781" s="298"/>
      <c r="B781" s="299"/>
    </row>
    <row r="782">
      <c r="A782" s="298"/>
      <c r="B782" s="299"/>
    </row>
    <row r="783">
      <c r="A783" s="298"/>
      <c r="B783" s="299"/>
    </row>
    <row r="784">
      <c r="A784" s="298"/>
      <c r="B784" s="299"/>
    </row>
    <row r="785">
      <c r="A785" s="298"/>
      <c r="B785" s="299"/>
    </row>
    <row r="786">
      <c r="A786" s="298"/>
      <c r="B786" s="299"/>
    </row>
    <row r="787">
      <c r="A787" s="298"/>
      <c r="B787" s="299"/>
    </row>
    <row r="788">
      <c r="A788" s="298"/>
      <c r="B788" s="299"/>
    </row>
    <row r="789">
      <c r="A789" s="298"/>
      <c r="B789" s="299"/>
    </row>
    <row r="790">
      <c r="A790" s="298"/>
      <c r="B790" s="299"/>
    </row>
    <row r="791">
      <c r="A791" s="298"/>
      <c r="B791" s="299"/>
    </row>
    <row r="792">
      <c r="A792" s="298"/>
      <c r="B792" s="299"/>
    </row>
    <row r="793">
      <c r="A793" s="298"/>
      <c r="B793" s="299"/>
    </row>
    <row r="794">
      <c r="A794" s="298"/>
      <c r="B794" s="299"/>
    </row>
    <row r="795">
      <c r="A795" s="298"/>
      <c r="B795" s="299"/>
    </row>
    <row r="796">
      <c r="A796" s="298"/>
      <c r="B796" s="299"/>
    </row>
    <row r="797">
      <c r="A797" s="298"/>
      <c r="B797" s="299"/>
    </row>
    <row r="798">
      <c r="A798" s="298"/>
      <c r="B798" s="299"/>
    </row>
    <row r="799">
      <c r="A799" s="298"/>
      <c r="B799" s="299"/>
    </row>
    <row r="800">
      <c r="A800" s="298"/>
      <c r="B800" s="299"/>
    </row>
    <row r="801">
      <c r="A801" s="298"/>
      <c r="B801" s="299"/>
    </row>
    <row r="802">
      <c r="A802" s="298"/>
      <c r="B802" s="299"/>
    </row>
    <row r="803">
      <c r="A803" s="298"/>
      <c r="B803" s="299"/>
    </row>
    <row r="804">
      <c r="A804" s="298"/>
      <c r="B804" s="299"/>
    </row>
    <row r="805">
      <c r="A805" s="298"/>
      <c r="B805" s="299"/>
    </row>
    <row r="806">
      <c r="A806" s="298"/>
      <c r="B806" s="299"/>
    </row>
    <row r="807">
      <c r="A807" s="298"/>
      <c r="B807" s="299"/>
    </row>
    <row r="808">
      <c r="A808" s="298"/>
      <c r="B808" s="299"/>
    </row>
    <row r="809">
      <c r="A809" s="298"/>
      <c r="B809" s="299"/>
    </row>
    <row r="810">
      <c r="A810" s="298"/>
      <c r="B810" s="299"/>
    </row>
    <row r="811">
      <c r="A811" s="298"/>
      <c r="B811" s="299"/>
    </row>
    <row r="812">
      <c r="A812" s="298"/>
      <c r="B812" s="299"/>
    </row>
    <row r="813">
      <c r="A813" s="298"/>
      <c r="B813" s="299"/>
    </row>
    <row r="814">
      <c r="A814" s="298"/>
      <c r="B814" s="299"/>
    </row>
    <row r="815">
      <c r="A815" s="298"/>
      <c r="B815" s="299"/>
    </row>
    <row r="816">
      <c r="A816" s="298"/>
      <c r="B816" s="299"/>
    </row>
    <row r="817">
      <c r="A817" s="298"/>
      <c r="B817" s="299"/>
    </row>
    <row r="818">
      <c r="A818" s="298"/>
      <c r="B818" s="299"/>
    </row>
    <row r="819">
      <c r="A819" s="298"/>
      <c r="B819" s="299"/>
    </row>
    <row r="820">
      <c r="A820" s="298"/>
      <c r="B820" s="299"/>
    </row>
    <row r="821">
      <c r="A821" s="298"/>
      <c r="B821" s="299"/>
    </row>
    <row r="822">
      <c r="A822" s="298"/>
      <c r="B822" s="299"/>
    </row>
    <row r="823">
      <c r="A823" s="298"/>
      <c r="B823" s="299"/>
    </row>
    <row r="824">
      <c r="A824" s="298"/>
      <c r="B824" s="299"/>
    </row>
    <row r="825">
      <c r="A825" s="298"/>
      <c r="B825" s="299"/>
    </row>
    <row r="826">
      <c r="A826" s="298"/>
      <c r="B826" s="299"/>
    </row>
    <row r="827">
      <c r="A827" s="298"/>
      <c r="B827" s="299"/>
    </row>
    <row r="828">
      <c r="A828" s="298"/>
      <c r="B828" s="299"/>
    </row>
    <row r="829">
      <c r="A829" s="298"/>
      <c r="B829" s="299"/>
    </row>
    <row r="830">
      <c r="A830" s="298"/>
      <c r="B830" s="299"/>
    </row>
    <row r="831">
      <c r="A831" s="298"/>
      <c r="B831" s="299"/>
    </row>
    <row r="832">
      <c r="A832" s="298"/>
      <c r="B832" s="299"/>
    </row>
    <row r="833">
      <c r="A833" s="298"/>
      <c r="B833" s="299"/>
    </row>
    <row r="834">
      <c r="A834" s="298"/>
      <c r="B834" s="299"/>
    </row>
    <row r="835">
      <c r="A835" s="298"/>
      <c r="B835" s="299"/>
    </row>
    <row r="836">
      <c r="A836" s="298"/>
      <c r="B836" s="299"/>
    </row>
    <row r="837">
      <c r="A837" s="298"/>
      <c r="B837" s="299"/>
    </row>
    <row r="838">
      <c r="A838" s="298"/>
      <c r="B838" s="299"/>
    </row>
    <row r="839">
      <c r="A839" s="298"/>
      <c r="B839" s="299"/>
    </row>
    <row r="840">
      <c r="A840" s="298"/>
      <c r="B840" s="299"/>
    </row>
    <row r="841">
      <c r="A841" s="298"/>
      <c r="B841" s="299"/>
    </row>
    <row r="842">
      <c r="A842" s="298"/>
      <c r="B842" s="299"/>
    </row>
    <row r="843">
      <c r="A843" s="298"/>
      <c r="B843" s="299"/>
    </row>
    <row r="844">
      <c r="A844" s="298"/>
      <c r="B844" s="299"/>
    </row>
    <row r="845">
      <c r="A845" s="298"/>
      <c r="B845" s="299"/>
    </row>
    <row r="846">
      <c r="A846" s="298"/>
      <c r="B846" s="299"/>
    </row>
    <row r="847">
      <c r="A847" s="298"/>
      <c r="B847" s="299"/>
    </row>
    <row r="848">
      <c r="A848" s="298"/>
      <c r="B848" s="299"/>
    </row>
    <row r="849">
      <c r="A849" s="298"/>
      <c r="B849" s="299"/>
    </row>
    <row r="850">
      <c r="A850" s="298"/>
      <c r="B850" s="299"/>
    </row>
    <row r="851">
      <c r="A851" s="298"/>
      <c r="B851" s="299"/>
    </row>
    <row r="852">
      <c r="A852" s="298"/>
      <c r="B852" s="299"/>
    </row>
    <row r="853">
      <c r="A853" s="298"/>
      <c r="B853" s="299"/>
    </row>
    <row r="854">
      <c r="A854" s="298"/>
      <c r="B854" s="299"/>
    </row>
    <row r="855">
      <c r="A855" s="298"/>
      <c r="B855" s="299"/>
    </row>
    <row r="856">
      <c r="A856" s="298"/>
      <c r="B856" s="299"/>
    </row>
    <row r="857">
      <c r="A857" s="298"/>
      <c r="B857" s="299"/>
    </row>
    <row r="858">
      <c r="A858" s="298"/>
      <c r="B858" s="299"/>
    </row>
    <row r="859">
      <c r="A859" s="298"/>
      <c r="B859" s="299"/>
    </row>
    <row r="860">
      <c r="A860" s="298"/>
      <c r="B860" s="299"/>
    </row>
    <row r="861">
      <c r="A861" s="298"/>
      <c r="B861" s="299"/>
    </row>
    <row r="862">
      <c r="A862" s="298"/>
      <c r="B862" s="299"/>
    </row>
    <row r="863">
      <c r="A863" s="298"/>
      <c r="B863" s="299"/>
    </row>
    <row r="864">
      <c r="A864" s="298"/>
      <c r="B864" s="299"/>
    </row>
    <row r="865">
      <c r="A865" s="298"/>
      <c r="B865" s="299"/>
    </row>
    <row r="866">
      <c r="A866" s="298"/>
      <c r="B866" s="299"/>
    </row>
    <row r="867">
      <c r="A867" s="298"/>
      <c r="B867" s="299"/>
    </row>
    <row r="868">
      <c r="A868" s="298"/>
      <c r="B868" s="299"/>
    </row>
    <row r="869">
      <c r="A869" s="298"/>
      <c r="B869" s="299"/>
    </row>
    <row r="870">
      <c r="A870" s="298"/>
      <c r="B870" s="299"/>
    </row>
    <row r="871">
      <c r="A871" s="298"/>
      <c r="B871" s="299"/>
    </row>
    <row r="872">
      <c r="A872" s="298"/>
      <c r="B872" s="299"/>
    </row>
    <row r="873">
      <c r="A873" s="298"/>
      <c r="B873" s="299"/>
    </row>
    <row r="874">
      <c r="A874" s="298"/>
      <c r="B874" s="299"/>
    </row>
    <row r="875">
      <c r="A875" s="298"/>
      <c r="B875" s="299"/>
    </row>
    <row r="876">
      <c r="A876" s="298"/>
      <c r="B876" s="299"/>
    </row>
    <row r="877">
      <c r="A877" s="298"/>
      <c r="B877" s="299"/>
    </row>
    <row r="878">
      <c r="A878" s="298"/>
      <c r="B878" s="299"/>
    </row>
    <row r="879">
      <c r="A879" s="298"/>
      <c r="B879" s="299"/>
    </row>
    <row r="880">
      <c r="A880" s="298"/>
      <c r="B880" s="299"/>
    </row>
    <row r="881">
      <c r="A881" s="298"/>
      <c r="B881" s="299"/>
    </row>
    <row r="882">
      <c r="A882" s="298"/>
      <c r="B882" s="299"/>
    </row>
    <row r="883">
      <c r="A883" s="298"/>
      <c r="B883" s="299"/>
    </row>
    <row r="884">
      <c r="A884" s="298"/>
      <c r="B884" s="299"/>
    </row>
    <row r="885">
      <c r="A885" s="298"/>
      <c r="B885" s="299"/>
    </row>
    <row r="886">
      <c r="A886" s="298"/>
      <c r="B886" s="299"/>
    </row>
    <row r="887">
      <c r="A887" s="298"/>
      <c r="B887" s="299"/>
    </row>
    <row r="888">
      <c r="A888" s="298"/>
      <c r="B888" s="299"/>
    </row>
    <row r="889">
      <c r="A889" s="298"/>
      <c r="B889" s="299"/>
    </row>
    <row r="890">
      <c r="A890" s="298"/>
      <c r="B890" s="299"/>
    </row>
    <row r="891">
      <c r="A891" s="298"/>
      <c r="B891" s="299"/>
    </row>
    <row r="892">
      <c r="A892" s="298"/>
      <c r="B892" s="299"/>
    </row>
    <row r="893">
      <c r="A893" s="298"/>
      <c r="B893" s="299"/>
    </row>
    <row r="894">
      <c r="A894" s="298"/>
      <c r="B894" s="299"/>
    </row>
    <row r="895">
      <c r="A895" s="298"/>
      <c r="B895" s="299"/>
    </row>
    <row r="896">
      <c r="A896" s="298"/>
      <c r="B896" s="299"/>
    </row>
    <row r="897">
      <c r="A897" s="298"/>
      <c r="B897" s="299"/>
    </row>
    <row r="898">
      <c r="A898" s="298"/>
      <c r="B898" s="299"/>
    </row>
    <row r="899">
      <c r="A899" s="298"/>
      <c r="B899" s="299"/>
    </row>
    <row r="900">
      <c r="A900" s="298"/>
      <c r="B900" s="299"/>
    </row>
    <row r="901">
      <c r="A901" s="298"/>
      <c r="B901" s="299"/>
    </row>
    <row r="902">
      <c r="A902" s="298"/>
      <c r="B902" s="299"/>
    </row>
    <row r="903">
      <c r="A903" s="298"/>
      <c r="B903" s="299"/>
    </row>
    <row r="904">
      <c r="A904" s="298"/>
      <c r="B904" s="299"/>
    </row>
    <row r="905">
      <c r="A905" s="298"/>
      <c r="B905" s="299"/>
    </row>
    <row r="906">
      <c r="A906" s="298"/>
      <c r="B906" s="299"/>
    </row>
    <row r="907">
      <c r="A907" s="298"/>
      <c r="B907" s="299"/>
    </row>
    <row r="908">
      <c r="A908" s="298"/>
      <c r="B908" s="299"/>
    </row>
    <row r="909">
      <c r="A909" s="298"/>
      <c r="B909" s="299"/>
    </row>
    <row r="910">
      <c r="A910" s="298"/>
      <c r="B910" s="299"/>
    </row>
    <row r="911">
      <c r="A911" s="298"/>
      <c r="B911" s="299"/>
    </row>
    <row r="912">
      <c r="A912" s="298"/>
      <c r="B912" s="299"/>
    </row>
    <row r="913">
      <c r="A913" s="298"/>
      <c r="B913" s="299"/>
    </row>
    <row r="914">
      <c r="A914" s="298"/>
      <c r="B914" s="299"/>
    </row>
    <row r="915">
      <c r="A915" s="298"/>
      <c r="B915" s="299"/>
    </row>
    <row r="916">
      <c r="A916" s="298"/>
      <c r="B916" s="299"/>
    </row>
    <row r="917">
      <c r="A917" s="298"/>
      <c r="B917" s="299"/>
    </row>
    <row r="918">
      <c r="A918" s="298"/>
      <c r="B918" s="299"/>
    </row>
    <row r="919">
      <c r="A919" s="298"/>
      <c r="B919" s="299"/>
    </row>
    <row r="920">
      <c r="A920" s="298"/>
      <c r="B920" s="299"/>
    </row>
    <row r="921">
      <c r="A921" s="298"/>
      <c r="B921" s="299"/>
    </row>
    <row r="922">
      <c r="A922" s="298"/>
      <c r="B922" s="299"/>
    </row>
    <row r="923">
      <c r="A923" s="298"/>
      <c r="B923" s="299"/>
    </row>
    <row r="924">
      <c r="A924" s="298"/>
      <c r="B924" s="299"/>
    </row>
    <row r="925">
      <c r="A925" s="298"/>
      <c r="B925" s="299"/>
    </row>
    <row r="926">
      <c r="A926" s="298"/>
      <c r="B926" s="299"/>
    </row>
    <row r="927">
      <c r="A927" s="298"/>
      <c r="B927" s="299"/>
    </row>
    <row r="928">
      <c r="A928" s="298"/>
      <c r="B928" s="299"/>
    </row>
    <row r="929">
      <c r="A929" s="298"/>
      <c r="B929" s="299"/>
    </row>
    <row r="930">
      <c r="A930" s="298"/>
      <c r="B930" s="299"/>
    </row>
    <row r="931">
      <c r="A931" s="298"/>
      <c r="B931" s="299"/>
    </row>
    <row r="932">
      <c r="A932" s="298"/>
      <c r="B932" s="299"/>
    </row>
    <row r="933">
      <c r="A933" s="298"/>
      <c r="B933" s="299"/>
    </row>
    <row r="934">
      <c r="A934" s="298"/>
      <c r="B934" s="299"/>
    </row>
    <row r="935">
      <c r="A935" s="298"/>
      <c r="B935" s="299"/>
    </row>
    <row r="936">
      <c r="A936" s="298"/>
      <c r="B936" s="299"/>
    </row>
    <row r="937">
      <c r="A937" s="298"/>
      <c r="B937" s="299"/>
    </row>
    <row r="938">
      <c r="A938" s="298"/>
      <c r="B938" s="299"/>
    </row>
    <row r="939">
      <c r="A939" s="298"/>
      <c r="B939" s="299"/>
    </row>
    <row r="940">
      <c r="A940" s="298"/>
      <c r="B940" s="299"/>
    </row>
    <row r="941">
      <c r="A941" s="298"/>
      <c r="B941" s="299"/>
    </row>
    <row r="942">
      <c r="A942" s="298"/>
      <c r="B942" s="299"/>
    </row>
    <row r="943">
      <c r="A943" s="298"/>
      <c r="B943" s="299"/>
    </row>
    <row r="944">
      <c r="A944" s="298"/>
      <c r="B944" s="299"/>
    </row>
    <row r="945">
      <c r="A945" s="298"/>
      <c r="B945" s="299"/>
    </row>
    <row r="946">
      <c r="A946" s="298"/>
      <c r="B946" s="299"/>
    </row>
    <row r="947">
      <c r="A947" s="298"/>
      <c r="B947" s="299"/>
    </row>
    <row r="948">
      <c r="A948" s="298"/>
      <c r="B948" s="299"/>
    </row>
    <row r="949">
      <c r="A949" s="298"/>
      <c r="B949" s="299"/>
    </row>
    <row r="950">
      <c r="A950" s="298"/>
      <c r="B950" s="299"/>
    </row>
    <row r="951">
      <c r="A951" s="298"/>
      <c r="B951" s="299"/>
    </row>
    <row r="952">
      <c r="A952" s="298"/>
      <c r="B952" s="299"/>
    </row>
    <row r="953">
      <c r="A953" s="298"/>
      <c r="B953" s="299"/>
    </row>
    <row r="954">
      <c r="A954" s="298"/>
      <c r="B954" s="299"/>
    </row>
    <row r="955">
      <c r="A955" s="298"/>
      <c r="B955" s="299"/>
    </row>
    <row r="956">
      <c r="A956" s="298"/>
      <c r="B956" s="299"/>
    </row>
    <row r="957">
      <c r="A957" s="298"/>
      <c r="B957" s="299"/>
    </row>
    <row r="958">
      <c r="A958" s="298"/>
      <c r="B958" s="299"/>
    </row>
    <row r="959">
      <c r="A959" s="298"/>
      <c r="B959" s="299"/>
    </row>
    <row r="960">
      <c r="A960" s="298"/>
      <c r="B960" s="299"/>
    </row>
    <row r="961">
      <c r="A961" s="298"/>
      <c r="B961" s="299"/>
    </row>
    <row r="962">
      <c r="A962" s="298"/>
      <c r="B962" s="299"/>
    </row>
    <row r="963">
      <c r="A963" s="298"/>
      <c r="B963" s="299"/>
    </row>
    <row r="964">
      <c r="A964" s="298"/>
      <c r="B964" s="299"/>
    </row>
    <row r="965">
      <c r="A965" s="298"/>
      <c r="B965" s="299"/>
    </row>
    <row r="966">
      <c r="A966" s="298"/>
      <c r="B966" s="299"/>
    </row>
    <row r="967">
      <c r="A967" s="298"/>
      <c r="B967" s="299"/>
    </row>
    <row r="968">
      <c r="A968" s="298"/>
      <c r="B968" s="299"/>
    </row>
    <row r="969">
      <c r="A969" s="298"/>
      <c r="B969" s="299"/>
    </row>
    <row r="970">
      <c r="A970" s="298"/>
      <c r="B970" s="299"/>
    </row>
    <row r="971">
      <c r="A971" s="298"/>
      <c r="B971" s="299"/>
    </row>
    <row r="972">
      <c r="A972" s="298"/>
      <c r="B972" s="299"/>
    </row>
    <row r="973">
      <c r="A973" s="298"/>
      <c r="B973" s="299"/>
    </row>
    <row r="974">
      <c r="A974" s="298"/>
      <c r="B974" s="299"/>
    </row>
    <row r="975">
      <c r="A975" s="298"/>
      <c r="B975" s="299"/>
    </row>
    <row r="976">
      <c r="A976" s="298"/>
      <c r="B976" s="299"/>
    </row>
    <row r="977">
      <c r="A977" s="298"/>
      <c r="B977" s="299"/>
    </row>
    <row r="978">
      <c r="A978" s="298"/>
      <c r="B978" s="299"/>
    </row>
    <row r="979">
      <c r="A979" s="298"/>
      <c r="B979" s="299"/>
    </row>
    <row r="980">
      <c r="A980" s="298"/>
      <c r="B980" s="299"/>
    </row>
    <row r="981">
      <c r="A981" s="298"/>
      <c r="B981" s="299"/>
    </row>
    <row r="982">
      <c r="A982" s="298"/>
      <c r="B982" s="299"/>
    </row>
    <row r="983">
      <c r="A983" s="298"/>
      <c r="B983" s="299"/>
    </row>
    <row r="984">
      <c r="A984" s="298"/>
      <c r="B984" s="299"/>
    </row>
    <row r="985">
      <c r="A985" s="298"/>
      <c r="B985" s="299"/>
    </row>
    <row r="986">
      <c r="A986" s="298"/>
      <c r="B986" s="299"/>
    </row>
    <row r="987">
      <c r="A987" s="298"/>
      <c r="B987" s="299"/>
    </row>
    <row r="988">
      <c r="A988" s="298"/>
      <c r="B988" s="299"/>
    </row>
    <row r="989">
      <c r="A989" s="298"/>
      <c r="B989" s="299"/>
    </row>
    <row r="990">
      <c r="A990" s="298"/>
      <c r="B990" s="299"/>
    </row>
    <row r="991">
      <c r="A991" s="298"/>
      <c r="B991" s="299"/>
    </row>
    <row r="992">
      <c r="A992" s="298"/>
      <c r="B992" s="299"/>
    </row>
    <row r="993">
      <c r="A993" s="298"/>
      <c r="B993" s="299"/>
    </row>
    <row r="994">
      <c r="A994" s="298"/>
      <c r="B994" s="299"/>
    </row>
    <row r="995">
      <c r="A995" s="298"/>
      <c r="B995" s="299"/>
    </row>
    <row r="996">
      <c r="A996" s="298"/>
      <c r="B996" s="299"/>
    </row>
    <row r="997">
      <c r="A997" s="298"/>
      <c r="B997" s="299"/>
    </row>
    <row r="998">
      <c r="A998" s="298"/>
      <c r="B998" s="299"/>
    </row>
    <row r="999">
      <c r="A999" s="298"/>
      <c r="B999" s="299"/>
    </row>
    <row r="1000">
      <c r="A1000" s="298"/>
      <c r="B1000" s="299"/>
    </row>
  </sheetData>
  <mergeCells count="32">
    <mergeCell ref="A3:A17"/>
    <mergeCell ref="B3:B17"/>
    <mergeCell ref="A18:A32"/>
    <mergeCell ref="B18:B32"/>
    <mergeCell ref="A33:A42"/>
    <mergeCell ref="B33:B42"/>
    <mergeCell ref="B43:B56"/>
    <mergeCell ref="A117:A126"/>
    <mergeCell ref="A127:A136"/>
    <mergeCell ref="A137:A146"/>
    <mergeCell ref="A147:A156"/>
    <mergeCell ref="A157:A166"/>
    <mergeCell ref="A167:A176"/>
    <mergeCell ref="A43:A56"/>
    <mergeCell ref="A57:A66"/>
    <mergeCell ref="A67:A76"/>
    <mergeCell ref="A77:A86"/>
    <mergeCell ref="A87:A96"/>
    <mergeCell ref="A97:A106"/>
    <mergeCell ref="A107:A116"/>
    <mergeCell ref="B127:B136"/>
    <mergeCell ref="B137:B146"/>
    <mergeCell ref="B147:B156"/>
    <mergeCell ref="B157:B166"/>
    <mergeCell ref="B167:B176"/>
    <mergeCell ref="B57:B66"/>
    <mergeCell ref="B67:B76"/>
    <mergeCell ref="B77:B86"/>
    <mergeCell ref="B87:B96"/>
    <mergeCell ref="B97:B106"/>
    <mergeCell ref="B107:B116"/>
    <mergeCell ref="B117:B126"/>
  </mergeCells>
  <hyperlinks>
    <hyperlink r:id="rId1" ref="D65"/>
    <hyperlink r:id="rId2" ref="D93"/>
    <hyperlink r:id="rId3" ref="D99"/>
    <hyperlink r:id="rId4" ref="D109"/>
    <hyperlink r:id="rId5" ref="D123"/>
  </hyperlinks>
  <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163"/>
      <c r="D4" s="163"/>
      <c r="E4" s="163"/>
      <c r="F4" s="163"/>
      <c r="G4" s="163"/>
      <c r="H4" s="163"/>
    </row>
    <row r="5">
      <c r="C5" s="11"/>
      <c r="D5" s="11"/>
      <c r="E5" s="11"/>
      <c r="F5" s="11"/>
      <c r="G5" s="11"/>
      <c r="H5" s="11"/>
    </row>
    <row r="6">
      <c r="C6" s="163"/>
      <c r="D6" s="163"/>
      <c r="E6" s="11"/>
      <c r="F6" s="11"/>
      <c r="G6" s="11"/>
      <c r="H6" s="11"/>
    </row>
    <row r="7">
      <c r="C7" s="11"/>
      <c r="D7" s="11"/>
      <c r="E7" s="11"/>
      <c r="F7" s="11"/>
      <c r="G7" s="11"/>
      <c r="H7" s="11"/>
    </row>
    <row r="8">
      <c r="C8" s="11"/>
      <c r="D8" s="11"/>
      <c r="E8" s="163"/>
      <c r="F8" s="163"/>
      <c r="G8" s="163"/>
      <c r="H8" s="163"/>
    </row>
    <row r="9">
      <c r="C9" s="11"/>
      <c r="D9" s="11"/>
      <c r="E9" s="11"/>
      <c r="F9" s="163"/>
      <c r="G9" s="163"/>
      <c r="H9" s="163"/>
    </row>
    <row r="10">
      <c r="C10" s="11"/>
      <c r="D10" s="11"/>
      <c r="E10" s="11"/>
      <c r="F10" s="163"/>
      <c r="G10" s="163"/>
      <c r="H10" s="163"/>
    </row>
    <row r="11">
      <c r="C11" s="11"/>
      <c r="D11" s="11"/>
      <c r="E11" s="11"/>
      <c r="F11" s="163"/>
      <c r="G11" s="163"/>
      <c r="H11" s="163"/>
    </row>
    <row r="12">
      <c r="C12" s="11"/>
      <c r="D12" s="11"/>
      <c r="E12" s="11"/>
      <c r="F12" s="163"/>
      <c r="G12" s="163"/>
      <c r="H12" s="163"/>
    </row>
    <row r="13">
      <c r="C13" s="11"/>
      <c r="D13" s="11"/>
      <c r="E13" s="11"/>
      <c r="F13" s="11"/>
      <c r="G13" s="11"/>
      <c r="H13" s="11"/>
    </row>
    <row r="14">
      <c r="C14" s="11"/>
      <c r="D14" s="11"/>
      <c r="E14" s="163"/>
      <c r="F14" s="163"/>
      <c r="G14" s="163"/>
      <c r="H14" s="163"/>
    </row>
    <row r="15">
      <c r="C15" s="11"/>
      <c r="D15" s="11"/>
      <c r="E15" s="11"/>
      <c r="F15" s="163"/>
      <c r="G15" s="163"/>
      <c r="H15" s="163"/>
    </row>
    <row r="16">
      <c r="C16" s="11"/>
      <c r="D16" s="11"/>
      <c r="E16" s="11"/>
      <c r="F16" s="163"/>
      <c r="G16" s="163"/>
      <c r="H16" s="163"/>
    </row>
    <row r="17">
      <c r="C17" s="11"/>
      <c r="D17" s="11"/>
      <c r="E17" s="11"/>
      <c r="F17" s="163"/>
      <c r="G17" s="163"/>
      <c r="H17" s="163"/>
    </row>
    <row r="18">
      <c r="C18" s="11"/>
      <c r="D18" s="11"/>
      <c r="E18" s="11"/>
      <c r="F18" s="163"/>
      <c r="G18" s="163"/>
      <c r="H18" s="163"/>
    </row>
    <row r="19">
      <c r="C19" s="11"/>
      <c r="D19" s="11"/>
      <c r="E19" s="11"/>
      <c r="F19" s="11"/>
      <c r="G19" s="11"/>
      <c r="H19" s="11"/>
    </row>
    <row r="20">
      <c r="C20" s="11"/>
      <c r="D20" s="11"/>
      <c r="E20" s="163"/>
      <c r="F20" s="163"/>
      <c r="G20" s="163"/>
      <c r="H20" s="163"/>
    </row>
    <row r="21">
      <c r="C21" s="11"/>
      <c r="D21" s="11"/>
      <c r="E21" s="11"/>
      <c r="F21" s="163"/>
      <c r="G21" s="163"/>
      <c r="H21" s="163"/>
    </row>
    <row r="22">
      <c r="C22" s="11"/>
      <c r="D22" s="11"/>
      <c r="E22" s="11"/>
      <c r="F22" s="163"/>
      <c r="G22" s="163"/>
      <c r="H22" s="163"/>
    </row>
    <row r="23">
      <c r="C23" s="11"/>
      <c r="D23" s="11"/>
      <c r="E23" s="11"/>
      <c r="F23" s="163"/>
      <c r="G23" s="163"/>
      <c r="H23" s="163"/>
    </row>
    <row r="24">
      <c r="C24" s="11"/>
      <c r="D24" s="11"/>
      <c r="E24" s="11"/>
      <c r="F24" s="163"/>
      <c r="G24" s="163"/>
      <c r="H24" s="163"/>
    </row>
    <row r="25">
      <c r="C25" s="11"/>
      <c r="D25" s="11"/>
      <c r="E25" s="11"/>
      <c r="F25" s="11"/>
      <c r="G25" s="11"/>
      <c r="H25" s="11"/>
    </row>
    <row r="26">
      <c r="C26" s="11"/>
      <c r="D26" s="11"/>
      <c r="E26" s="11"/>
      <c r="F26" s="11"/>
      <c r="G26" s="11"/>
      <c r="H26" s="11"/>
    </row>
    <row r="27">
      <c r="C27" s="163"/>
      <c r="D27" s="163"/>
      <c r="E27" s="11"/>
      <c r="F27" s="11"/>
      <c r="G27" s="11"/>
      <c r="H27" s="11"/>
    </row>
    <row r="28">
      <c r="C28" s="11"/>
      <c r="D28" s="11"/>
      <c r="E28" s="11"/>
      <c r="F28" s="11"/>
      <c r="G28" s="11"/>
      <c r="H28" s="11"/>
    </row>
    <row r="29">
      <c r="C29" s="11"/>
      <c r="D29" s="11"/>
      <c r="E29" s="163"/>
      <c r="F29" s="163"/>
      <c r="G29" s="163"/>
      <c r="H29" s="163"/>
    </row>
    <row r="30">
      <c r="C30" s="11"/>
      <c r="D30" s="11"/>
      <c r="E30" s="11"/>
      <c r="F30" s="163"/>
      <c r="G30" s="163"/>
      <c r="H30" s="163"/>
    </row>
    <row r="31">
      <c r="C31" s="11"/>
      <c r="D31" s="11"/>
      <c r="E31" s="11"/>
      <c r="F31" s="163"/>
      <c r="G31" s="163"/>
      <c r="H31" s="163"/>
    </row>
    <row r="32">
      <c r="C32" s="11"/>
      <c r="D32" s="11"/>
      <c r="E32" s="11"/>
      <c r="F32" s="163"/>
      <c r="G32" s="163"/>
      <c r="H32" s="163"/>
    </row>
    <row r="33">
      <c r="C33" s="11"/>
      <c r="D33" s="11"/>
      <c r="E33" s="11"/>
      <c r="F33" s="163"/>
      <c r="G33" s="163"/>
      <c r="H33" s="163"/>
    </row>
    <row r="34">
      <c r="C34" s="11"/>
      <c r="D34" s="11"/>
      <c r="E34" s="11"/>
      <c r="F34" s="11"/>
      <c r="G34" s="11"/>
      <c r="H34" s="11"/>
    </row>
    <row r="35">
      <c r="C35" s="11"/>
      <c r="D35" s="11"/>
      <c r="E35" s="163"/>
      <c r="F35" s="163"/>
      <c r="G35" s="163"/>
      <c r="H35" s="163"/>
    </row>
    <row r="36">
      <c r="C36" s="11"/>
      <c r="D36" s="11"/>
      <c r="E36" s="11"/>
      <c r="F36" s="163"/>
      <c r="G36" s="163"/>
      <c r="H36" s="163"/>
    </row>
    <row r="37">
      <c r="C37" s="11"/>
      <c r="D37" s="11"/>
      <c r="E37" s="11"/>
      <c r="F37" s="163"/>
      <c r="G37" s="163"/>
      <c r="H37" s="163"/>
    </row>
    <row r="38">
      <c r="C38" s="11"/>
      <c r="D38" s="11"/>
      <c r="E38" s="11"/>
      <c r="F38" s="163"/>
      <c r="G38" s="163"/>
      <c r="H38" s="163"/>
    </row>
    <row r="39">
      <c r="C39" s="11"/>
      <c r="D39" s="11"/>
      <c r="E39" s="11"/>
      <c r="F39" s="163"/>
      <c r="G39" s="163"/>
      <c r="H39" s="163"/>
    </row>
    <row r="40">
      <c r="C40" s="11"/>
      <c r="D40" s="11"/>
      <c r="E40" s="11"/>
      <c r="F40" s="11"/>
      <c r="G40" s="11"/>
      <c r="H40" s="11"/>
    </row>
    <row r="41">
      <c r="C41" s="11"/>
      <c r="D41" s="11"/>
      <c r="E41" s="163"/>
      <c r="F41" s="163"/>
      <c r="G41" s="163"/>
      <c r="H41" s="163"/>
    </row>
    <row r="42">
      <c r="C42" s="11"/>
      <c r="D42" s="11"/>
      <c r="E42" s="11"/>
      <c r="F42" s="163"/>
      <c r="G42" s="163"/>
      <c r="H42" s="163"/>
    </row>
    <row r="43">
      <c r="C43" s="11"/>
      <c r="D43" s="11"/>
      <c r="E43" s="11"/>
      <c r="F43" s="163"/>
      <c r="G43" s="163"/>
      <c r="H43" s="163"/>
    </row>
    <row r="44">
      <c r="C44" s="11"/>
      <c r="D44" s="11"/>
      <c r="E44" s="11"/>
      <c r="F44" s="163"/>
      <c r="G44" s="163"/>
      <c r="H44" s="163"/>
    </row>
    <row r="45">
      <c r="C45" s="11"/>
      <c r="D45" s="11"/>
      <c r="E45" s="11"/>
      <c r="F45" s="163"/>
      <c r="G45" s="163"/>
      <c r="H45" s="163"/>
    </row>
    <row r="46">
      <c r="C46" s="11"/>
      <c r="D46" s="11"/>
      <c r="E46" s="11"/>
      <c r="F46" s="11"/>
      <c r="G46" s="11"/>
      <c r="H46" s="11"/>
    </row>
    <row r="47">
      <c r="C47" s="11"/>
      <c r="D47" s="11"/>
      <c r="E47" s="163"/>
      <c r="F47" s="163"/>
      <c r="G47" s="163"/>
      <c r="H47" s="163"/>
    </row>
    <row r="48">
      <c r="C48" s="11"/>
      <c r="D48" s="11"/>
      <c r="E48" s="11"/>
      <c r="F48" s="163"/>
      <c r="G48" s="163"/>
      <c r="H48" s="163"/>
    </row>
    <row r="49">
      <c r="C49" s="11"/>
      <c r="D49" s="11"/>
      <c r="E49" s="11"/>
      <c r="F49" s="163"/>
      <c r="G49" s="163"/>
      <c r="H49" s="163"/>
    </row>
    <row r="50">
      <c r="C50" s="11"/>
      <c r="D50" s="11"/>
      <c r="E50" s="11"/>
      <c r="F50" s="163"/>
      <c r="G50" s="163"/>
      <c r="H50" s="163"/>
    </row>
    <row r="51">
      <c r="C51" s="11"/>
      <c r="D51" s="11"/>
      <c r="E51" s="11"/>
      <c r="F51" s="163"/>
      <c r="G51" s="163"/>
      <c r="H51" s="163"/>
    </row>
    <row r="52">
      <c r="C52" s="11"/>
      <c r="D52" s="11"/>
      <c r="E52" s="11"/>
      <c r="F52" s="11"/>
      <c r="G52" s="11"/>
      <c r="H52" s="11"/>
    </row>
    <row r="53">
      <c r="C53" s="11"/>
      <c r="D53" s="11"/>
      <c r="E53" s="11"/>
      <c r="F53" s="11"/>
      <c r="G53" s="11"/>
      <c r="H53" s="11"/>
    </row>
    <row r="54">
      <c r="C54" s="11"/>
      <c r="D54" s="11"/>
      <c r="E54" s="163"/>
      <c r="F54" s="163"/>
      <c r="G54" s="163"/>
      <c r="H54" s="163"/>
    </row>
    <row r="55">
      <c r="C55" s="11"/>
      <c r="D55" s="11"/>
      <c r="E55" s="11"/>
      <c r="F55" s="163"/>
      <c r="G55" s="163"/>
      <c r="H55" s="163"/>
    </row>
    <row r="56">
      <c r="C56" s="11"/>
      <c r="D56" s="11"/>
      <c r="E56" s="11"/>
      <c r="F56" s="163"/>
      <c r="G56" s="163"/>
      <c r="H56" s="163"/>
    </row>
    <row r="57">
      <c r="C57" s="11"/>
      <c r="D57" s="11"/>
      <c r="E57" s="11"/>
      <c r="F57" s="163"/>
      <c r="G57" s="163"/>
      <c r="H57" s="163"/>
    </row>
    <row r="58">
      <c r="C58" s="11"/>
      <c r="D58" s="11"/>
      <c r="E58" s="11"/>
      <c r="F58" s="163"/>
      <c r="G58" s="163"/>
      <c r="H58" s="163"/>
    </row>
    <row r="59">
      <c r="C59" s="11"/>
      <c r="D59" s="11"/>
      <c r="E59" s="11"/>
      <c r="F59" s="11"/>
      <c r="G59" s="11"/>
      <c r="H59" s="11"/>
    </row>
    <row r="60">
      <c r="C60" s="11"/>
      <c r="D60" s="11"/>
      <c r="E60" s="11"/>
      <c r="F60" s="11"/>
      <c r="G60" s="11"/>
      <c r="H60" s="11"/>
    </row>
    <row r="61">
      <c r="C61" s="163"/>
      <c r="D61" s="163"/>
      <c r="E61" s="11"/>
      <c r="F61" s="11"/>
      <c r="G61" s="11"/>
      <c r="H61" s="11"/>
    </row>
    <row r="62">
      <c r="C62" s="11"/>
      <c r="D62" s="11"/>
      <c r="E62" s="11"/>
      <c r="F62" s="11"/>
      <c r="G62" s="11"/>
      <c r="H62" s="11"/>
    </row>
    <row r="63">
      <c r="C63" s="11"/>
      <c r="D63" s="11"/>
      <c r="E63" s="163"/>
      <c r="F63" s="163"/>
      <c r="G63" s="163"/>
      <c r="H63" s="163"/>
    </row>
    <row r="64">
      <c r="C64" s="11"/>
      <c r="D64" s="11"/>
      <c r="E64" s="11"/>
      <c r="F64" s="163"/>
      <c r="G64" s="163"/>
      <c r="H64" s="163"/>
    </row>
    <row r="65">
      <c r="C65" s="11"/>
      <c r="D65" s="11"/>
      <c r="E65" s="11"/>
      <c r="F65" s="163"/>
      <c r="G65" s="163"/>
      <c r="H65" s="163"/>
    </row>
    <row r="66">
      <c r="C66" s="11"/>
      <c r="D66" s="11"/>
      <c r="E66" s="11"/>
      <c r="F66" s="163"/>
      <c r="G66" s="163"/>
      <c r="H66" s="163"/>
    </row>
    <row r="67">
      <c r="C67" s="11"/>
      <c r="D67" s="11"/>
      <c r="E67" s="11"/>
      <c r="F67" s="163"/>
      <c r="G67" s="163"/>
      <c r="H67" s="163"/>
    </row>
    <row r="68">
      <c r="C68" s="11"/>
      <c r="D68" s="11"/>
      <c r="E68" s="11"/>
      <c r="F68" s="11"/>
      <c r="G68" s="11"/>
      <c r="H68" s="11"/>
    </row>
    <row r="69">
      <c r="C69" s="11"/>
      <c r="D69" s="11"/>
      <c r="E69" s="163"/>
      <c r="F69" s="163"/>
      <c r="G69" s="163"/>
      <c r="H69" s="163"/>
    </row>
    <row r="70">
      <c r="C70" s="11"/>
      <c r="D70" s="11"/>
      <c r="E70" s="11"/>
      <c r="F70" s="163"/>
      <c r="G70" s="163"/>
      <c r="H70" s="163"/>
    </row>
    <row r="71">
      <c r="C71" s="163"/>
      <c r="D71" s="163"/>
      <c r="E71" s="163"/>
      <c r="F71" s="163"/>
      <c r="G71" s="163"/>
      <c r="H71" s="163"/>
    </row>
    <row r="72">
      <c r="C72" s="11"/>
      <c r="D72" s="11"/>
      <c r="E72" s="11"/>
      <c r="F72" s="11"/>
      <c r="G72" s="11"/>
      <c r="H72" s="11"/>
    </row>
    <row r="73">
      <c r="C73" s="163"/>
      <c r="D73" s="163"/>
      <c r="E73" s="11"/>
      <c r="F73" s="11"/>
      <c r="G73" s="11"/>
      <c r="H73" s="11"/>
    </row>
    <row r="74">
      <c r="C74" s="11"/>
      <c r="D74" s="11"/>
      <c r="E74" s="11"/>
      <c r="F74" s="11"/>
      <c r="G74" s="11"/>
      <c r="H74" s="11"/>
    </row>
    <row r="75">
      <c r="C75" s="11"/>
      <c r="D75" s="11"/>
      <c r="E75" s="163"/>
      <c r="F75" s="163"/>
      <c r="G75" s="163"/>
      <c r="H75" s="163"/>
    </row>
    <row r="76">
      <c r="C76" s="11"/>
      <c r="D76" s="11"/>
      <c r="E76" s="11"/>
      <c r="F76" s="163"/>
      <c r="G76" s="163"/>
      <c r="H76" s="163"/>
    </row>
    <row r="77">
      <c r="C77" s="11"/>
      <c r="D77" s="11"/>
      <c r="E77" s="11"/>
      <c r="F77" s="163"/>
      <c r="G77" s="163"/>
      <c r="H77" s="163"/>
    </row>
    <row r="78">
      <c r="C78" s="11"/>
      <c r="D78" s="11"/>
      <c r="E78" s="11"/>
      <c r="F78" s="163"/>
      <c r="G78" s="163"/>
      <c r="H78" s="163"/>
    </row>
    <row r="79">
      <c r="C79" s="11"/>
      <c r="D79" s="11"/>
      <c r="E79" s="11"/>
      <c r="F79" s="163"/>
      <c r="G79" s="163"/>
      <c r="H79" s="163"/>
    </row>
    <row r="80">
      <c r="C80" s="11"/>
      <c r="D80" s="11"/>
      <c r="E80" s="11"/>
      <c r="F80" s="11"/>
      <c r="G80" s="11"/>
      <c r="H80" s="11"/>
    </row>
    <row r="81">
      <c r="C81" s="11"/>
      <c r="D81" s="11"/>
      <c r="E81" s="163"/>
      <c r="F81" s="163"/>
      <c r="G81" s="163"/>
      <c r="H81" s="163"/>
    </row>
    <row r="82">
      <c r="C82" s="11"/>
      <c r="D82" s="11"/>
      <c r="E82" s="11"/>
      <c r="F82" s="163"/>
      <c r="G82" s="163"/>
      <c r="H82" s="163"/>
    </row>
    <row r="83">
      <c r="C83" s="11"/>
      <c r="D83" s="11"/>
      <c r="E83" s="11"/>
      <c r="F83" s="163"/>
      <c r="G83" s="163"/>
      <c r="H83" s="163"/>
    </row>
    <row r="84">
      <c r="C84" s="11"/>
      <c r="D84" s="11"/>
      <c r="E84" s="11"/>
      <c r="F84" s="163"/>
      <c r="G84" s="163"/>
      <c r="H84" s="163"/>
    </row>
    <row r="85">
      <c r="C85" s="11"/>
      <c r="D85" s="11"/>
      <c r="E85" s="11"/>
      <c r="F85" s="163"/>
      <c r="G85" s="163"/>
      <c r="H85" s="163"/>
    </row>
    <row r="86">
      <c r="C86" s="11"/>
      <c r="D86" s="11"/>
      <c r="E86" s="11"/>
      <c r="F86" s="11"/>
      <c r="G86" s="11"/>
      <c r="H86" s="11"/>
    </row>
    <row r="87">
      <c r="C87" s="11"/>
      <c r="D87" s="11"/>
      <c r="E87" s="163"/>
      <c r="F87" s="163"/>
      <c r="G87" s="163"/>
      <c r="H87" s="163"/>
    </row>
    <row r="88">
      <c r="C88" s="11"/>
      <c r="D88" s="11"/>
      <c r="E88" s="11"/>
      <c r="F88" s="163"/>
      <c r="G88" s="163"/>
      <c r="H88" s="163"/>
    </row>
    <row r="89">
      <c r="C89" s="11"/>
      <c r="D89" s="11"/>
      <c r="E89" s="11"/>
      <c r="F89" s="163"/>
      <c r="G89" s="163"/>
      <c r="H89" s="163"/>
    </row>
    <row r="90">
      <c r="C90" s="11"/>
      <c r="D90" s="11"/>
      <c r="E90" s="11"/>
      <c r="F90" s="163"/>
      <c r="G90" s="163"/>
      <c r="H90" s="163"/>
    </row>
    <row r="91">
      <c r="C91" s="11"/>
      <c r="D91" s="11"/>
      <c r="E91" s="11"/>
      <c r="F91" s="163"/>
      <c r="G91" s="163"/>
      <c r="H91" s="163"/>
    </row>
    <row r="92">
      <c r="C92" s="11"/>
      <c r="D92" s="11"/>
      <c r="E92" s="11"/>
      <c r="F92" s="11"/>
      <c r="G92" s="11"/>
      <c r="H92" s="11"/>
    </row>
    <row r="93">
      <c r="C93" s="11"/>
      <c r="D93" s="11"/>
      <c r="E93" s="11"/>
      <c r="F93" s="11"/>
      <c r="G93" s="11"/>
      <c r="H93" s="11"/>
    </row>
    <row r="94">
      <c r="C94" s="163"/>
      <c r="D94" s="163"/>
      <c r="E94" s="11"/>
      <c r="F94" s="11"/>
      <c r="G94" s="11"/>
      <c r="H94" s="11"/>
    </row>
    <row r="95">
      <c r="C95" s="11"/>
      <c r="D95" s="11"/>
      <c r="E95" s="11"/>
      <c r="F95" s="11"/>
      <c r="G95" s="11"/>
      <c r="H95" s="11"/>
    </row>
    <row r="96">
      <c r="C96" s="11"/>
      <c r="D96" s="11"/>
      <c r="E96" s="163"/>
      <c r="F96" s="163"/>
      <c r="G96" s="163"/>
      <c r="H96" s="163"/>
    </row>
    <row r="97">
      <c r="C97" s="11"/>
      <c r="D97" s="11"/>
      <c r="E97" s="11"/>
      <c r="F97" s="163"/>
      <c r="G97" s="163"/>
      <c r="H97" s="163"/>
    </row>
    <row r="98">
      <c r="C98" s="11"/>
      <c r="D98" s="11"/>
      <c r="E98" s="11"/>
      <c r="F98" s="163"/>
      <c r="G98" s="163"/>
      <c r="H98" s="163"/>
    </row>
    <row r="99">
      <c r="C99" s="11"/>
      <c r="D99" s="11"/>
      <c r="E99" s="11"/>
      <c r="F99" s="163"/>
      <c r="G99" s="163"/>
      <c r="H99" s="163"/>
    </row>
    <row r="100">
      <c r="C100" s="11"/>
      <c r="D100" s="11"/>
      <c r="E100" s="11"/>
      <c r="F100" s="163"/>
      <c r="G100" s="163"/>
      <c r="H100" s="163"/>
    </row>
    <row r="101">
      <c r="C101" s="11"/>
      <c r="D101" s="11"/>
      <c r="E101" s="11"/>
      <c r="F101" s="11"/>
      <c r="G101" s="11"/>
      <c r="H101" s="11"/>
    </row>
    <row r="102">
      <c r="C102" s="11"/>
      <c r="D102" s="11"/>
      <c r="E102" s="163"/>
      <c r="F102" s="163"/>
      <c r="G102" s="163"/>
      <c r="H102" s="163"/>
    </row>
    <row r="103">
      <c r="C103" s="11"/>
      <c r="D103" s="11"/>
      <c r="E103" s="11"/>
      <c r="F103" s="163"/>
      <c r="G103" s="163"/>
      <c r="H103" s="163"/>
    </row>
    <row r="104">
      <c r="C104" s="11"/>
      <c r="D104" s="11"/>
      <c r="E104" s="11"/>
      <c r="F104" s="163"/>
      <c r="G104" s="163"/>
      <c r="H104" s="163"/>
    </row>
    <row r="105">
      <c r="C105" s="11"/>
      <c r="D105" s="11"/>
      <c r="E105" s="11"/>
      <c r="F105" s="163"/>
      <c r="G105" s="163"/>
      <c r="H105" s="163"/>
    </row>
    <row r="106">
      <c r="C106" s="11"/>
      <c r="D106" s="11"/>
      <c r="E106" s="11"/>
      <c r="F106" s="163"/>
      <c r="G106" s="163"/>
      <c r="H106" s="163"/>
    </row>
    <row r="107">
      <c r="C107" s="11"/>
      <c r="D107" s="11"/>
      <c r="E107" s="11"/>
      <c r="F107" s="11"/>
      <c r="G107" s="11"/>
      <c r="H107" s="11"/>
    </row>
    <row r="108">
      <c r="C108" s="11"/>
      <c r="D108" s="11"/>
      <c r="E108" s="163"/>
      <c r="F108" s="163"/>
      <c r="G108" s="163"/>
      <c r="H108" s="163"/>
    </row>
    <row r="109">
      <c r="C109" s="11"/>
      <c r="D109" s="11"/>
      <c r="E109" s="11"/>
      <c r="F109" s="163"/>
      <c r="G109" s="163"/>
      <c r="H109" s="163"/>
    </row>
    <row r="110">
      <c r="C110" s="11"/>
      <c r="D110" s="11"/>
      <c r="E110" s="11"/>
      <c r="F110" s="163"/>
      <c r="G110" s="163"/>
      <c r="H110" s="163"/>
    </row>
    <row r="111">
      <c r="C111" s="11"/>
      <c r="D111" s="11"/>
      <c r="E111" s="11"/>
      <c r="F111" s="163"/>
      <c r="G111" s="163"/>
      <c r="H111" s="163"/>
    </row>
    <row r="112">
      <c r="C112" s="11"/>
      <c r="D112" s="11"/>
      <c r="E112" s="11"/>
      <c r="F112" s="163"/>
      <c r="G112" s="163"/>
      <c r="H112" s="163"/>
    </row>
    <row r="113">
      <c r="C113" s="11"/>
      <c r="D113" s="11"/>
      <c r="E113" s="11"/>
      <c r="F113" s="11"/>
      <c r="G113" s="11"/>
      <c r="H113" s="11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  <col customWidth="1" min="8" max="8" width="17.5"/>
  </cols>
  <sheetData>
    <row r="2">
      <c r="A2" s="1"/>
      <c r="B2" s="1" t="s">
        <v>710</v>
      </c>
      <c r="C2" s="1" t="s">
        <v>2035</v>
      </c>
    </row>
    <row r="4">
      <c r="A4" s="300"/>
      <c r="B4" s="300" t="s">
        <v>2036</v>
      </c>
      <c r="C4" s="300" t="s">
        <v>2037</v>
      </c>
      <c r="D4" s="300" t="s">
        <v>146</v>
      </c>
      <c r="E4" s="300"/>
      <c r="F4" s="300" t="s">
        <v>230</v>
      </c>
      <c r="G4" s="300"/>
      <c r="H4" s="300" t="s">
        <v>231</v>
      </c>
      <c r="I4" s="300"/>
      <c r="J4" s="301" t="s">
        <v>149</v>
      </c>
    </row>
    <row r="5">
      <c r="A5" s="119"/>
      <c r="B5" s="119">
        <v>1.0</v>
      </c>
      <c r="C5" s="1">
        <v>1.0</v>
      </c>
      <c r="D5" s="1" t="s">
        <v>381</v>
      </c>
      <c r="F5" s="1" t="s">
        <v>238</v>
      </c>
      <c r="H5" s="1" t="s">
        <v>1692</v>
      </c>
      <c r="J5" s="6" t="str">
        <f>CONCAT(F$5,F$6)</f>
        <v>ARCTechnology </v>
      </c>
    </row>
    <row r="6">
      <c r="A6" s="302"/>
      <c r="B6" s="302"/>
      <c r="F6" s="1" t="s">
        <v>2038</v>
      </c>
    </row>
    <row r="7">
      <c r="A7" s="302"/>
      <c r="B7" s="302"/>
      <c r="C7" s="1">
        <v>2.0</v>
      </c>
      <c r="D7" s="1" t="s">
        <v>381</v>
      </c>
      <c r="F7" s="1" t="s">
        <v>2039</v>
      </c>
      <c r="H7" s="1" t="s">
        <v>2040</v>
      </c>
      <c r="J7" s="6" t="str">
        <f>CONCAT(F$7,F$8)</f>
        <v>Dhiraj ARC</v>
      </c>
    </row>
    <row r="8">
      <c r="A8" s="302"/>
      <c r="B8" s="302"/>
      <c r="F8" s="1" t="s">
        <v>238</v>
      </c>
    </row>
    <row r="9">
      <c r="A9" s="302"/>
      <c r="B9" s="302"/>
      <c r="C9" s="1">
        <v>3.0</v>
      </c>
      <c r="D9" s="1" t="s">
        <v>381</v>
      </c>
      <c r="F9" s="1" t="s">
        <v>1104</v>
      </c>
      <c r="H9" s="1" t="s">
        <v>2041</v>
      </c>
      <c r="J9" s="6" t="str">
        <f>CONCAT(F$9,F$10)</f>
        <v>Excel Sheet</v>
      </c>
    </row>
    <row r="10">
      <c r="A10" s="302"/>
      <c r="B10" s="302"/>
      <c r="F10" s="1" t="s">
        <v>2042</v>
      </c>
    </row>
    <row r="11">
      <c r="A11" s="302"/>
      <c r="B11" s="302"/>
      <c r="C11" s="1">
        <v>4.0</v>
      </c>
      <c r="D11" s="1" t="s">
        <v>381</v>
      </c>
      <c r="F11" s="1" t="s">
        <v>2043</v>
      </c>
      <c r="H11" s="1" t="s">
        <v>1696</v>
      </c>
      <c r="J11" s="6" t="str">
        <f>CONCAT(F$11,F$12)</f>
        <v>BestFriend</v>
      </c>
    </row>
    <row r="12">
      <c r="A12" s="302"/>
      <c r="B12" s="302"/>
      <c r="F12" s="1" t="s">
        <v>253</v>
      </c>
    </row>
    <row r="13">
      <c r="A13" s="302"/>
      <c r="B13" s="302"/>
      <c r="C13" s="1">
        <v>5.0</v>
      </c>
      <c r="D13" s="1" t="s">
        <v>381</v>
      </c>
      <c r="F13" s="1" t="s">
        <v>251</v>
      </c>
      <c r="H13" s="1" t="s">
        <v>2044</v>
      </c>
      <c r="J13" s="6" t="str">
        <f>CONCAT(F$13,F$14)</f>
        <v>RoomPartner</v>
      </c>
    </row>
    <row r="14">
      <c r="A14" s="302"/>
      <c r="B14" s="302"/>
      <c r="F14" s="1" t="s">
        <v>2045</v>
      </c>
    </row>
    <row r="15">
      <c r="A15" s="302"/>
      <c r="B15" s="302"/>
    </row>
    <row r="16">
      <c r="A16" s="119"/>
      <c r="B16" s="119">
        <v>2.0</v>
      </c>
      <c r="C16" s="1">
        <v>1.0</v>
      </c>
      <c r="D16" s="1" t="s">
        <v>6</v>
      </c>
      <c r="F16" s="1" t="s">
        <v>251</v>
      </c>
      <c r="H16" s="1" t="s">
        <v>1564</v>
      </c>
      <c r="J16" s="6" t="str">
        <f t="shared" ref="J16:J20" si="1">CLEAN(F16)</f>
        <v>Room</v>
      </c>
    </row>
    <row r="17">
      <c r="A17" s="302"/>
      <c r="B17" s="302"/>
      <c r="C17" s="1">
        <v>2.0</v>
      </c>
      <c r="D17" s="1" t="s">
        <v>6</v>
      </c>
      <c r="F17" s="1" t="s">
        <v>253</v>
      </c>
      <c r="H17" s="1" t="s">
        <v>1566</v>
      </c>
      <c r="J17" s="6" t="str">
        <f t="shared" si="1"/>
        <v>Friend</v>
      </c>
    </row>
    <row r="18">
      <c r="A18" s="302"/>
      <c r="B18" s="302"/>
      <c r="C18" s="1">
        <v>3.0</v>
      </c>
      <c r="D18" s="1" t="s">
        <v>6</v>
      </c>
      <c r="F18" s="1" t="s">
        <v>255</v>
      </c>
      <c r="H18" s="1" t="s">
        <v>2046</v>
      </c>
      <c r="J18" s="6" t="str">
        <f t="shared" si="1"/>
        <v>School</v>
      </c>
    </row>
    <row r="19">
      <c r="A19" s="302"/>
      <c r="B19" s="302"/>
      <c r="C19" s="1">
        <v>4.0</v>
      </c>
      <c r="D19" s="1" t="s">
        <v>6</v>
      </c>
      <c r="F19" s="1" t="s">
        <v>257</v>
      </c>
      <c r="H19" s="1" t="s">
        <v>2047</v>
      </c>
      <c r="J19" s="6" t="str">
        <f t="shared" si="1"/>
        <v>College</v>
      </c>
    </row>
    <row r="20">
      <c r="A20" s="302"/>
      <c r="B20" s="302"/>
      <c r="C20" s="1">
        <v>5.0</v>
      </c>
      <c r="D20" s="1" t="s">
        <v>6</v>
      </c>
      <c r="F20" s="1" t="s">
        <v>259</v>
      </c>
      <c r="H20" s="1" t="s">
        <v>2048</v>
      </c>
      <c r="J20" s="6" t="str">
        <f t="shared" si="1"/>
        <v>Excel</v>
      </c>
    </row>
    <row r="21">
      <c r="A21" s="302"/>
      <c r="B21" s="302"/>
    </row>
    <row r="22">
      <c r="A22" s="302"/>
      <c r="B22" s="302"/>
      <c r="C22" s="1"/>
      <c r="D22" s="1"/>
    </row>
    <row r="23">
      <c r="A23" s="119"/>
      <c r="B23" s="119">
        <v>3.0</v>
      </c>
      <c r="C23" s="1">
        <v>1.0</v>
      </c>
      <c r="D23" s="1" t="s">
        <v>44</v>
      </c>
      <c r="F23" s="1" t="s">
        <v>2049</v>
      </c>
      <c r="H23" s="1" t="s">
        <v>2050</v>
      </c>
      <c r="J23" s="6" t="b">
        <f>EXACT(F23,F24)</f>
        <v>0</v>
      </c>
    </row>
    <row r="24">
      <c r="A24" s="302"/>
      <c r="B24" s="302"/>
      <c r="C24" s="1"/>
      <c r="D24" s="1"/>
      <c r="F24" s="1" t="s">
        <v>3</v>
      </c>
    </row>
    <row r="25">
      <c r="A25" s="302"/>
      <c r="B25" s="302"/>
      <c r="C25" s="1">
        <v>2.0</v>
      </c>
      <c r="D25" s="1" t="s">
        <v>44</v>
      </c>
      <c r="F25" s="1" t="s">
        <v>2049</v>
      </c>
      <c r="H25" s="1" t="s">
        <v>2051</v>
      </c>
      <c r="J25" s="6" t="b">
        <f>EXACT(F25,F26)</f>
        <v>0</v>
      </c>
    </row>
    <row r="26">
      <c r="A26" s="302"/>
      <c r="B26" s="302"/>
      <c r="C26" s="1"/>
      <c r="D26" s="1"/>
      <c r="F26" s="1" t="s">
        <v>2052</v>
      </c>
    </row>
    <row r="27">
      <c r="A27" s="302"/>
      <c r="B27" s="302"/>
      <c r="C27" s="1">
        <v>3.0</v>
      </c>
      <c r="D27" s="1" t="s">
        <v>44</v>
      </c>
      <c r="F27" s="1" t="s">
        <v>2053</v>
      </c>
      <c r="H27" s="1" t="s">
        <v>2054</v>
      </c>
      <c r="J27" s="6" t="b">
        <f>EXACT(F27,F28)</f>
        <v>0</v>
      </c>
    </row>
    <row r="28">
      <c r="A28" s="302"/>
      <c r="B28" s="302"/>
      <c r="C28" s="1"/>
      <c r="D28" s="1"/>
      <c r="F28" s="1" t="s">
        <v>2055</v>
      </c>
    </row>
    <row r="29">
      <c r="A29" s="302"/>
      <c r="B29" s="302"/>
      <c r="C29" s="1">
        <v>4.0</v>
      </c>
      <c r="D29" s="1" t="s">
        <v>44</v>
      </c>
      <c r="F29" s="1" t="s">
        <v>2056</v>
      </c>
      <c r="H29" s="1" t="s">
        <v>49</v>
      </c>
      <c r="J29" s="6" t="b">
        <f>EXACT(F29,F30)</f>
        <v>0</v>
      </c>
    </row>
    <row r="30">
      <c r="A30" s="302"/>
      <c r="B30" s="302"/>
      <c r="C30" s="1"/>
      <c r="D30" s="1"/>
      <c r="F30" s="1" t="s">
        <v>2057</v>
      </c>
    </row>
    <row r="31">
      <c r="A31" s="302"/>
      <c r="B31" s="302"/>
      <c r="C31" s="1">
        <v>5.0</v>
      </c>
      <c r="D31" s="1" t="s">
        <v>44</v>
      </c>
      <c r="F31" s="1" t="s">
        <v>2058</v>
      </c>
      <c r="H31" s="1" t="s">
        <v>51</v>
      </c>
      <c r="J31" s="6" t="b">
        <f>EXACT(F31,F32)</f>
        <v>0</v>
      </c>
    </row>
    <row r="32">
      <c r="A32" s="302"/>
      <c r="B32" s="302"/>
      <c r="F32" s="1" t="s">
        <v>233</v>
      </c>
    </row>
    <row r="33">
      <c r="A33" s="302"/>
      <c r="B33" s="302"/>
    </row>
    <row r="34">
      <c r="A34" s="119"/>
      <c r="B34" s="119">
        <v>4.0</v>
      </c>
      <c r="C34" s="1">
        <v>1.0</v>
      </c>
      <c r="D34" s="1" t="s">
        <v>33</v>
      </c>
      <c r="F34" s="1" t="s">
        <v>2059</v>
      </c>
      <c r="H34" s="1" t="s">
        <v>2060</v>
      </c>
      <c r="J34" s="6">
        <f>FIND("n",F34,1)</f>
        <v>2</v>
      </c>
    </row>
    <row r="35">
      <c r="A35" s="302"/>
      <c r="B35" s="302"/>
      <c r="C35" s="1">
        <v>2.0</v>
      </c>
      <c r="D35" s="1" t="s">
        <v>33</v>
      </c>
      <c r="F35" s="1" t="s">
        <v>2059</v>
      </c>
      <c r="H35" s="1" t="s">
        <v>2061</v>
      </c>
      <c r="J35" s="6">
        <f>FIND("s",F35,4)</f>
        <v>7</v>
      </c>
    </row>
    <row r="36">
      <c r="A36" s="302"/>
      <c r="B36" s="302"/>
      <c r="C36" s="1">
        <v>3.0</v>
      </c>
      <c r="D36" s="1" t="s">
        <v>33</v>
      </c>
      <c r="F36" s="1" t="s">
        <v>2059</v>
      </c>
      <c r="H36" s="1" t="s">
        <v>2062</v>
      </c>
      <c r="J36" s="6">
        <f>FIND("v",F36,2)</f>
        <v>4</v>
      </c>
    </row>
    <row r="37">
      <c r="A37" s="302"/>
      <c r="B37" s="302"/>
      <c r="C37" s="1">
        <v>4.0</v>
      </c>
      <c r="D37" s="1" t="s">
        <v>33</v>
      </c>
      <c r="F37" s="1" t="s">
        <v>2059</v>
      </c>
      <c r="H37" s="1" t="s">
        <v>2063</v>
      </c>
      <c r="J37" s="6">
        <f>FIND("i",F37,3)</f>
        <v>3</v>
      </c>
    </row>
    <row r="38">
      <c r="A38" s="302"/>
      <c r="B38" s="302"/>
      <c r="C38" s="1">
        <v>5.0</v>
      </c>
      <c r="D38" s="1" t="s">
        <v>33</v>
      </c>
      <c r="F38" s="1" t="s">
        <v>2059</v>
      </c>
      <c r="H38" s="1" t="s">
        <v>2064</v>
      </c>
      <c r="J38" s="6">
        <f>FIND("t",F38,2)</f>
        <v>9</v>
      </c>
    </row>
    <row r="39">
      <c r="A39" s="302"/>
      <c r="B39" s="302"/>
    </row>
    <row r="40">
      <c r="A40" s="302"/>
      <c r="B40" s="302"/>
    </row>
    <row r="41">
      <c r="A41" s="119"/>
      <c r="B41" s="119">
        <v>5.0</v>
      </c>
      <c r="C41" s="1">
        <v>1.0</v>
      </c>
      <c r="D41" s="1" t="s">
        <v>57</v>
      </c>
      <c r="F41" s="1" t="s">
        <v>2035</v>
      </c>
      <c r="H41" s="1" t="s">
        <v>2065</v>
      </c>
      <c r="J41" s="6" t="str">
        <f>LEFT(F41,2)</f>
        <v>Dh</v>
      </c>
    </row>
    <row r="42">
      <c r="A42" s="302"/>
      <c r="B42" s="302"/>
      <c r="C42" s="1">
        <v>2.0</v>
      </c>
      <c r="D42" s="1" t="s">
        <v>57</v>
      </c>
      <c r="F42" s="1" t="s">
        <v>257</v>
      </c>
      <c r="H42" s="1" t="s">
        <v>2066</v>
      </c>
      <c r="J42" s="6" t="str">
        <f>LEFT(F42,4)</f>
        <v>Coll</v>
      </c>
    </row>
    <row r="43">
      <c r="A43" s="302"/>
      <c r="B43" s="302"/>
      <c r="C43" s="1">
        <v>3.0</v>
      </c>
      <c r="D43" s="1" t="s">
        <v>57</v>
      </c>
      <c r="F43" s="1" t="s">
        <v>1715</v>
      </c>
      <c r="H43" s="1" t="s">
        <v>2067</v>
      </c>
      <c r="J43" s="6" t="str">
        <f>LEFT(F43,5)</f>
        <v>Forma</v>
      </c>
    </row>
    <row r="44">
      <c r="A44" s="302"/>
      <c r="B44" s="302"/>
      <c r="C44" s="1">
        <v>4.0</v>
      </c>
      <c r="D44" s="1" t="s">
        <v>57</v>
      </c>
      <c r="F44" s="1" t="s">
        <v>2068</v>
      </c>
      <c r="H44" s="1" t="s">
        <v>2069</v>
      </c>
      <c r="J44" s="6" t="str">
        <f>LEFT(F44,1)</f>
        <v>I</v>
      </c>
    </row>
    <row r="45">
      <c r="A45" s="302"/>
      <c r="B45" s="302"/>
      <c r="C45" s="1">
        <v>5.0</v>
      </c>
      <c r="D45" s="1" t="s">
        <v>57</v>
      </c>
      <c r="F45" s="1" t="s">
        <v>2070</v>
      </c>
      <c r="H45" s="1" t="s">
        <v>2071</v>
      </c>
      <c r="J45" s="6" t="str">
        <f t="shared" ref="J45:J46" si="2">LEFT(F45,2)</f>
        <v>Pe</v>
      </c>
    </row>
    <row r="46">
      <c r="A46" s="302"/>
      <c r="B46" s="302"/>
      <c r="J46" s="6" t="str">
        <f t="shared" si="2"/>
        <v/>
      </c>
    </row>
    <row r="47">
      <c r="A47" s="119"/>
      <c r="B47" s="119">
        <v>6.0</v>
      </c>
      <c r="C47" s="1">
        <v>1.0</v>
      </c>
      <c r="D47" s="1" t="s">
        <v>123</v>
      </c>
      <c r="F47" s="1" t="s">
        <v>415</v>
      </c>
      <c r="H47" s="1" t="s">
        <v>2072</v>
      </c>
      <c r="J47" s="6" t="str">
        <f>RIGHT(F47,4)</f>
        <v>pany</v>
      </c>
    </row>
    <row r="48">
      <c r="A48" s="302"/>
      <c r="B48" s="302"/>
      <c r="C48" s="1">
        <v>2.0</v>
      </c>
      <c r="D48" s="1" t="s">
        <v>123</v>
      </c>
      <c r="F48" s="1" t="s">
        <v>2073</v>
      </c>
      <c r="H48" s="1" t="s">
        <v>2074</v>
      </c>
      <c r="J48" s="6" t="str">
        <f>RIGHT(F48,3)</f>
        <v>gle</v>
      </c>
    </row>
    <row r="49">
      <c r="A49" s="302"/>
      <c r="B49" s="302"/>
      <c r="C49" s="1">
        <v>3.0</v>
      </c>
      <c r="D49" s="1" t="s">
        <v>123</v>
      </c>
      <c r="F49" s="1" t="s">
        <v>259</v>
      </c>
      <c r="H49" s="1" t="s">
        <v>2075</v>
      </c>
      <c r="J49" s="6" t="str">
        <f>RIGHT(F49,1)</f>
        <v>l</v>
      </c>
    </row>
    <row r="50">
      <c r="A50" s="302"/>
      <c r="B50" s="302"/>
      <c r="C50" s="1">
        <v>4.0</v>
      </c>
      <c r="D50" s="1" t="s">
        <v>123</v>
      </c>
      <c r="F50" s="1" t="s">
        <v>1715</v>
      </c>
      <c r="H50" s="1" t="s">
        <v>2076</v>
      </c>
      <c r="J50" s="6" t="str">
        <f>RIGHT(F50,3)</f>
        <v>mat</v>
      </c>
    </row>
    <row r="51">
      <c r="A51" s="302"/>
      <c r="B51" s="302"/>
      <c r="C51" s="1">
        <v>5.0</v>
      </c>
      <c r="D51" s="1" t="s">
        <v>123</v>
      </c>
      <c r="F51" s="1" t="s">
        <v>2035</v>
      </c>
      <c r="H51" s="1" t="s">
        <v>2077</v>
      </c>
      <c r="J51" s="6" t="str">
        <f>RIGHT(F51,4)</f>
        <v>iraj</v>
      </c>
    </row>
    <row r="52">
      <c r="A52" s="302"/>
      <c r="B52" s="302"/>
    </row>
    <row r="53">
      <c r="A53" s="119"/>
      <c r="B53" s="119">
        <v>7.0</v>
      </c>
      <c r="C53" s="1">
        <v>1.0</v>
      </c>
      <c r="D53" s="1" t="s">
        <v>90</v>
      </c>
      <c r="F53" s="1" t="s">
        <v>251</v>
      </c>
      <c r="H53" s="1" t="s">
        <v>2078</v>
      </c>
      <c r="J53" s="6" t="str">
        <f>MID(F53,2,1)</f>
        <v>o</v>
      </c>
    </row>
    <row r="54">
      <c r="A54" s="302"/>
      <c r="B54" s="302"/>
      <c r="C54" s="1">
        <v>2.0</v>
      </c>
      <c r="D54" s="1" t="s">
        <v>90</v>
      </c>
      <c r="F54" s="1" t="s">
        <v>253</v>
      </c>
      <c r="H54" s="1" t="s">
        <v>2078</v>
      </c>
      <c r="J54" s="6" t="str">
        <f>MID(F54,1,3)</f>
        <v>Fri</v>
      </c>
    </row>
    <row r="55">
      <c r="A55" s="302"/>
      <c r="B55" s="302"/>
      <c r="C55" s="1">
        <v>3.0</v>
      </c>
      <c r="D55" s="1" t="s">
        <v>90</v>
      </c>
      <c r="F55" s="1" t="s">
        <v>255</v>
      </c>
      <c r="H55" s="1" t="s">
        <v>2078</v>
      </c>
      <c r="J55" s="6" t="str">
        <f>MID(F55,3,2)</f>
        <v>ho</v>
      </c>
    </row>
    <row r="56">
      <c r="A56" s="302"/>
      <c r="B56" s="302"/>
      <c r="C56" s="1">
        <v>4.0</v>
      </c>
      <c r="D56" s="1" t="s">
        <v>90</v>
      </c>
      <c r="F56" s="1" t="s">
        <v>257</v>
      </c>
      <c r="H56" s="1" t="s">
        <v>2078</v>
      </c>
      <c r="J56" s="6" t="str">
        <f>MID(F56,1,4)</f>
        <v>Coll</v>
      </c>
    </row>
    <row r="57">
      <c r="A57" s="302"/>
      <c r="B57" s="302"/>
      <c r="C57" s="1">
        <v>5.0</v>
      </c>
      <c r="D57" s="1" t="s">
        <v>90</v>
      </c>
      <c r="F57" s="1" t="s">
        <v>259</v>
      </c>
      <c r="H57" s="1" t="s">
        <v>2078</v>
      </c>
      <c r="J57" s="6" t="str">
        <f>MID(F57,2,3)</f>
        <v>xce</v>
      </c>
    </row>
    <row r="58">
      <c r="A58" s="302"/>
      <c r="B58" s="302"/>
    </row>
    <row r="59">
      <c r="A59" s="119"/>
      <c r="B59" s="119">
        <v>8.0</v>
      </c>
      <c r="C59" s="1">
        <v>1.0</v>
      </c>
      <c r="D59" s="1" t="s">
        <v>79</v>
      </c>
      <c r="F59" s="1" t="s">
        <v>2079</v>
      </c>
      <c r="H59" s="1" t="s">
        <v>1063</v>
      </c>
      <c r="J59" s="6" t="str">
        <f t="shared" ref="J59:J63" si="3">LOWER(F59)</f>
        <v>dhiraj</v>
      </c>
    </row>
    <row r="60">
      <c r="A60" s="302"/>
      <c r="B60" s="302"/>
      <c r="C60" s="1">
        <v>2.0</v>
      </c>
      <c r="D60" s="1" t="s">
        <v>79</v>
      </c>
      <c r="F60" s="1" t="s">
        <v>2080</v>
      </c>
      <c r="H60" s="1" t="s">
        <v>1065</v>
      </c>
      <c r="J60" s="6" t="str">
        <f t="shared" si="3"/>
        <v>college</v>
      </c>
    </row>
    <row r="61">
      <c r="A61" s="302"/>
      <c r="B61" s="302"/>
      <c r="C61" s="1">
        <v>3.0</v>
      </c>
      <c r="D61" s="1" t="s">
        <v>79</v>
      </c>
      <c r="F61" s="1" t="s">
        <v>2081</v>
      </c>
      <c r="H61" s="1" t="s">
        <v>1067</v>
      </c>
      <c r="J61" s="6" t="str">
        <f t="shared" si="3"/>
        <v>visual</v>
      </c>
    </row>
    <row r="62">
      <c r="A62" s="302"/>
      <c r="B62" s="302"/>
      <c r="C62" s="1">
        <v>4.0</v>
      </c>
      <c r="D62" s="1" t="s">
        <v>79</v>
      </c>
      <c r="F62" s="1" t="s">
        <v>2082</v>
      </c>
      <c r="H62" s="1" t="s">
        <v>2083</v>
      </c>
      <c r="J62" s="6" t="str">
        <f t="shared" si="3"/>
        <v>format</v>
      </c>
    </row>
    <row r="63">
      <c r="A63" s="302"/>
      <c r="B63" s="302"/>
      <c r="C63" s="1">
        <v>5.0</v>
      </c>
      <c r="D63" s="1" t="s">
        <v>79</v>
      </c>
      <c r="F63" s="1" t="s">
        <v>2084</v>
      </c>
      <c r="H63" s="1" t="s">
        <v>1754</v>
      </c>
      <c r="J63" s="6" t="str">
        <f t="shared" si="3"/>
        <v>statergy</v>
      </c>
    </row>
    <row r="64">
      <c r="A64" s="302"/>
      <c r="B64" s="302"/>
    </row>
    <row r="65">
      <c r="A65" s="119"/>
      <c r="B65" s="119">
        <v>9.0</v>
      </c>
      <c r="C65" s="1">
        <v>1.0</v>
      </c>
      <c r="D65" s="1" t="s">
        <v>134</v>
      </c>
      <c r="F65" s="1" t="s">
        <v>2085</v>
      </c>
      <c r="H65" s="1" t="s">
        <v>2086</v>
      </c>
      <c r="J65" s="6" t="str">
        <f t="shared" ref="J65:J70" si="4">UPPER(F65)</f>
        <v>DHIRAJ</v>
      </c>
    </row>
    <row r="66">
      <c r="A66" s="302"/>
      <c r="B66" s="302"/>
      <c r="C66" s="1">
        <v>2.0</v>
      </c>
      <c r="D66" s="1" t="s">
        <v>134</v>
      </c>
      <c r="F66" s="1" t="s">
        <v>2087</v>
      </c>
      <c r="H66" s="1" t="s">
        <v>2088</v>
      </c>
      <c r="J66" s="6" t="str">
        <f t="shared" si="4"/>
        <v>SHUBHAM</v>
      </c>
    </row>
    <row r="67">
      <c r="A67" s="302"/>
      <c r="B67" s="302"/>
      <c r="C67" s="1">
        <v>3.0</v>
      </c>
      <c r="D67" s="1" t="s">
        <v>134</v>
      </c>
      <c r="F67" s="1" t="s">
        <v>2089</v>
      </c>
      <c r="H67" s="1" t="s">
        <v>2090</v>
      </c>
      <c r="J67" s="6" t="str">
        <f t="shared" si="4"/>
        <v>ARNAV</v>
      </c>
    </row>
    <row r="68">
      <c r="A68" s="302"/>
      <c r="B68" s="302"/>
      <c r="C68" s="1">
        <v>4.0</v>
      </c>
      <c r="D68" s="1" t="s">
        <v>134</v>
      </c>
      <c r="F68" s="1" t="s">
        <v>2091</v>
      </c>
      <c r="H68" s="1" t="s">
        <v>2092</v>
      </c>
      <c r="J68" s="6" t="str">
        <f t="shared" si="4"/>
        <v>ROHIT</v>
      </c>
    </row>
    <row r="69">
      <c r="A69" s="302"/>
      <c r="B69" s="302"/>
      <c r="C69" s="1">
        <v>5.0</v>
      </c>
      <c r="D69" s="1" t="s">
        <v>134</v>
      </c>
      <c r="F69" s="1" t="s">
        <v>2093</v>
      </c>
      <c r="H69" s="1" t="s">
        <v>2094</v>
      </c>
      <c r="J69" s="6" t="str">
        <f t="shared" si="4"/>
        <v>AKSHAY</v>
      </c>
    </row>
    <row r="70">
      <c r="A70" s="302"/>
      <c r="B70" s="302"/>
      <c r="J70" s="6" t="str">
        <f t="shared" si="4"/>
        <v/>
      </c>
    </row>
    <row r="71">
      <c r="A71" s="119"/>
      <c r="B71" s="119">
        <v>10.0</v>
      </c>
      <c r="C71" s="1">
        <v>1.0</v>
      </c>
      <c r="D71" s="1" t="s">
        <v>112</v>
      </c>
      <c r="F71" s="1" t="s">
        <v>2085</v>
      </c>
      <c r="H71" s="1" t="s">
        <v>2095</v>
      </c>
      <c r="J71" s="6" t="str">
        <f>REPLACE(F71,1,3,"hm")</f>
        <v>hmraj</v>
      </c>
    </row>
    <row r="72">
      <c r="A72" s="302"/>
      <c r="B72" s="302"/>
      <c r="C72" s="1">
        <v>2.0</v>
      </c>
      <c r="D72" s="1" t="s">
        <v>112</v>
      </c>
      <c r="F72" s="1" t="s">
        <v>2087</v>
      </c>
      <c r="H72" s="1" t="s">
        <v>2096</v>
      </c>
      <c r="J72" s="6" t="str">
        <f>REPLACE(F72,2,4,"oj")</f>
        <v>sojam</v>
      </c>
    </row>
    <row r="73">
      <c r="A73" s="302"/>
      <c r="B73" s="302"/>
      <c r="C73" s="1">
        <v>3.0</v>
      </c>
      <c r="D73" s="1" t="s">
        <v>112</v>
      </c>
      <c r="F73" s="1" t="s">
        <v>2089</v>
      </c>
      <c r="H73" s="1" t="s">
        <v>2097</v>
      </c>
      <c r="J73" s="6" t="str">
        <f>REPLACE(F73,2,3,"kl")</f>
        <v>aklv</v>
      </c>
    </row>
    <row r="74">
      <c r="A74" s="302"/>
      <c r="B74" s="302"/>
      <c r="C74" s="1">
        <v>4.0</v>
      </c>
      <c r="D74" s="1" t="s">
        <v>112</v>
      </c>
      <c r="F74" s="1" t="s">
        <v>2091</v>
      </c>
      <c r="H74" s="1" t="s">
        <v>2098</v>
      </c>
      <c r="J74" s="6" t="str">
        <f>REPLACE(F74,1,3,"hm")</f>
        <v>hmit</v>
      </c>
    </row>
    <row r="75">
      <c r="A75" s="302"/>
      <c r="B75" s="302"/>
      <c r="C75" s="1">
        <v>5.0</v>
      </c>
      <c r="D75" s="1" t="s">
        <v>112</v>
      </c>
      <c r="F75" s="1" t="s">
        <v>2093</v>
      </c>
      <c r="H75" s="1" t="s">
        <v>2099</v>
      </c>
      <c r="J75" s="6" t="str">
        <f>REPLACE(F75,1,4,"jkl")</f>
        <v>jklay</v>
      </c>
    </row>
    <row r="76">
      <c r="A76" s="302"/>
      <c r="B76" s="302"/>
    </row>
    <row r="77">
      <c r="A77" s="119"/>
      <c r="B77" s="119">
        <v>11.0</v>
      </c>
      <c r="C77" s="1">
        <v>1.0</v>
      </c>
      <c r="D77" s="1" t="s">
        <v>101</v>
      </c>
      <c r="F77" s="1" t="s">
        <v>2100</v>
      </c>
      <c r="H77" s="1" t="s">
        <v>2101</v>
      </c>
      <c r="J77" s="6" t="str">
        <f t="shared" ref="J77:J82" si="5">PROPER(F77)</f>
        <v>Abhishek</v>
      </c>
    </row>
    <row r="78">
      <c r="A78" s="302"/>
      <c r="B78" s="302"/>
      <c r="C78" s="1">
        <v>2.0</v>
      </c>
      <c r="D78" s="1" t="s">
        <v>101</v>
      </c>
      <c r="F78" s="1" t="s">
        <v>2102</v>
      </c>
      <c r="H78" s="1" t="s">
        <v>2103</v>
      </c>
      <c r="J78" s="6" t="str">
        <f t="shared" si="5"/>
        <v>College</v>
      </c>
    </row>
    <row r="79">
      <c r="A79" s="302"/>
      <c r="B79" s="302"/>
      <c r="C79" s="1">
        <v>3.0</v>
      </c>
      <c r="D79" s="1" t="s">
        <v>101</v>
      </c>
      <c r="F79" s="1" t="s">
        <v>2104</v>
      </c>
      <c r="H79" s="1" t="s">
        <v>2105</v>
      </c>
      <c r="J79" s="6" t="str">
        <f t="shared" si="5"/>
        <v>Laptop</v>
      </c>
    </row>
    <row r="80">
      <c r="C80" s="1">
        <v>4.0</v>
      </c>
      <c r="D80" s="1" t="s">
        <v>101</v>
      </c>
      <c r="F80" s="1" t="s">
        <v>2106</v>
      </c>
      <c r="H80" s="1" t="s">
        <v>2107</v>
      </c>
      <c r="J80" s="6" t="str">
        <f t="shared" si="5"/>
        <v>Unicorn</v>
      </c>
    </row>
    <row r="81">
      <c r="C81" s="1">
        <v>5.0</v>
      </c>
      <c r="D81" s="1" t="s">
        <v>101</v>
      </c>
      <c r="F81" s="1" t="s">
        <v>2108</v>
      </c>
      <c r="H81" s="1" t="s">
        <v>2109</v>
      </c>
      <c r="J81" s="6" t="str">
        <f t="shared" si="5"/>
        <v>Technology</v>
      </c>
    </row>
    <row r="82">
      <c r="J82" s="6" t="str">
        <f t="shared" si="5"/>
        <v/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1.13"/>
    <col customWidth="1" min="3" max="3" width="4.5"/>
    <col customWidth="1" min="4" max="4" width="13.5"/>
    <col customWidth="1" min="5" max="6" width="23.75"/>
    <col customWidth="1" min="8" max="8" width="21.25"/>
  </cols>
  <sheetData>
    <row r="1">
      <c r="A1" s="303" t="s">
        <v>2110</v>
      </c>
      <c r="B1" s="304" t="s">
        <v>2</v>
      </c>
      <c r="C1" s="305"/>
      <c r="D1" s="304" t="s">
        <v>2111</v>
      </c>
      <c r="E1" s="304" t="s">
        <v>4</v>
      </c>
      <c r="F1" s="306" t="s">
        <v>5</v>
      </c>
      <c r="H1" s="1" t="s">
        <v>2112</v>
      </c>
    </row>
    <row r="2">
      <c r="A2" s="307">
        <v>1.0</v>
      </c>
      <c r="B2" s="308" t="s">
        <v>1994</v>
      </c>
      <c r="C2" s="309">
        <v>1.0</v>
      </c>
      <c r="D2" s="310" t="s">
        <v>3</v>
      </c>
      <c r="E2" s="310" t="s">
        <v>2113</v>
      </c>
      <c r="F2" s="311" t="str">
        <f t="shared" ref="F2:F6" si="1">TRIM(D2)</f>
        <v>Data</v>
      </c>
    </row>
    <row r="3">
      <c r="A3" s="312"/>
      <c r="B3" s="207"/>
      <c r="C3" s="313">
        <v>2.0</v>
      </c>
      <c r="D3" s="314" t="s">
        <v>45</v>
      </c>
      <c r="E3" s="315" t="s">
        <v>2114</v>
      </c>
      <c r="F3" s="316" t="str">
        <f t="shared" si="1"/>
        <v>Mango</v>
      </c>
    </row>
    <row r="4">
      <c r="A4" s="312"/>
      <c r="B4" s="207"/>
      <c r="C4" s="313">
        <v>3.0</v>
      </c>
      <c r="D4" s="314" t="s">
        <v>615</v>
      </c>
      <c r="E4" s="315" t="s">
        <v>2115</v>
      </c>
      <c r="F4" s="316" t="str">
        <f t="shared" si="1"/>
        <v>India</v>
      </c>
    </row>
    <row r="5">
      <c r="A5" s="312"/>
      <c r="B5" s="207"/>
      <c r="C5" s="313">
        <v>4.0</v>
      </c>
      <c r="D5" s="314" t="s">
        <v>2116</v>
      </c>
      <c r="E5" s="315" t="s">
        <v>2117</v>
      </c>
      <c r="F5" s="316" t="str">
        <f t="shared" si="1"/>
        <v>State</v>
      </c>
    </row>
    <row r="6">
      <c r="A6" s="317"/>
      <c r="B6" s="318"/>
      <c r="C6" s="319">
        <v>5.0</v>
      </c>
      <c r="D6" s="320">
        <v>5000.0</v>
      </c>
      <c r="E6" s="320" t="s">
        <v>2118</v>
      </c>
      <c r="F6" s="321" t="str">
        <f t="shared" si="1"/>
        <v>5000</v>
      </c>
    </row>
    <row r="7">
      <c r="A7" s="322"/>
      <c r="F7" s="294"/>
    </row>
    <row r="8">
      <c r="A8" s="307">
        <v>2.0</v>
      </c>
      <c r="B8" s="308" t="s">
        <v>6</v>
      </c>
      <c r="C8" s="309">
        <v>1.0</v>
      </c>
      <c r="D8" s="310" t="s">
        <v>2119</v>
      </c>
      <c r="E8" s="310" t="s">
        <v>884</v>
      </c>
      <c r="F8" s="311" t="str">
        <f t="shared" ref="F8:F12" si="2">CLEAN(D8)</f>
        <v>Data+Break</v>
      </c>
    </row>
    <row r="9">
      <c r="A9" s="312"/>
      <c r="B9" s="207"/>
      <c r="C9" s="313">
        <v>2.0</v>
      </c>
      <c r="D9" s="314" t="s">
        <v>2120</v>
      </c>
      <c r="E9" s="315" t="s">
        <v>886</v>
      </c>
      <c r="F9" s="316" t="str">
        <f t="shared" si="2"/>
        <v>CHAR(7)+"Text"</v>
      </c>
    </row>
    <row r="10">
      <c r="A10" s="312"/>
      <c r="B10" s="207"/>
      <c r="C10" s="313">
        <v>3.0</v>
      </c>
      <c r="D10" s="314" t="s">
        <v>2121</v>
      </c>
      <c r="E10" s="315" t="s">
        <v>888</v>
      </c>
      <c r="F10" s="316" t="str">
        <f t="shared" si="2"/>
        <v>Web_Scrape</v>
      </c>
    </row>
    <row r="11">
      <c r="A11" s="312"/>
      <c r="B11" s="207"/>
      <c r="C11" s="313">
        <v>4.0</v>
      </c>
      <c r="D11" s="314" t="s">
        <v>2122</v>
      </c>
      <c r="E11" s="315" t="s">
        <v>2123</v>
      </c>
      <c r="F11" s="316" t="str">
        <f t="shared" si="2"/>
        <v>Tab++*=Value</v>
      </c>
    </row>
    <row r="12">
      <c r="A12" s="317"/>
      <c r="B12" s="318"/>
      <c r="C12" s="319">
        <v>5.0</v>
      </c>
      <c r="D12" s="320" t="s">
        <v>2124</v>
      </c>
      <c r="E12" s="320" t="s">
        <v>2125</v>
      </c>
      <c r="F12" s="321" t="str">
        <f t="shared" si="2"/>
        <v>Sum+++++</v>
      </c>
    </row>
    <row r="13">
      <c r="A13" s="322"/>
      <c r="F13" s="294"/>
    </row>
    <row r="14">
      <c r="A14" s="307">
        <v>3.0</v>
      </c>
      <c r="B14" s="308" t="s">
        <v>134</v>
      </c>
      <c r="C14" s="309">
        <v>1.0</v>
      </c>
      <c r="D14" s="310" t="s">
        <v>2126</v>
      </c>
      <c r="E14" s="310" t="s">
        <v>2127</v>
      </c>
      <c r="F14" s="311" t="str">
        <f t="shared" ref="F14:F18" si="3">UPPER(D14)</f>
        <v>PINEAPPLE</v>
      </c>
    </row>
    <row r="15">
      <c r="A15" s="312"/>
      <c r="B15" s="207"/>
      <c r="C15" s="313">
        <v>2.0</v>
      </c>
      <c r="D15" s="314" t="s">
        <v>2128</v>
      </c>
      <c r="E15" s="315" t="s">
        <v>2129</v>
      </c>
      <c r="F15" s="316" t="str">
        <f t="shared" si="3"/>
        <v>EMP101</v>
      </c>
    </row>
    <row r="16">
      <c r="A16" s="312"/>
      <c r="B16" s="207"/>
      <c r="C16" s="313">
        <v>3.0</v>
      </c>
      <c r="D16" s="314" t="s">
        <v>2130</v>
      </c>
      <c r="E16" s="315" t="s">
        <v>2131</v>
      </c>
      <c r="F16" s="316" t="str">
        <f t="shared" si="3"/>
        <v>MAHARASHTRA</v>
      </c>
    </row>
    <row r="17">
      <c r="A17" s="312"/>
      <c r="B17" s="207"/>
      <c r="C17" s="313">
        <v>4.0</v>
      </c>
      <c r="D17" s="314" t="s">
        <v>2132</v>
      </c>
      <c r="E17" s="315" t="s">
        <v>2133</v>
      </c>
      <c r="F17" s="316" t="str">
        <f t="shared" si="3"/>
        <v>GALAXY14</v>
      </c>
    </row>
    <row r="18">
      <c r="A18" s="317"/>
      <c r="B18" s="318"/>
      <c r="C18" s="319">
        <v>5.0</v>
      </c>
      <c r="D18" s="320" t="s">
        <v>2134</v>
      </c>
      <c r="E18" s="320" t="s">
        <v>2135</v>
      </c>
      <c r="F18" s="321" t="str">
        <f t="shared" si="3"/>
        <v>DANCE</v>
      </c>
    </row>
    <row r="19">
      <c r="A19" s="322"/>
      <c r="F19" s="294"/>
    </row>
    <row r="20">
      <c r="A20" s="307">
        <v>4.0</v>
      </c>
      <c r="B20" s="308" t="s">
        <v>79</v>
      </c>
      <c r="C20" s="309">
        <v>1.0</v>
      </c>
      <c r="D20" s="310" t="s">
        <v>2136</v>
      </c>
      <c r="E20" s="310" t="s">
        <v>2137</v>
      </c>
      <c r="F20" s="311" t="str">
        <f t="shared" ref="F20:F24" si="4">LOWER(D20)</f>
        <v>suhani@.com</v>
      </c>
    </row>
    <row r="21">
      <c r="A21" s="312"/>
      <c r="B21" s="207"/>
      <c r="C21" s="313">
        <v>2.0</v>
      </c>
      <c r="D21" s="314" t="s">
        <v>2138</v>
      </c>
      <c r="E21" s="315" t="s">
        <v>2139</v>
      </c>
      <c r="F21" s="316" t="str">
        <f t="shared" si="4"/>
        <v>offer2026</v>
      </c>
    </row>
    <row r="22">
      <c r="A22" s="312"/>
      <c r="B22" s="207"/>
      <c r="C22" s="313">
        <v>3.0</v>
      </c>
      <c r="D22" s="314" t="s">
        <v>2140</v>
      </c>
      <c r="E22" s="315" t="s">
        <v>2141</v>
      </c>
      <c r="F22" s="316" t="str">
        <f t="shared" si="4"/>
        <v>youtube</v>
      </c>
    </row>
    <row r="23">
      <c r="A23" s="312"/>
      <c r="B23" s="207"/>
      <c r="C23" s="313">
        <v>4.0</v>
      </c>
      <c r="D23" s="314" t="s">
        <v>1880</v>
      </c>
      <c r="E23" s="315" t="s">
        <v>2142</v>
      </c>
      <c r="F23" s="316" t="str">
        <f t="shared" si="4"/>
        <v>nagpur</v>
      </c>
    </row>
    <row r="24">
      <c r="A24" s="317"/>
      <c r="B24" s="318"/>
      <c r="C24" s="319">
        <v>5.0</v>
      </c>
      <c r="D24" s="320" t="s">
        <v>2143</v>
      </c>
      <c r="E24" s="320" t="s">
        <v>2144</v>
      </c>
      <c r="F24" s="321" t="str">
        <f t="shared" si="4"/>
        <v>user id</v>
      </c>
    </row>
    <row r="25">
      <c r="A25" s="322"/>
      <c r="F25" s="294"/>
    </row>
    <row r="26">
      <c r="A26" s="307">
        <v>5.0</v>
      </c>
      <c r="B26" s="308" t="s">
        <v>101</v>
      </c>
      <c r="C26" s="309">
        <v>1.0</v>
      </c>
      <c r="D26" s="310" t="s">
        <v>2145</v>
      </c>
      <c r="E26" s="310" t="s">
        <v>2146</v>
      </c>
      <c r="F26" s="311" t="str">
        <f t="shared" ref="F26:F30" si="5">PROPER(D26)</f>
        <v>Niya Khan</v>
      </c>
    </row>
    <row r="27">
      <c r="A27" s="312"/>
      <c r="B27" s="207"/>
      <c r="C27" s="313">
        <v>2.0</v>
      </c>
      <c r="D27" s="314" t="s">
        <v>444</v>
      </c>
      <c r="E27" s="315" t="s">
        <v>2147</v>
      </c>
      <c r="F27" s="316" t="str">
        <f t="shared" si="5"/>
        <v>United States</v>
      </c>
    </row>
    <row r="28">
      <c r="A28" s="312"/>
      <c r="B28" s="207"/>
      <c r="C28" s="313">
        <v>3.0</v>
      </c>
      <c r="D28" s="314" t="s">
        <v>2148</v>
      </c>
      <c r="E28" s="315" t="s">
        <v>2149</v>
      </c>
      <c r="F28" s="316" t="str">
        <f t="shared" si="5"/>
        <v>Haldiram</v>
      </c>
    </row>
    <row r="29">
      <c r="A29" s="312"/>
      <c r="B29" s="207"/>
      <c r="C29" s="313">
        <v>4.0</v>
      </c>
      <c r="D29" s="314" t="s">
        <v>2150</v>
      </c>
      <c r="E29" s="315" t="s">
        <v>2151</v>
      </c>
      <c r="F29" s="316" t="str">
        <f t="shared" si="5"/>
        <v>Sr. No.</v>
      </c>
    </row>
    <row r="30">
      <c r="A30" s="317"/>
      <c r="B30" s="318"/>
      <c r="C30" s="319">
        <v>5.0</v>
      </c>
      <c r="D30" s="320" t="s">
        <v>2152</v>
      </c>
      <c r="E30" s="320" t="s">
        <v>2153</v>
      </c>
      <c r="F30" s="321" t="str">
        <f t="shared" si="5"/>
        <v>Computer Science</v>
      </c>
    </row>
    <row r="31">
      <c r="A31" s="323"/>
      <c r="F31" s="294"/>
    </row>
    <row r="32">
      <c r="A32" s="307">
        <v>6.0</v>
      </c>
      <c r="B32" s="308" t="s">
        <v>57</v>
      </c>
      <c r="C32" s="309">
        <v>1.0</v>
      </c>
      <c r="D32" s="310" t="s">
        <v>2154</v>
      </c>
      <c r="E32" s="310" t="s">
        <v>2155</v>
      </c>
      <c r="F32" s="311" t="str">
        <f>LEFT(D32, 2)</f>
        <v>In</v>
      </c>
    </row>
    <row r="33">
      <c r="A33" s="312"/>
      <c r="B33" s="207"/>
      <c r="C33" s="313">
        <v>2.0</v>
      </c>
      <c r="D33" s="314" t="s">
        <v>790</v>
      </c>
      <c r="E33" s="315" t="s">
        <v>2156</v>
      </c>
      <c r="F33" s="316" t="str">
        <f>LEFT(D33,3)</f>
        <v>Dat</v>
      </c>
    </row>
    <row r="34">
      <c r="A34" s="312"/>
      <c r="B34" s="207"/>
      <c r="C34" s="313">
        <v>3.0</v>
      </c>
      <c r="D34" s="314" t="s">
        <v>2130</v>
      </c>
      <c r="E34" s="315" t="s">
        <v>2157</v>
      </c>
      <c r="F34" s="316" t="str">
        <f>LEFT(D34, 5)</f>
        <v>Mahar</v>
      </c>
    </row>
    <row r="35">
      <c r="A35" s="312"/>
      <c r="B35" s="207"/>
      <c r="C35" s="313">
        <v>4.0</v>
      </c>
      <c r="D35" s="314" t="s">
        <v>444</v>
      </c>
      <c r="E35" s="315" t="s">
        <v>2158</v>
      </c>
      <c r="F35" s="316" t="str">
        <f>LEFT(D35, 7)</f>
        <v>UNITED </v>
      </c>
    </row>
    <row r="36">
      <c r="A36" s="317"/>
      <c r="B36" s="318"/>
      <c r="C36" s="319">
        <v>5.0</v>
      </c>
      <c r="D36" s="320" t="s">
        <v>2159</v>
      </c>
      <c r="E36" s="320" t="s">
        <v>2160</v>
      </c>
      <c r="F36" s="321" t="str">
        <f>LEFT(D36,3)</f>
        <v>Fru</v>
      </c>
    </row>
    <row r="37">
      <c r="A37" s="322"/>
      <c r="F37" s="294"/>
    </row>
    <row r="38">
      <c r="A38" s="307">
        <v>7.0</v>
      </c>
      <c r="B38" s="308" t="s">
        <v>123</v>
      </c>
      <c r="C38" s="309">
        <v>1.0</v>
      </c>
      <c r="D38" s="310">
        <v>123456.0</v>
      </c>
      <c r="E38" s="324" t="s">
        <v>2161</v>
      </c>
      <c r="F38" s="325" t="str">
        <f>RIGHT(D38,3)</f>
        <v>456</v>
      </c>
    </row>
    <row r="39">
      <c r="A39" s="312"/>
      <c r="B39" s="207"/>
      <c r="C39" s="313">
        <v>2.0</v>
      </c>
      <c r="D39" s="314" t="s">
        <v>2162</v>
      </c>
      <c r="E39" s="314" t="s">
        <v>2163</v>
      </c>
      <c r="F39" s="326" t="str">
        <f>RIGHT(D39,4)</f>
        <v>CdEF</v>
      </c>
    </row>
    <row r="40">
      <c r="A40" s="312"/>
      <c r="B40" s="207"/>
      <c r="C40" s="313">
        <v>3.0</v>
      </c>
      <c r="D40" s="314" t="s">
        <v>2164</v>
      </c>
      <c r="E40" s="314" t="s">
        <v>2165</v>
      </c>
      <c r="F40" s="326" t="str">
        <f>RIGHT(D40,5)</f>
        <v>_Name</v>
      </c>
    </row>
    <row r="41">
      <c r="A41" s="312"/>
      <c r="B41" s="207"/>
      <c r="C41" s="313">
        <v>4.0</v>
      </c>
      <c r="D41" s="314" t="s">
        <v>1699</v>
      </c>
      <c r="E41" s="314" t="s">
        <v>2166</v>
      </c>
      <c r="F41" s="326" t="str">
        <f>RIGHT(D41,6)</f>
        <v>cument</v>
      </c>
    </row>
    <row r="42">
      <c r="A42" s="317"/>
      <c r="B42" s="318"/>
      <c r="C42" s="319">
        <v>5.0</v>
      </c>
      <c r="D42" s="320" t="s">
        <v>2167</v>
      </c>
      <c r="E42" s="327" t="s">
        <v>2168</v>
      </c>
      <c r="F42" s="328" t="str">
        <f>RIGHT(D42,3)</f>
        <v>_ID</v>
      </c>
    </row>
    <row r="43">
      <c r="A43" s="322"/>
      <c r="F43" s="294"/>
    </row>
    <row r="44">
      <c r="A44" s="307">
        <v>8.0</v>
      </c>
      <c r="B44" s="308" t="s">
        <v>90</v>
      </c>
      <c r="C44" s="309">
        <v>1.0</v>
      </c>
      <c r="D44" s="310" t="s">
        <v>2169</v>
      </c>
      <c r="E44" s="310" t="s">
        <v>2170</v>
      </c>
      <c r="F44" s="311" t="str">
        <f>MID(D44, 5, 4)</f>
        <v>1234</v>
      </c>
    </row>
    <row r="45">
      <c r="A45" s="312"/>
      <c r="B45" s="207"/>
      <c r="C45" s="313">
        <v>2.0</v>
      </c>
      <c r="D45" s="314" t="s">
        <v>2171</v>
      </c>
      <c r="E45" s="314" t="s">
        <v>2172</v>
      </c>
      <c r="F45" s="326" t="str">
        <f>MID(D45, 5, 3)</f>
        <v>990</v>
      </c>
    </row>
    <row r="46">
      <c r="A46" s="312"/>
      <c r="B46" s="207"/>
      <c r="C46" s="313">
        <v>3.0</v>
      </c>
      <c r="D46" s="314" t="s">
        <v>2173</v>
      </c>
      <c r="E46" s="314" t="s">
        <v>2174</v>
      </c>
      <c r="F46" s="326" t="str">
        <f>MID(D46, 6, 5)</f>
        <v>Sales</v>
      </c>
    </row>
    <row r="47">
      <c r="A47" s="312"/>
      <c r="B47" s="207"/>
      <c r="C47" s="313">
        <v>4.0</v>
      </c>
      <c r="D47" s="314" t="s">
        <v>2175</v>
      </c>
      <c r="E47" s="314" t="s">
        <v>2176</v>
      </c>
      <c r="F47" s="326" t="str">
        <f>MID(D47, 6, 3)</f>
        <v>MAR</v>
      </c>
    </row>
    <row r="48">
      <c r="A48" s="317"/>
      <c r="B48" s="318"/>
      <c r="C48" s="319">
        <v>5.0</v>
      </c>
      <c r="D48" s="320" t="s">
        <v>2177</v>
      </c>
      <c r="E48" s="320" t="s">
        <v>2178</v>
      </c>
      <c r="F48" s="321" t="str">
        <f>MID(D48, 4, 3)</f>
        <v>007</v>
      </c>
    </row>
    <row r="49">
      <c r="A49" s="322"/>
      <c r="F49" s="294"/>
    </row>
    <row r="50">
      <c r="A50" s="307">
        <v>9.0</v>
      </c>
      <c r="B50" s="308" t="s">
        <v>68</v>
      </c>
      <c r="C50" s="309">
        <v>1.0</v>
      </c>
      <c r="D50" s="310" t="s">
        <v>566</v>
      </c>
      <c r="E50" s="310" t="s">
        <v>493</v>
      </c>
      <c r="F50" s="311">
        <f t="shared" ref="F50:F54" si="6">LEN(D50)</f>
        <v>6</v>
      </c>
    </row>
    <row r="51">
      <c r="A51" s="312"/>
      <c r="B51" s="207"/>
      <c r="C51" s="313">
        <v>2.0</v>
      </c>
      <c r="D51" s="314">
        <v>98765.0</v>
      </c>
      <c r="E51" s="315" t="s">
        <v>2179</v>
      </c>
      <c r="F51" s="316">
        <f t="shared" si="6"/>
        <v>5</v>
      </c>
    </row>
    <row r="52">
      <c r="A52" s="312"/>
      <c r="B52" s="207"/>
      <c r="C52" s="313">
        <v>3.0</v>
      </c>
      <c r="D52" s="314" t="s">
        <v>2180</v>
      </c>
      <c r="E52" s="315" t="s">
        <v>2181</v>
      </c>
      <c r="F52" s="316">
        <f t="shared" si="6"/>
        <v>9</v>
      </c>
    </row>
    <row r="53">
      <c r="A53" s="312"/>
      <c r="B53" s="207"/>
      <c r="C53" s="313">
        <v>4.0</v>
      </c>
      <c r="D53" s="314" t="s">
        <v>2182</v>
      </c>
      <c r="E53" s="315" t="s">
        <v>2183</v>
      </c>
      <c r="F53" s="316">
        <f t="shared" si="6"/>
        <v>3</v>
      </c>
    </row>
    <row r="54">
      <c r="A54" s="317"/>
      <c r="B54" s="318"/>
      <c r="C54" s="319">
        <v>5.0</v>
      </c>
      <c r="D54" s="320" t="s">
        <v>2184</v>
      </c>
      <c r="E54" s="320" t="s">
        <v>2185</v>
      </c>
      <c r="F54" s="321">
        <f t="shared" si="6"/>
        <v>7</v>
      </c>
    </row>
    <row r="55">
      <c r="A55" s="322"/>
      <c r="F55" s="294"/>
    </row>
    <row r="56">
      <c r="A56" s="307">
        <v>10.0</v>
      </c>
      <c r="B56" s="308" t="s">
        <v>2186</v>
      </c>
      <c r="C56" s="309">
        <v>1.0</v>
      </c>
      <c r="D56" s="310" t="s">
        <v>2187</v>
      </c>
      <c r="E56" s="310" t="s">
        <v>2188</v>
      </c>
      <c r="F56" s="311" t="str">
        <f>SUBSTITUTE(D56,"wD","w D")</f>
        <v>New Delhi</v>
      </c>
    </row>
    <row r="57">
      <c r="A57" s="312"/>
      <c r="B57" s="207"/>
      <c r="C57" s="313">
        <v>2.0</v>
      </c>
      <c r="D57" s="314" t="s">
        <v>2189</v>
      </c>
      <c r="E57" s="315" t="s">
        <v>2190</v>
      </c>
      <c r="F57" s="316" t="str">
        <f>SUBSTITUTE(D57,"EMP","empl_")</f>
        <v>empl_01,empl_02</v>
      </c>
    </row>
    <row r="58">
      <c r="A58" s="312"/>
      <c r="B58" s="207"/>
      <c r="C58" s="313">
        <v>3.0</v>
      </c>
      <c r="D58" s="314" t="s">
        <v>2191</v>
      </c>
      <c r="E58" s="315" t="s">
        <v>2192</v>
      </c>
      <c r="F58" s="316" t="str">
        <f>SUBSTITUTE(D58,"S","s")</f>
        <v>Dataset</v>
      </c>
    </row>
    <row r="59">
      <c r="A59" s="312"/>
      <c r="B59" s="207"/>
      <c r="C59" s="313">
        <v>4.0</v>
      </c>
      <c r="D59" s="314" t="s">
        <v>2193</v>
      </c>
      <c r="E59" s="315" t="s">
        <v>2194</v>
      </c>
      <c r="F59" s="316" t="str">
        <f>SUBSTITUTE(D59,"V","v")</f>
        <v>vivo1960</v>
      </c>
    </row>
    <row r="60">
      <c r="A60" s="317"/>
      <c r="B60" s="318"/>
      <c r="C60" s="319">
        <v>5.0</v>
      </c>
      <c r="D60" s="320" t="s">
        <v>2195</v>
      </c>
      <c r="E60" s="320" t="s">
        <v>2196</v>
      </c>
      <c r="F60" s="321" t="str">
        <f>SUBSTITUTE(D60,"_","")</f>
        <v>DataBase</v>
      </c>
    </row>
    <row r="61">
      <c r="A61" s="322"/>
      <c r="F61" s="294"/>
    </row>
    <row r="62">
      <c r="A62" s="307">
        <v>11.0</v>
      </c>
      <c r="B62" s="308" t="s">
        <v>112</v>
      </c>
      <c r="C62" s="309">
        <v>1.0</v>
      </c>
      <c r="D62" s="310">
        <v>2023.0</v>
      </c>
      <c r="E62" s="310" t="s">
        <v>2197</v>
      </c>
      <c r="F62" s="311" t="str">
        <f>REPLACE(D62,3,2,"26")</f>
        <v>2026</v>
      </c>
    </row>
    <row r="63">
      <c r="A63" s="312"/>
      <c r="B63" s="207"/>
      <c r="C63" s="313">
        <v>2.0</v>
      </c>
      <c r="D63" s="314" t="s">
        <v>2198</v>
      </c>
      <c r="E63" s="315" t="s">
        <v>2199</v>
      </c>
      <c r="F63" s="316" t="str">
        <f>REPLACE(D63, 1, 1, "S")</f>
        <v>Sam</v>
      </c>
    </row>
    <row r="64">
      <c r="A64" s="312"/>
      <c r="B64" s="207"/>
      <c r="C64" s="313">
        <v>3.0</v>
      </c>
      <c r="D64" s="314" t="s">
        <v>2200</v>
      </c>
      <c r="E64" s="315" t="s">
        <v>2201</v>
      </c>
      <c r="F64" s="316" t="str">
        <f>REPLACE(D64, 4, 3, "999")</f>
        <v>ID_999</v>
      </c>
    </row>
    <row r="65">
      <c r="A65" s="312"/>
      <c r="B65" s="207"/>
      <c r="C65" s="313">
        <v>4.0</v>
      </c>
      <c r="D65" s="314" t="s">
        <v>2202</v>
      </c>
      <c r="E65" s="315" t="s">
        <v>2203</v>
      </c>
      <c r="F65" s="316" t="str">
        <f>REPLACE(D65, 1, 1, "AA")</f>
        <v>AAdmin</v>
      </c>
    </row>
    <row r="66">
      <c r="A66" s="317"/>
      <c r="B66" s="318"/>
      <c r="C66" s="319">
        <v>5.0</v>
      </c>
      <c r="D66" s="320" t="s">
        <v>2204</v>
      </c>
      <c r="E66" s="320" t="s">
        <v>2205</v>
      </c>
      <c r="F66" s="321" t="str">
        <f>REPLACE(D66,7, 2, "50")</f>
        <v>Rs.49950</v>
      </c>
    </row>
    <row r="67">
      <c r="A67" s="322"/>
      <c r="F67" s="294"/>
    </row>
    <row r="68">
      <c r="A68" s="307">
        <v>12.0</v>
      </c>
      <c r="B68" s="308" t="s">
        <v>33</v>
      </c>
      <c r="C68" s="309">
        <v>1.0</v>
      </c>
      <c r="D68" s="310" t="s">
        <v>2111</v>
      </c>
      <c r="E68" s="310" t="s">
        <v>2206</v>
      </c>
      <c r="F68" s="311">
        <f>FIND("l", D68)</f>
        <v>3</v>
      </c>
    </row>
    <row r="69">
      <c r="A69" s="312"/>
      <c r="B69" s="207"/>
      <c r="C69" s="313">
        <v>2.0</v>
      </c>
      <c r="D69" s="314" t="s">
        <v>2207</v>
      </c>
      <c r="E69" s="315" t="s">
        <v>2208</v>
      </c>
      <c r="F69" s="316">
        <f>FIND(".",D69)</f>
        <v>2</v>
      </c>
    </row>
    <row r="70">
      <c r="A70" s="312"/>
      <c r="B70" s="207"/>
      <c r="C70" s="313">
        <v>3.0</v>
      </c>
      <c r="D70" s="314" t="s">
        <v>2209</v>
      </c>
      <c r="E70" s="315" t="s">
        <v>2210</v>
      </c>
      <c r="F70" s="316">
        <f>FIND("T", D70)</f>
        <v>1</v>
      </c>
    </row>
    <row r="71">
      <c r="A71" s="312"/>
      <c r="B71" s="207"/>
      <c r="C71" s="313">
        <v>4.0</v>
      </c>
      <c r="D71" s="314" t="s">
        <v>2211</v>
      </c>
      <c r="E71" s="315" t="s">
        <v>2212</v>
      </c>
      <c r="F71" s="316">
        <f>FIND("r",D71)</f>
        <v>3</v>
      </c>
    </row>
    <row r="72">
      <c r="A72" s="317"/>
      <c r="B72" s="318"/>
      <c r="C72" s="319">
        <v>5.0</v>
      </c>
      <c r="D72" s="320" t="s">
        <v>790</v>
      </c>
      <c r="E72" s="320" t="s">
        <v>2213</v>
      </c>
      <c r="F72" s="321">
        <f>FIND(" ", D72)</f>
        <v>5</v>
      </c>
    </row>
    <row r="73">
      <c r="A73" s="329"/>
      <c r="F73" s="294"/>
    </row>
    <row r="74">
      <c r="A74" s="307">
        <v>13.0</v>
      </c>
      <c r="B74" s="308" t="s">
        <v>873</v>
      </c>
      <c r="C74" s="309">
        <v>1.0</v>
      </c>
      <c r="D74" s="310" t="s">
        <v>2214</v>
      </c>
      <c r="E74" s="310" t="s">
        <v>2215</v>
      </c>
      <c r="F74" s="311">
        <f>SEARCH("c", D74)</f>
        <v>3</v>
      </c>
    </row>
    <row r="75">
      <c r="A75" s="312"/>
      <c r="B75" s="207"/>
      <c r="C75" s="313">
        <v>2.0</v>
      </c>
      <c r="D75" s="330">
        <v>42.144444444444446</v>
      </c>
      <c r="E75" s="315" t="s">
        <v>2216</v>
      </c>
      <c r="F75" s="316">
        <f>SEARCH(":",D75)</f>
        <v>5</v>
      </c>
    </row>
    <row r="76">
      <c r="A76" s="312"/>
      <c r="B76" s="207"/>
      <c r="C76" s="313">
        <v>3.0</v>
      </c>
      <c r="D76" s="314" t="s">
        <v>2217</v>
      </c>
      <c r="E76" s="315" t="s">
        <v>2218</v>
      </c>
      <c r="F76" s="316">
        <f>SEARCH("I", D76)</f>
        <v>6</v>
      </c>
    </row>
    <row r="77">
      <c r="A77" s="312"/>
      <c r="B77" s="207"/>
      <c r="C77" s="313">
        <v>4.0</v>
      </c>
      <c r="D77" s="314" t="s">
        <v>2219</v>
      </c>
      <c r="E77" s="315" t="s">
        <v>2220</v>
      </c>
      <c r="F77" s="316">
        <f>SEARCH("Ci", D77)</f>
        <v>8</v>
      </c>
    </row>
    <row r="78">
      <c r="A78" s="317"/>
      <c r="B78" s="318"/>
      <c r="C78" s="319">
        <v>5.0</v>
      </c>
      <c r="D78" s="320" t="s">
        <v>2221</v>
      </c>
      <c r="E78" s="320" t="s">
        <v>2222</v>
      </c>
      <c r="F78" s="321">
        <f>SEARCH(" ",D78)</f>
        <v>5</v>
      </c>
    </row>
    <row r="79">
      <c r="A79" s="322"/>
      <c r="F79" s="294"/>
    </row>
    <row r="80">
      <c r="A80" s="307">
        <v>14.0</v>
      </c>
      <c r="B80" s="308" t="s">
        <v>17</v>
      </c>
      <c r="C80" s="331">
        <v>1.0</v>
      </c>
      <c r="D80" s="310" t="s">
        <v>3</v>
      </c>
      <c r="E80" s="332" t="s">
        <v>2223</v>
      </c>
      <c r="F80" s="333" t="str">
        <f>CONCAT(D80,D81)</f>
        <v>DataSet</v>
      </c>
    </row>
    <row r="81">
      <c r="A81" s="312"/>
      <c r="B81" s="207"/>
      <c r="C81" s="201"/>
      <c r="D81" s="315" t="s">
        <v>2224</v>
      </c>
      <c r="E81" s="201"/>
      <c r="F81" s="334"/>
    </row>
    <row r="82">
      <c r="A82" s="312"/>
      <c r="B82" s="207"/>
      <c r="C82" s="335">
        <v>2.0</v>
      </c>
      <c r="D82" s="314" t="s">
        <v>1129</v>
      </c>
      <c r="E82" s="336" t="s">
        <v>2225</v>
      </c>
      <c r="F82" s="337" t="str">
        <f>CONCAT(D82,D83)</f>
        <v>EmplID</v>
      </c>
    </row>
    <row r="83">
      <c r="A83" s="312"/>
      <c r="B83" s="207"/>
      <c r="C83" s="201"/>
      <c r="D83" s="314" t="s">
        <v>2226</v>
      </c>
      <c r="E83" s="201"/>
      <c r="F83" s="334"/>
    </row>
    <row r="84">
      <c r="A84" s="312"/>
      <c r="B84" s="207"/>
      <c r="C84" s="335">
        <v>3.0</v>
      </c>
      <c r="D84" s="314">
        <v>202.0</v>
      </c>
      <c r="E84" s="336" t="s">
        <v>2227</v>
      </c>
      <c r="F84" s="337" t="str">
        <f>CONCAT(D84,D85)</f>
        <v>2026</v>
      </c>
    </row>
    <row r="85">
      <c r="A85" s="312"/>
      <c r="B85" s="207"/>
      <c r="C85" s="201"/>
      <c r="D85" s="314">
        <v>6.0</v>
      </c>
      <c r="E85" s="201"/>
      <c r="F85" s="334"/>
    </row>
    <row r="86">
      <c r="A86" s="312"/>
      <c r="B86" s="207"/>
      <c r="C86" s="335">
        <v>4.0</v>
      </c>
      <c r="D86" s="338" t="s">
        <v>861</v>
      </c>
      <c r="E86" s="336" t="s">
        <v>2228</v>
      </c>
      <c r="F86" s="337" t="str">
        <f>CONCAT(D86,D88)</f>
        <v>AC</v>
      </c>
    </row>
    <row r="87">
      <c r="A87" s="312"/>
      <c r="B87" s="207"/>
      <c r="C87" s="207"/>
      <c r="D87" s="201"/>
      <c r="E87" s="207"/>
      <c r="F87" s="339"/>
    </row>
    <row r="88">
      <c r="A88" s="312"/>
      <c r="B88" s="207"/>
      <c r="C88" s="201"/>
      <c r="D88" s="340" t="s">
        <v>904</v>
      </c>
      <c r="E88" s="201"/>
      <c r="F88" s="334"/>
    </row>
    <row r="89">
      <c r="A89" s="312"/>
      <c r="B89" s="207"/>
      <c r="C89" s="335">
        <v>5.0</v>
      </c>
      <c r="D89" s="340" t="s">
        <v>2229</v>
      </c>
      <c r="E89" s="336" t="s">
        <v>2230</v>
      </c>
      <c r="F89" s="337" t="str">
        <f>CONCAT(D89,D90)</f>
        <v>Recording_1</v>
      </c>
    </row>
    <row r="90">
      <c r="A90" s="317"/>
      <c r="B90" s="318"/>
      <c r="C90" s="318"/>
      <c r="D90" s="341">
        <v>1.0</v>
      </c>
      <c r="E90" s="318"/>
      <c r="F90" s="342"/>
    </row>
    <row r="91">
      <c r="A91" s="322"/>
      <c r="F91" s="294"/>
    </row>
    <row r="92">
      <c r="A92" s="307">
        <v>15.0</v>
      </c>
      <c r="B92" s="308" t="s">
        <v>2231</v>
      </c>
      <c r="C92" s="331">
        <v>1.0</v>
      </c>
      <c r="D92" s="310" t="s">
        <v>963</v>
      </c>
      <c r="E92" s="332" t="s">
        <v>2232</v>
      </c>
      <c r="F92" s="333" t="str">
        <f>TEXTJOIN(":",TRUE,D92,D93,D94)</f>
        <v>I:P:S</v>
      </c>
    </row>
    <row r="93">
      <c r="A93" s="312"/>
      <c r="B93" s="207"/>
      <c r="C93" s="207"/>
      <c r="D93" s="315" t="s">
        <v>2233</v>
      </c>
      <c r="E93" s="207"/>
      <c r="F93" s="339"/>
    </row>
    <row r="94">
      <c r="A94" s="312"/>
      <c r="B94" s="207"/>
      <c r="C94" s="201"/>
      <c r="D94" s="315" t="s">
        <v>2234</v>
      </c>
      <c r="E94" s="201"/>
      <c r="F94" s="334"/>
    </row>
    <row r="95">
      <c r="A95" s="312"/>
      <c r="B95" s="207"/>
      <c r="C95" s="335">
        <v>2.0</v>
      </c>
      <c r="D95" s="314">
        <v>2026.0</v>
      </c>
      <c r="E95" s="336" t="s">
        <v>2235</v>
      </c>
      <c r="F95" s="337" t="str">
        <f>TEXTJOIN("-",TRUE,D95,D96,D97)</f>
        <v>2026-13-March</v>
      </c>
    </row>
    <row r="96">
      <c r="A96" s="312"/>
      <c r="B96" s="207"/>
      <c r="C96" s="207"/>
      <c r="D96" s="314">
        <v>13.0</v>
      </c>
      <c r="E96" s="207"/>
      <c r="F96" s="339"/>
    </row>
    <row r="97">
      <c r="A97" s="312"/>
      <c r="B97" s="207"/>
      <c r="C97" s="201"/>
      <c r="D97" s="314" t="s">
        <v>2236</v>
      </c>
      <c r="E97" s="201"/>
      <c r="F97" s="334"/>
    </row>
    <row r="98">
      <c r="A98" s="312"/>
      <c r="B98" s="207"/>
      <c r="C98" s="335">
        <v>3.0</v>
      </c>
      <c r="D98" s="314" t="s">
        <v>2237</v>
      </c>
      <c r="E98" s="336" t="s">
        <v>2238</v>
      </c>
      <c r="F98" s="337" t="str">
        <f>TEXTJOIN("/",TRUE,D98,D99)</f>
        <v>YES/NO</v>
      </c>
    </row>
    <row r="99">
      <c r="A99" s="312"/>
      <c r="B99" s="207"/>
      <c r="C99" s="201"/>
      <c r="D99" s="314" t="s">
        <v>2239</v>
      </c>
      <c r="E99" s="201"/>
      <c r="F99" s="334"/>
    </row>
    <row r="100">
      <c r="A100" s="312"/>
      <c r="B100" s="207"/>
      <c r="C100" s="335">
        <v>4.0</v>
      </c>
      <c r="D100" s="314" t="s">
        <v>1112</v>
      </c>
      <c r="E100" s="336" t="s">
        <v>2240</v>
      </c>
      <c r="F100" s="337" t="str">
        <f>TEXTJOIN("_",TRUE,D100,D101)</f>
        <v>Employee_ID</v>
      </c>
    </row>
    <row r="101">
      <c r="A101" s="312"/>
      <c r="B101" s="207"/>
      <c r="C101" s="201"/>
      <c r="D101" s="343" t="s">
        <v>2226</v>
      </c>
      <c r="E101" s="201"/>
      <c r="F101" s="334"/>
    </row>
    <row r="102">
      <c r="A102" s="312"/>
      <c r="B102" s="207"/>
      <c r="C102" s="335">
        <v>5.0</v>
      </c>
      <c r="D102" s="340" t="s">
        <v>2241</v>
      </c>
      <c r="E102" s="336" t="s">
        <v>2242</v>
      </c>
      <c r="F102" s="337" t="str">
        <f>TEXTJOIN("",TRUE,D102,D103)</f>
        <v>Mr.John</v>
      </c>
    </row>
    <row r="103">
      <c r="A103" s="317"/>
      <c r="B103" s="318"/>
      <c r="C103" s="318"/>
      <c r="D103" s="341" t="s">
        <v>550</v>
      </c>
      <c r="E103" s="318"/>
      <c r="F103" s="342"/>
    </row>
    <row r="104">
      <c r="A104" s="322"/>
      <c r="F104" s="294"/>
    </row>
    <row r="105">
      <c r="A105" s="344">
        <v>16.0</v>
      </c>
      <c r="B105" s="345" t="s">
        <v>2243</v>
      </c>
      <c r="C105" s="346">
        <v>1.0</v>
      </c>
      <c r="D105" s="347">
        <v>2500.0</v>
      </c>
      <c r="E105" s="347" t="s">
        <v>2244</v>
      </c>
      <c r="F105" s="348" t="str">
        <f>TEXT(D105, "#,###")</f>
        <v>2,500</v>
      </c>
    </row>
    <row r="106">
      <c r="A106" s="312"/>
      <c r="B106" s="207"/>
      <c r="C106" s="349">
        <v>2.0</v>
      </c>
      <c r="D106" s="350">
        <v>0.75</v>
      </c>
      <c r="E106" s="351" t="s">
        <v>2245</v>
      </c>
      <c r="F106" s="352" t="str">
        <f>TEXT(D10, "0.0%")</f>
        <v>Web_Scrape</v>
      </c>
    </row>
    <row r="107">
      <c r="A107" s="312"/>
      <c r="B107" s="207"/>
      <c r="C107" s="349">
        <v>3.0</v>
      </c>
      <c r="D107" s="350">
        <v>46089.0</v>
      </c>
      <c r="E107" s="351" t="s">
        <v>2246</v>
      </c>
      <c r="F107" s="352" t="str">
        <f>TEXT(D107, "MMM-YY")</f>
        <v>Mar-26</v>
      </c>
    </row>
    <row r="108">
      <c r="A108" s="312"/>
      <c r="B108" s="207"/>
      <c r="C108" s="349">
        <v>4.0</v>
      </c>
      <c r="D108" s="350">
        <v>0.33</v>
      </c>
      <c r="E108" s="351" t="s">
        <v>2247</v>
      </c>
      <c r="F108" s="352" t="str">
        <f>TEXT(D108, "# ??/??")</f>
        <v>32/97</v>
      </c>
    </row>
    <row r="109">
      <c r="A109" s="317"/>
      <c r="B109" s="318"/>
      <c r="C109" s="353">
        <v>5.0</v>
      </c>
      <c r="D109" s="354">
        <v>500.0</v>
      </c>
      <c r="E109" s="354" t="s">
        <v>2248</v>
      </c>
      <c r="F109" s="355" t="str">
        <f>TEXT(D109, "$ 0.00")</f>
        <v>$ 500.00</v>
      </c>
    </row>
    <row r="110">
      <c r="A110" s="356"/>
      <c r="F110" s="294"/>
    </row>
    <row r="111">
      <c r="A111" s="307">
        <v>17.0</v>
      </c>
      <c r="B111" s="308" t="s">
        <v>230</v>
      </c>
      <c r="C111" s="309">
        <v>1.0</v>
      </c>
      <c r="D111" s="357">
        <v>46024.0</v>
      </c>
      <c r="E111" s="347" t="s">
        <v>2249</v>
      </c>
      <c r="F111" s="348">
        <f t="shared" ref="F111:F115" si="7">VALUE(D111)</f>
        <v>46024</v>
      </c>
    </row>
    <row r="112">
      <c r="A112" s="312"/>
      <c r="B112" s="207"/>
      <c r="C112" s="313">
        <v>2.0</v>
      </c>
      <c r="D112" s="358">
        <v>0.5</v>
      </c>
      <c r="E112" s="315" t="s">
        <v>2250</v>
      </c>
      <c r="F112" s="316">
        <f t="shared" si="7"/>
        <v>0.5</v>
      </c>
    </row>
    <row r="113">
      <c r="A113" s="312"/>
      <c r="B113" s="207"/>
      <c r="C113" s="313">
        <v>3.0</v>
      </c>
      <c r="D113" s="314">
        <v>45.0</v>
      </c>
      <c r="E113" s="315" t="s">
        <v>2251</v>
      </c>
      <c r="F113" s="316">
        <f t="shared" si="7"/>
        <v>45</v>
      </c>
    </row>
    <row r="114">
      <c r="A114" s="312"/>
      <c r="B114" s="207"/>
      <c r="C114" s="313">
        <v>4.0</v>
      </c>
      <c r="D114" s="359">
        <v>1000.0</v>
      </c>
      <c r="E114" s="315" t="s">
        <v>2252</v>
      </c>
      <c r="F114" s="316">
        <f t="shared" si="7"/>
        <v>1000</v>
      </c>
    </row>
    <row r="115">
      <c r="A115" s="317"/>
      <c r="B115" s="318"/>
      <c r="C115" s="319">
        <v>5.0</v>
      </c>
      <c r="D115" s="360">
        <v>46089.0</v>
      </c>
      <c r="E115" s="320" t="s">
        <v>2253</v>
      </c>
      <c r="F115" s="321">
        <f t="shared" si="7"/>
        <v>46089</v>
      </c>
    </row>
    <row r="116">
      <c r="A116" s="322"/>
      <c r="F116" s="294"/>
    </row>
    <row r="117">
      <c r="A117" s="307">
        <v>18.0</v>
      </c>
      <c r="B117" s="308" t="s">
        <v>2254</v>
      </c>
      <c r="C117" s="331">
        <v>1.0</v>
      </c>
      <c r="D117" s="310" t="s">
        <v>2255</v>
      </c>
      <c r="E117" s="332" t="s">
        <v>2256</v>
      </c>
      <c r="F117" s="333" t="str">
        <f>REPT(D117,D118)</f>
        <v>*****</v>
      </c>
    </row>
    <row r="118">
      <c r="A118" s="312"/>
      <c r="B118" s="207"/>
      <c r="C118" s="201"/>
      <c r="D118" s="315">
        <v>5.0</v>
      </c>
      <c r="E118" s="201"/>
      <c r="F118" s="334"/>
    </row>
    <row r="119">
      <c r="A119" s="312"/>
      <c r="B119" s="207"/>
      <c r="C119" s="335">
        <v>2.0</v>
      </c>
      <c r="D119" s="314" t="s">
        <v>2257</v>
      </c>
      <c r="E119" s="336" t="s">
        <v>2258</v>
      </c>
      <c r="F119" s="337" t="str">
        <f>REPT(D119,D120)</f>
        <v>---</v>
      </c>
    </row>
    <row r="120">
      <c r="A120" s="312"/>
      <c r="B120" s="207"/>
      <c r="C120" s="201"/>
      <c r="D120" s="314">
        <v>3.0</v>
      </c>
      <c r="E120" s="201"/>
      <c r="F120" s="334"/>
    </row>
    <row r="121">
      <c r="A121" s="312"/>
      <c r="B121" s="207"/>
      <c r="C121" s="335">
        <v>3.0</v>
      </c>
      <c r="D121" s="314" t="s">
        <v>2259</v>
      </c>
      <c r="E121" s="336" t="s">
        <v>2260</v>
      </c>
      <c r="F121" s="337" t="str">
        <f>REPT(D121,D122)</f>
        <v>GoodGood</v>
      </c>
    </row>
    <row r="122">
      <c r="A122" s="312"/>
      <c r="B122" s="207"/>
      <c r="C122" s="201"/>
      <c r="D122" s="314">
        <v>2.0</v>
      </c>
      <c r="E122" s="201"/>
      <c r="F122" s="334"/>
    </row>
    <row r="123">
      <c r="A123" s="312"/>
      <c r="B123" s="207"/>
      <c r="C123" s="335">
        <v>4.0</v>
      </c>
      <c r="D123" s="314">
        <v>0.0</v>
      </c>
      <c r="E123" s="336" t="s">
        <v>2261</v>
      </c>
      <c r="F123" s="337" t="str">
        <f>REPT(D123,D124)</f>
        <v>0000</v>
      </c>
    </row>
    <row r="124">
      <c r="A124" s="312"/>
      <c r="B124" s="207"/>
      <c r="C124" s="201"/>
      <c r="D124" s="343">
        <v>4.0</v>
      </c>
      <c r="E124" s="201"/>
      <c r="F124" s="334"/>
    </row>
    <row r="125">
      <c r="A125" s="312"/>
      <c r="B125" s="207"/>
      <c r="C125" s="335">
        <v>5.0</v>
      </c>
      <c r="D125" s="340" t="s">
        <v>2262</v>
      </c>
      <c r="E125" s="336" t="s">
        <v>2263</v>
      </c>
      <c r="F125" s="337" t="str">
        <f>REPT(D125, D126)</f>
        <v>OkOkOk</v>
      </c>
    </row>
    <row r="126">
      <c r="A126" s="317"/>
      <c r="B126" s="318"/>
      <c r="C126" s="318"/>
      <c r="D126" s="341">
        <v>3.0</v>
      </c>
      <c r="E126" s="318"/>
      <c r="F126" s="342"/>
    </row>
    <row r="127">
      <c r="A127" s="361"/>
      <c r="F127" s="294"/>
    </row>
    <row r="128">
      <c r="A128" s="307">
        <v>19.0</v>
      </c>
      <c r="B128" s="308" t="s">
        <v>44</v>
      </c>
      <c r="C128" s="331">
        <v>1.0</v>
      </c>
      <c r="D128" s="310" t="s">
        <v>3</v>
      </c>
      <c r="E128" s="332" t="s">
        <v>2264</v>
      </c>
      <c r="F128" s="333" t="b">
        <f>EXACT(D128,D129)</f>
        <v>1</v>
      </c>
    </row>
    <row r="129">
      <c r="A129" s="312"/>
      <c r="B129" s="207"/>
      <c r="C129" s="201"/>
      <c r="D129" s="315" t="s">
        <v>3</v>
      </c>
      <c r="E129" s="201"/>
      <c r="F129" s="334"/>
    </row>
    <row r="130">
      <c r="A130" s="312"/>
      <c r="B130" s="207"/>
      <c r="C130" s="335">
        <v>2.0</v>
      </c>
      <c r="D130" s="314" t="s">
        <v>3</v>
      </c>
      <c r="E130" s="336" t="s">
        <v>2265</v>
      </c>
      <c r="F130" s="337" t="b">
        <f>EXACT(D130,D131)</f>
        <v>0</v>
      </c>
    </row>
    <row r="131">
      <c r="A131" s="312"/>
      <c r="B131" s="207"/>
      <c r="C131" s="201"/>
      <c r="D131" s="314" t="s">
        <v>1117</v>
      </c>
      <c r="E131" s="201"/>
      <c r="F131" s="334"/>
    </row>
    <row r="132">
      <c r="A132" s="312"/>
      <c r="B132" s="207"/>
      <c r="C132" s="335">
        <v>3.0</v>
      </c>
      <c r="D132" s="314" t="s">
        <v>603</v>
      </c>
      <c r="E132" s="336" t="s">
        <v>2266</v>
      </c>
      <c r="F132" s="337" t="b">
        <f>EXACT(D132,D133)</f>
        <v>1</v>
      </c>
    </row>
    <row r="133">
      <c r="A133" s="312"/>
      <c r="B133" s="207"/>
      <c r="C133" s="201"/>
      <c r="D133" s="314" t="s">
        <v>603</v>
      </c>
      <c r="E133" s="201"/>
      <c r="F133" s="334"/>
    </row>
    <row r="134">
      <c r="A134" s="312"/>
      <c r="B134" s="207"/>
      <c r="C134" s="335">
        <v>4.0</v>
      </c>
      <c r="D134" s="314">
        <v>100.0</v>
      </c>
      <c r="E134" s="336" t="s">
        <v>2267</v>
      </c>
      <c r="F134" s="337" t="b">
        <f>EXACT(D134,D135)</f>
        <v>1</v>
      </c>
    </row>
    <row r="135">
      <c r="A135" s="312"/>
      <c r="B135" s="207"/>
      <c r="C135" s="201"/>
      <c r="D135" s="343">
        <v>100.0</v>
      </c>
      <c r="E135" s="201"/>
      <c r="F135" s="334"/>
    </row>
    <row r="136">
      <c r="A136" s="312"/>
      <c r="B136" s="207"/>
      <c r="C136" s="335">
        <v>5.0</v>
      </c>
      <c r="D136" s="340" t="s">
        <v>2268</v>
      </c>
      <c r="E136" s="336" t="s">
        <v>2269</v>
      </c>
      <c r="F136" s="337" t="b">
        <f>EXACT(D136,D137)</f>
        <v>0</v>
      </c>
    </row>
    <row r="137">
      <c r="A137" s="317"/>
      <c r="B137" s="318"/>
      <c r="C137" s="318"/>
      <c r="D137" s="341" t="s">
        <v>2237</v>
      </c>
      <c r="E137" s="318"/>
      <c r="F137" s="342"/>
    </row>
  </sheetData>
  <mergeCells count="117">
    <mergeCell ref="A56:A60"/>
    <mergeCell ref="B56:B60"/>
    <mergeCell ref="A61:F61"/>
    <mergeCell ref="A62:A66"/>
    <mergeCell ref="B62:B66"/>
    <mergeCell ref="A67:F67"/>
    <mergeCell ref="A68:A72"/>
    <mergeCell ref="E82:E83"/>
    <mergeCell ref="F82:F83"/>
    <mergeCell ref="C84:C85"/>
    <mergeCell ref="E84:E85"/>
    <mergeCell ref="F84:F85"/>
    <mergeCell ref="C86:C88"/>
    <mergeCell ref="D86:D87"/>
    <mergeCell ref="E86:E88"/>
    <mergeCell ref="F86:F88"/>
    <mergeCell ref="C89:C90"/>
    <mergeCell ref="E89:E90"/>
    <mergeCell ref="B68:B72"/>
    <mergeCell ref="A73:F73"/>
    <mergeCell ref="A74:A78"/>
    <mergeCell ref="B74:B78"/>
    <mergeCell ref="A79:F79"/>
    <mergeCell ref="A80:A90"/>
    <mergeCell ref="F80:F81"/>
    <mergeCell ref="F89:F90"/>
    <mergeCell ref="A2:A6"/>
    <mergeCell ref="B2:B6"/>
    <mergeCell ref="A7:F7"/>
    <mergeCell ref="A8:A12"/>
    <mergeCell ref="B8:B12"/>
    <mergeCell ref="A13:F13"/>
    <mergeCell ref="A14:A18"/>
    <mergeCell ref="A37:F37"/>
    <mergeCell ref="A43:F43"/>
    <mergeCell ref="A49:F49"/>
    <mergeCell ref="B14:B18"/>
    <mergeCell ref="A19:F19"/>
    <mergeCell ref="A20:A24"/>
    <mergeCell ref="B20:B24"/>
    <mergeCell ref="A25:F25"/>
    <mergeCell ref="B26:B30"/>
    <mergeCell ref="A31:F31"/>
    <mergeCell ref="A50:A54"/>
    <mergeCell ref="B50:B54"/>
    <mergeCell ref="A55:F55"/>
    <mergeCell ref="A26:A30"/>
    <mergeCell ref="A32:A36"/>
    <mergeCell ref="B32:B36"/>
    <mergeCell ref="A38:A42"/>
    <mergeCell ref="B38:B42"/>
    <mergeCell ref="A44:A48"/>
    <mergeCell ref="B44:B48"/>
    <mergeCell ref="C80:C81"/>
    <mergeCell ref="E80:E81"/>
    <mergeCell ref="C92:C94"/>
    <mergeCell ref="C95:C97"/>
    <mergeCell ref="C119:C120"/>
    <mergeCell ref="C121:C122"/>
    <mergeCell ref="C123:C124"/>
    <mergeCell ref="C125:C126"/>
    <mergeCell ref="B92:B103"/>
    <mergeCell ref="C100:C101"/>
    <mergeCell ref="C102:C103"/>
    <mergeCell ref="B105:B109"/>
    <mergeCell ref="B111:B115"/>
    <mergeCell ref="B117:B126"/>
    <mergeCell ref="C117:C118"/>
    <mergeCell ref="E121:E122"/>
    <mergeCell ref="E123:E124"/>
    <mergeCell ref="F123:F124"/>
    <mergeCell ref="E125:E126"/>
    <mergeCell ref="F125:F126"/>
    <mergeCell ref="A110:F110"/>
    <mergeCell ref="A116:F116"/>
    <mergeCell ref="E117:E118"/>
    <mergeCell ref="F117:F118"/>
    <mergeCell ref="E119:E120"/>
    <mergeCell ref="F119:F120"/>
    <mergeCell ref="F121:F122"/>
    <mergeCell ref="E130:E131"/>
    <mergeCell ref="E132:E133"/>
    <mergeCell ref="A127:F127"/>
    <mergeCell ref="C128:C129"/>
    <mergeCell ref="E128:E129"/>
    <mergeCell ref="F128:F129"/>
    <mergeCell ref="C130:C131"/>
    <mergeCell ref="F130:F131"/>
    <mergeCell ref="F132:F133"/>
    <mergeCell ref="E95:E97"/>
    <mergeCell ref="F95:F97"/>
    <mergeCell ref="C98:C99"/>
    <mergeCell ref="E98:E99"/>
    <mergeCell ref="E100:E101"/>
    <mergeCell ref="F100:F101"/>
    <mergeCell ref="E102:E103"/>
    <mergeCell ref="F102:F103"/>
    <mergeCell ref="A92:A103"/>
    <mergeCell ref="A105:A109"/>
    <mergeCell ref="A111:A115"/>
    <mergeCell ref="A117:A126"/>
    <mergeCell ref="A128:A137"/>
    <mergeCell ref="B128:B137"/>
    <mergeCell ref="B80:B90"/>
    <mergeCell ref="C82:C83"/>
    <mergeCell ref="A91:F91"/>
    <mergeCell ref="E92:E94"/>
    <mergeCell ref="F92:F94"/>
    <mergeCell ref="F98:F99"/>
    <mergeCell ref="A104:F104"/>
    <mergeCell ref="C132:C133"/>
    <mergeCell ref="C134:C135"/>
    <mergeCell ref="E134:E135"/>
    <mergeCell ref="F134:F135"/>
    <mergeCell ref="C136:C137"/>
    <mergeCell ref="E136:E137"/>
    <mergeCell ref="F136:F137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7" max="7" width="14.63"/>
  </cols>
  <sheetData>
    <row r="2">
      <c r="A2" s="1" t="s">
        <v>2270</v>
      </c>
    </row>
    <row r="3">
      <c r="C3" s="362" t="s">
        <v>1650</v>
      </c>
      <c r="D3" s="363" t="s">
        <v>2271</v>
      </c>
      <c r="E3" s="363" t="s">
        <v>1117</v>
      </c>
      <c r="F3" s="363"/>
      <c r="G3" s="363" t="s">
        <v>2272</v>
      </c>
      <c r="H3" s="363" t="s">
        <v>2273</v>
      </c>
    </row>
    <row r="4">
      <c r="C4" s="236"/>
      <c r="D4" s="236"/>
      <c r="E4" s="236"/>
      <c r="F4" s="236"/>
      <c r="G4" s="236"/>
      <c r="H4" s="236"/>
    </row>
    <row r="5">
      <c r="C5" s="364">
        <v>1.0</v>
      </c>
      <c r="D5" s="364" t="s">
        <v>1549</v>
      </c>
      <c r="E5" s="364" t="s">
        <v>2274</v>
      </c>
      <c r="F5" s="364" t="s">
        <v>1187</v>
      </c>
      <c r="G5" s="364" t="s">
        <v>2275</v>
      </c>
      <c r="H5" s="365" t="str">
        <f t="shared" ref="H5:H9" si="1">CONCAT(F5,E5)</f>
        <v>flyhigh</v>
      </c>
    </row>
    <row r="6">
      <c r="C6" s="365"/>
      <c r="D6" s="365"/>
      <c r="E6" s="364" t="s">
        <v>2276</v>
      </c>
      <c r="F6" s="364" t="s">
        <v>2277</v>
      </c>
      <c r="G6" s="364" t="s">
        <v>2278</v>
      </c>
      <c r="H6" s="365" t="str">
        <f t="shared" si="1"/>
        <v>longdrive</v>
      </c>
    </row>
    <row r="7">
      <c r="C7" s="365"/>
      <c r="D7" s="365"/>
      <c r="E7" s="364" t="s">
        <v>2279</v>
      </c>
      <c r="F7" s="364" t="s">
        <v>2280</v>
      </c>
      <c r="G7" s="364" t="s">
        <v>2281</v>
      </c>
      <c r="H7" s="365" t="str">
        <f t="shared" si="1"/>
        <v>chit-chat</v>
      </c>
    </row>
    <row r="8">
      <c r="C8" s="365"/>
      <c r="D8" s="365"/>
      <c r="E8" s="364" t="s">
        <v>2282</v>
      </c>
      <c r="F8" s="364" t="s">
        <v>2283</v>
      </c>
      <c r="G8" s="364" t="s">
        <v>2284</v>
      </c>
      <c r="H8" s="365" t="str">
        <f t="shared" si="1"/>
        <v>arguement</v>
      </c>
    </row>
    <row r="9">
      <c r="C9" s="365"/>
      <c r="D9" s="365"/>
      <c r="E9" s="364" t="s">
        <v>2285</v>
      </c>
      <c r="F9" s="364" t="s">
        <v>2286</v>
      </c>
      <c r="G9" s="364" t="s">
        <v>2287</v>
      </c>
      <c r="H9" s="365" t="str">
        <f t="shared" si="1"/>
        <v>thermal-cooling</v>
      </c>
    </row>
    <row r="10">
      <c r="C10" s="365"/>
      <c r="D10" s="365"/>
      <c r="E10" s="365"/>
      <c r="F10" s="365"/>
      <c r="G10" s="365"/>
      <c r="H10" s="365"/>
    </row>
    <row r="11">
      <c r="C11" s="364">
        <v>2.0</v>
      </c>
      <c r="D11" s="364" t="s">
        <v>57</v>
      </c>
      <c r="E11" s="364" t="s">
        <v>716</v>
      </c>
      <c r="F11" s="365"/>
      <c r="G11" s="364" t="s">
        <v>2288</v>
      </c>
      <c r="H11" s="365" t="str">
        <f>LEFT(E11,2)</f>
        <v>Te</v>
      </c>
    </row>
    <row r="12">
      <c r="C12" s="365"/>
      <c r="D12" s="365"/>
      <c r="E12" s="364" t="s">
        <v>2289</v>
      </c>
      <c r="F12" s="365"/>
      <c r="G12" s="364" t="s">
        <v>2290</v>
      </c>
      <c r="H12" s="365" t="str">
        <f>LEFT(E12,4)</f>
        <v>Gath</v>
      </c>
    </row>
    <row r="13">
      <c r="C13" s="365"/>
      <c r="D13" s="365"/>
      <c r="E13" s="364" t="s">
        <v>755</v>
      </c>
      <c r="F13" s="365"/>
      <c r="G13" s="364" t="s">
        <v>2291</v>
      </c>
      <c r="H13" s="365" t="str">
        <f>LEFT(E13,6)</f>
        <v>techno</v>
      </c>
    </row>
    <row r="14">
      <c r="C14" s="365"/>
      <c r="D14" s="365"/>
      <c r="E14" s="364" t="s">
        <v>2292</v>
      </c>
      <c r="F14" s="365"/>
      <c r="G14" s="364" t="s">
        <v>2293</v>
      </c>
      <c r="H14" s="365" t="str">
        <f>LEFT(E14,3)</f>
        <v>dif</v>
      </c>
    </row>
    <row r="15">
      <c r="C15" s="365"/>
      <c r="D15" s="365"/>
      <c r="E15" s="364" t="s">
        <v>2294</v>
      </c>
      <c r="F15" s="365"/>
      <c r="G15" s="364" t="s">
        <v>2295</v>
      </c>
      <c r="H15" s="365" t="str">
        <f>LEFT(E15,5)</f>
        <v>follo</v>
      </c>
    </row>
    <row r="16">
      <c r="C16" s="365"/>
      <c r="D16" s="365"/>
      <c r="E16" s="365"/>
      <c r="F16" s="365"/>
      <c r="G16" s="365"/>
      <c r="H16" s="365"/>
    </row>
    <row r="17">
      <c r="C17" s="364">
        <v>3.0</v>
      </c>
      <c r="D17" s="364" t="s">
        <v>123</v>
      </c>
      <c r="E17" s="364" t="s">
        <v>716</v>
      </c>
      <c r="F17" s="365"/>
      <c r="G17" s="364" t="s">
        <v>2296</v>
      </c>
      <c r="H17" s="365" t="str">
        <f>RIGHT(E17,5)</f>
        <v>ision</v>
      </c>
    </row>
    <row r="18">
      <c r="C18" s="365"/>
      <c r="D18" s="365"/>
      <c r="E18" s="364" t="s">
        <v>2289</v>
      </c>
      <c r="F18" s="365"/>
      <c r="G18" s="364" t="s">
        <v>2297</v>
      </c>
      <c r="H18" s="365" t="str">
        <f>RIGHT(E18,2)</f>
        <v>ng</v>
      </c>
    </row>
    <row r="19">
      <c r="C19" s="365"/>
      <c r="D19" s="365"/>
      <c r="E19" s="364" t="s">
        <v>755</v>
      </c>
      <c r="F19" s="365"/>
      <c r="G19" s="364" t="s">
        <v>2298</v>
      </c>
      <c r="H19" s="365" t="str">
        <f>RIGHT(E19,3)</f>
        <v>ogy</v>
      </c>
    </row>
    <row r="20">
      <c r="C20" s="365"/>
      <c r="D20" s="365"/>
      <c r="E20" s="364" t="s">
        <v>2292</v>
      </c>
      <c r="F20" s="365"/>
      <c r="G20" s="364" t="s">
        <v>2299</v>
      </c>
      <c r="H20" s="365" t="str">
        <f>RIGHT(E20,6)</f>
        <v>erence</v>
      </c>
    </row>
    <row r="21">
      <c r="C21" s="365"/>
      <c r="D21" s="365"/>
      <c r="E21" s="364" t="s">
        <v>2294</v>
      </c>
      <c r="F21" s="365"/>
      <c r="G21" s="364" t="s">
        <v>2300</v>
      </c>
      <c r="H21" s="365" t="str">
        <f>RIGHT(E21,1)</f>
        <v>g</v>
      </c>
    </row>
    <row r="22">
      <c r="C22" s="365"/>
      <c r="D22" s="365"/>
      <c r="E22" s="365"/>
      <c r="F22" s="365"/>
      <c r="G22" s="365"/>
      <c r="H22" s="365"/>
    </row>
    <row r="23">
      <c r="C23" s="364">
        <v>4.0</v>
      </c>
      <c r="D23" s="364" t="s">
        <v>68</v>
      </c>
      <c r="E23" s="364" t="s">
        <v>2301</v>
      </c>
      <c r="F23" s="365"/>
      <c r="G23" s="364" t="s">
        <v>2302</v>
      </c>
      <c r="H23" s="365">
        <f t="shared" ref="H23:H27" si="2">LEN(E23)</f>
        <v>9</v>
      </c>
    </row>
    <row r="24">
      <c r="C24" s="365"/>
      <c r="D24" s="365"/>
      <c r="E24" s="364" t="s">
        <v>2303</v>
      </c>
      <c r="F24" s="365"/>
      <c r="G24" s="364" t="s">
        <v>780</v>
      </c>
      <c r="H24" s="365">
        <f t="shared" si="2"/>
        <v>11</v>
      </c>
    </row>
    <row r="25">
      <c r="C25" s="365"/>
      <c r="D25" s="365"/>
      <c r="E25" s="364" t="s">
        <v>2304</v>
      </c>
      <c r="F25" s="365"/>
      <c r="G25" s="364" t="s">
        <v>781</v>
      </c>
      <c r="H25" s="365">
        <f t="shared" si="2"/>
        <v>7</v>
      </c>
    </row>
    <row r="26">
      <c r="C26" s="365"/>
      <c r="D26" s="365"/>
      <c r="E26" s="364" t="s">
        <v>2305</v>
      </c>
      <c r="F26" s="365"/>
      <c r="G26" s="364" t="s">
        <v>783</v>
      </c>
      <c r="H26" s="365">
        <f t="shared" si="2"/>
        <v>10</v>
      </c>
    </row>
    <row r="27">
      <c r="C27" s="365"/>
      <c r="D27" s="365"/>
      <c r="E27" s="364" t="s">
        <v>2306</v>
      </c>
      <c r="F27" s="365"/>
      <c r="G27" s="364" t="s">
        <v>785</v>
      </c>
      <c r="H27" s="365">
        <f t="shared" si="2"/>
        <v>11</v>
      </c>
    </row>
    <row r="28">
      <c r="C28" s="365"/>
      <c r="D28" s="365"/>
      <c r="E28" s="365"/>
      <c r="F28" s="365"/>
      <c r="G28" s="365"/>
      <c r="H28" s="365"/>
    </row>
    <row r="29">
      <c r="C29" s="364">
        <v>5.0</v>
      </c>
      <c r="D29" s="364" t="s">
        <v>33</v>
      </c>
      <c r="E29" s="364" t="s">
        <v>387</v>
      </c>
      <c r="F29" s="365"/>
      <c r="G29" s="364" t="s">
        <v>2307</v>
      </c>
      <c r="H29" s="365">
        <f>FIND("m",E29)</f>
        <v>3</v>
      </c>
    </row>
    <row r="30">
      <c r="C30" s="365"/>
      <c r="D30" s="365"/>
      <c r="E30" s="364" t="s">
        <v>2308</v>
      </c>
      <c r="F30" s="365"/>
      <c r="G30" s="364" t="s">
        <v>2309</v>
      </c>
      <c r="H30" s="365">
        <f>FIND("g",E30)</f>
        <v>6</v>
      </c>
    </row>
    <row r="31">
      <c r="C31" s="365"/>
      <c r="D31" s="365"/>
      <c r="E31" s="364" t="s">
        <v>2310</v>
      </c>
      <c r="F31" s="365"/>
      <c r="G31" s="364" t="s">
        <v>2311</v>
      </c>
      <c r="H31" s="365">
        <f>FIND("d",E31)</f>
        <v>4</v>
      </c>
    </row>
    <row r="32">
      <c r="C32" s="365"/>
      <c r="D32" s="365"/>
      <c r="E32" s="364" t="s">
        <v>2312</v>
      </c>
      <c r="F32" s="365"/>
      <c r="G32" s="364" t="s">
        <v>2313</v>
      </c>
      <c r="H32" s="365">
        <f>FIND("C",E32)</f>
        <v>1</v>
      </c>
    </row>
    <row r="33">
      <c r="C33" s="365"/>
      <c r="D33" s="365"/>
      <c r="E33" s="364" t="s">
        <v>2314</v>
      </c>
      <c r="F33" s="365"/>
      <c r="G33" s="364" t="s">
        <v>2315</v>
      </c>
      <c r="H33" s="365">
        <f>FIND("i",E33)</f>
        <v>4</v>
      </c>
    </row>
    <row r="34">
      <c r="C34" s="236"/>
      <c r="D34" s="236"/>
      <c r="E34" s="236"/>
      <c r="F34" s="236"/>
      <c r="G34" s="236"/>
      <c r="H34" s="236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88"/>
    <col customWidth="1" min="6" max="6" width="32.25"/>
  </cols>
  <sheetData>
    <row r="1">
      <c r="A1" s="1" t="s">
        <v>2316</v>
      </c>
    </row>
    <row r="2">
      <c r="E2" s="366" t="s">
        <v>2317</v>
      </c>
    </row>
    <row r="4">
      <c r="C4" s="367" t="s">
        <v>735</v>
      </c>
      <c r="D4" s="368" t="s">
        <v>2</v>
      </c>
      <c r="E4" s="368" t="s">
        <v>233</v>
      </c>
      <c r="F4" s="368" t="s">
        <v>4</v>
      </c>
      <c r="G4" s="368" t="s">
        <v>5</v>
      </c>
    </row>
    <row r="5">
      <c r="C5" s="369"/>
      <c r="D5" s="369"/>
      <c r="E5" s="369"/>
      <c r="F5" s="369"/>
      <c r="G5" s="369"/>
    </row>
    <row r="6">
      <c r="C6" s="370">
        <v>1.0</v>
      </c>
      <c r="D6" s="370" t="s">
        <v>6</v>
      </c>
      <c r="E6" s="370" t="s">
        <v>2318</v>
      </c>
      <c r="F6" s="370" t="s">
        <v>1456</v>
      </c>
      <c r="G6" s="371" t="str">
        <f t="shared" ref="G6:G10" si="1">CLEAN(E6)</f>
        <v>Hello   World</v>
      </c>
    </row>
    <row r="7">
      <c r="C7" s="371"/>
      <c r="D7" s="371"/>
      <c r="E7" s="370" t="s">
        <v>3</v>
      </c>
      <c r="F7" s="370" t="s">
        <v>1562</v>
      </c>
      <c r="G7" s="371" t="str">
        <f t="shared" si="1"/>
        <v>Data</v>
      </c>
    </row>
    <row r="8">
      <c r="C8" s="371"/>
      <c r="D8" s="371"/>
      <c r="E8" s="370" t="s">
        <v>609</v>
      </c>
      <c r="F8" s="370" t="s">
        <v>1459</v>
      </c>
      <c r="G8" s="371" t="str">
        <f t="shared" si="1"/>
        <v>Function</v>
      </c>
    </row>
    <row r="9">
      <c r="C9" s="371"/>
      <c r="D9" s="371"/>
      <c r="E9" s="370" t="s">
        <v>2319</v>
      </c>
      <c r="F9" s="370" t="s">
        <v>1564</v>
      </c>
      <c r="G9" s="371" t="str">
        <f t="shared" si="1"/>
        <v>Management         </v>
      </c>
    </row>
    <row r="10">
      <c r="C10" s="371"/>
      <c r="D10" s="371"/>
      <c r="E10" s="370" t="s">
        <v>2320</v>
      </c>
      <c r="F10" s="370" t="s">
        <v>1566</v>
      </c>
      <c r="G10" s="371" t="str">
        <f t="shared" si="1"/>
        <v>Ashish</v>
      </c>
    </row>
    <row r="11">
      <c r="C11" s="372"/>
      <c r="D11" s="372"/>
      <c r="E11" s="372"/>
      <c r="F11" s="372"/>
      <c r="G11" s="372"/>
    </row>
    <row r="12">
      <c r="C12" s="370">
        <v>2.0</v>
      </c>
      <c r="D12" s="370" t="s">
        <v>17</v>
      </c>
      <c r="E12" s="370" t="s">
        <v>238</v>
      </c>
      <c r="F12" s="370" t="s">
        <v>2321</v>
      </c>
      <c r="G12" s="371" t="str">
        <f>CONCAT(E13,E12)</f>
        <v>AshishARC</v>
      </c>
    </row>
    <row r="13">
      <c r="C13" s="371"/>
      <c r="D13" s="371"/>
      <c r="E13" s="370" t="s">
        <v>2320</v>
      </c>
      <c r="F13" s="371"/>
      <c r="G13" s="371"/>
    </row>
    <row r="14">
      <c r="C14" s="371"/>
      <c r="D14" s="371"/>
      <c r="E14" s="370" t="s">
        <v>1099</v>
      </c>
      <c r="F14" s="370" t="s">
        <v>2322</v>
      </c>
      <c r="G14" s="371" t="str">
        <f>CONCAT(E15,E14)</f>
        <v>Business Analyst</v>
      </c>
    </row>
    <row r="15">
      <c r="C15" s="371"/>
      <c r="D15" s="371"/>
      <c r="E15" s="370" t="s">
        <v>2323</v>
      </c>
      <c r="F15" s="371"/>
      <c r="G15" s="371"/>
    </row>
    <row r="16">
      <c r="C16" s="371"/>
      <c r="D16" s="371"/>
      <c r="E16" s="370" t="s">
        <v>1104</v>
      </c>
      <c r="F16" s="370" t="s">
        <v>2324</v>
      </c>
      <c r="G16" s="371" t="str">
        <f>CONCAT(E16,E17)</f>
        <v>Excel Data</v>
      </c>
    </row>
    <row r="17">
      <c r="C17" s="371"/>
      <c r="D17" s="371"/>
      <c r="E17" s="370" t="s">
        <v>3</v>
      </c>
      <c r="F17" s="371"/>
      <c r="G17" s="371"/>
    </row>
    <row r="18">
      <c r="C18" s="371"/>
      <c r="D18" s="371"/>
      <c r="E18" s="370" t="s">
        <v>2325</v>
      </c>
      <c r="F18" s="370" t="s">
        <v>2326</v>
      </c>
      <c r="G18" s="371" t="str">
        <f>CONCAT(E18,E19)</f>
        <v>Bonde patil</v>
      </c>
    </row>
    <row r="19">
      <c r="C19" s="371"/>
      <c r="D19" s="371"/>
      <c r="E19" s="370" t="s">
        <v>2327</v>
      </c>
      <c r="F19" s="371"/>
      <c r="G19" s="371"/>
    </row>
    <row r="20">
      <c r="C20" s="371"/>
      <c r="D20" s="371"/>
      <c r="E20" s="370" t="s">
        <v>2328</v>
      </c>
      <c r="F20" s="370" t="s">
        <v>2329</v>
      </c>
      <c r="G20" s="371" t="str">
        <f>CONCAT(E21,E20)</f>
        <v>GooglePhotos</v>
      </c>
    </row>
    <row r="21">
      <c r="C21" s="371"/>
      <c r="D21" s="371"/>
      <c r="E21" s="370" t="s">
        <v>2073</v>
      </c>
      <c r="F21" s="371"/>
      <c r="G21" s="371"/>
    </row>
    <row r="22">
      <c r="C22" s="371"/>
      <c r="D22" s="371"/>
      <c r="E22" s="371"/>
      <c r="F22" s="371"/>
      <c r="G22" s="371"/>
    </row>
    <row r="23">
      <c r="C23" s="370">
        <v>3.0</v>
      </c>
      <c r="D23" s="370" t="s">
        <v>44</v>
      </c>
      <c r="E23" s="370" t="s">
        <v>2320</v>
      </c>
      <c r="F23" s="370" t="s">
        <v>2330</v>
      </c>
      <c r="G23" s="371" t="b">
        <f>EXACT(E23,E24)</f>
        <v>0</v>
      </c>
    </row>
    <row r="24">
      <c r="C24" s="371"/>
      <c r="D24" s="371"/>
      <c r="E24" s="370" t="s">
        <v>238</v>
      </c>
      <c r="F24" s="371"/>
      <c r="G24" s="371"/>
    </row>
    <row r="25">
      <c r="C25" s="371"/>
      <c r="D25" s="371"/>
      <c r="E25" s="370" t="s">
        <v>801</v>
      </c>
      <c r="F25" s="370" t="s">
        <v>2331</v>
      </c>
      <c r="G25" s="371" t="b">
        <f>EXACT(E25,E26)</f>
        <v>0</v>
      </c>
    </row>
    <row r="26">
      <c r="C26" s="371"/>
      <c r="D26" s="371"/>
      <c r="E26" s="370" t="s">
        <v>2332</v>
      </c>
      <c r="F26" s="371"/>
      <c r="G26" s="371"/>
    </row>
    <row r="27">
      <c r="C27" s="371"/>
      <c r="D27" s="371"/>
      <c r="E27" s="370" t="s">
        <v>3</v>
      </c>
      <c r="F27" s="370" t="s">
        <v>2333</v>
      </c>
      <c r="G27" s="371" t="b">
        <f>EXACT(E27,E28)</f>
        <v>1</v>
      </c>
    </row>
    <row r="28">
      <c r="C28" s="371"/>
      <c r="D28" s="371"/>
      <c r="E28" s="370" t="s">
        <v>3</v>
      </c>
      <c r="F28" s="371"/>
      <c r="G28" s="371"/>
    </row>
    <row r="29">
      <c r="C29" s="371"/>
      <c r="D29" s="371"/>
      <c r="E29" s="370" t="s">
        <v>238</v>
      </c>
      <c r="F29" s="370" t="s">
        <v>1038</v>
      </c>
      <c r="G29" s="371" t="b">
        <f>EXACT(E29,E30)</f>
        <v>0</v>
      </c>
    </row>
    <row r="30">
      <c r="C30" s="371"/>
      <c r="D30" s="371"/>
      <c r="E30" s="370" t="s">
        <v>609</v>
      </c>
      <c r="F30" s="371"/>
      <c r="G30" s="371"/>
    </row>
    <row r="31">
      <c r="C31" s="371"/>
      <c r="D31" s="371"/>
      <c r="E31" s="370" t="s">
        <v>238</v>
      </c>
      <c r="F31" s="370" t="s">
        <v>2334</v>
      </c>
      <c r="G31" s="371" t="b">
        <f>EXACT(E31,E32)</f>
        <v>1</v>
      </c>
    </row>
    <row r="32">
      <c r="C32" s="371"/>
      <c r="D32" s="371"/>
      <c r="E32" s="370" t="s">
        <v>238</v>
      </c>
      <c r="F32" s="371"/>
      <c r="G32" s="371"/>
    </row>
    <row r="33">
      <c r="C33" s="371"/>
      <c r="D33" s="371"/>
      <c r="E33" s="371"/>
      <c r="F33" s="371"/>
      <c r="G33" s="371"/>
    </row>
    <row r="34">
      <c r="C34" s="370">
        <v>4.0</v>
      </c>
      <c r="D34" s="370" t="s">
        <v>33</v>
      </c>
      <c r="E34" s="370" t="s">
        <v>2335</v>
      </c>
      <c r="F34" s="370" t="s">
        <v>2336</v>
      </c>
      <c r="G34" s="371">
        <f>FIND("A",E34)</f>
        <v>1</v>
      </c>
    </row>
    <row r="35">
      <c r="C35" s="371"/>
      <c r="D35" s="371"/>
      <c r="E35" s="370" t="s">
        <v>2337</v>
      </c>
      <c r="F35" s="370" t="s">
        <v>2338</v>
      </c>
      <c r="G35" s="371">
        <f>FIND("W",E35)</f>
        <v>8</v>
      </c>
    </row>
    <row r="36">
      <c r="C36" s="371"/>
      <c r="D36" s="371"/>
      <c r="E36" s="370" t="s">
        <v>2339</v>
      </c>
      <c r="F36" s="370" t="s">
        <v>2340</v>
      </c>
      <c r="G36" s="371">
        <f>FIND("m",E36)</f>
        <v>6</v>
      </c>
    </row>
    <row r="37">
      <c r="C37" s="371"/>
      <c r="D37" s="371"/>
      <c r="E37" s="370" t="s">
        <v>2341</v>
      </c>
      <c r="F37" s="370" t="s">
        <v>2342</v>
      </c>
      <c r="G37" s="371">
        <f>FIND("B",E37)</f>
        <v>8</v>
      </c>
    </row>
    <row r="38">
      <c r="C38" s="371"/>
      <c r="D38" s="371"/>
      <c r="E38" s="370" t="s">
        <v>2343</v>
      </c>
      <c r="F38" s="370" t="s">
        <v>2344</v>
      </c>
      <c r="G38" s="371">
        <f>FIND("c",E38)</f>
        <v>3</v>
      </c>
    </row>
    <row r="39">
      <c r="C39" s="371"/>
      <c r="D39" s="371"/>
      <c r="E39" s="371"/>
      <c r="F39" s="371"/>
      <c r="G39" s="371"/>
    </row>
    <row r="40">
      <c r="C40" s="370">
        <v>5.0</v>
      </c>
      <c r="D40" s="370" t="s">
        <v>57</v>
      </c>
      <c r="E40" s="370" t="s">
        <v>2345</v>
      </c>
      <c r="F40" s="370" t="s">
        <v>2346</v>
      </c>
      <c r="G40" s="371" t="str">
        <f>LEFT(E40,"5")</f>
        <v>Ashis</v>
      </c>
    </row>
    <row r="41">
      <c r="C41" s="371"/>
      <c r="D41" s="371"/>
      <c r="E41" s="370" t="s">
        <v>2347</v>
      </c>
      <c r="F41" s="370" t="s">
        <v>2348</v>
      </c>
      <c r="G41" s="371" t="str">
        <f>LEFT(E41,"10")</f>
        <v>Manage-Sto</v>
      </c>
    </row>
    <row r="42">
      <c r="C42" s="371"/>
      <c r="D42" s="371"/>
      <c r="E42" s="370" t="s">
        <v>2349</v>
      </c>
      <c r="F42" s="370" t="s">
        <v>2350</v>
      </c>
      <c r="G42" s="371" t="str">
        <f>LEFT(E42,"3")</f>
        <v>Pro</v>
      </c>
    </row>
    <row r="43">
      <c r="C43" s="371"/>
      <c r="D43" s="371"/>
      <c r="E43" s="370" t="s">
        <v>2351</v>
      </c>
      <c r="F43" s="370" t="s">
        <v>2352</v>
      </c>
      <c r="G43" s="371" t="str">
        <f>LEFT(E43,"7")</f>
        <v>Format-</v>
      </c>
    </row>
    <row r="44">
      <c r="C44" s="371"/>
      <c r="D44" s="371"/>
      <c r="E44" s="370" t="s">
        <v>2353</v>
      </c>
      <c r="F44" s="370" t="s">
        <v>2354</v>
      </c>
      <c r="G44" s="371" t="str">
        <f>LEFT(E44,"12")</f>
        <v>Clean-Functi</v>
      </c>
    </row>
    <row r="45">
      <c r="C45" s="371"/>
      <c r="D45" s="371"/>
      <c r="E45" s="371"/>
      <c r="F45" s="371"/>
      <c r="G45" s="371"/>
    </row>
    <row r="46">
      <c r="C46" s="370">
        <v>6.0</v>
      </c>
      <c r="D46" s="370" t="s">
        <v>68</v>
      </c>
      <c r="E46" s="370" t="s">
        <v>2355</v>
      </c>
      <c r="F46" s="370" t="s">
        <v>1056</v>
      </c>
      <c r="G46" s="371">
        <f t="shared" ref="G46:G50" si="2">LEN(E46)</f>
        <v>11</v>
      </c>
    </row>
    <row r="47">
      <c r="C47" s="371"/>
      <c r="D47" s="371"/>
      <c r="E47" s="370" t="s">
        <v>2316</v>
      </c>
      <c r="F47" s="370" t="s">
        <v>1057</v>
      </c>
      <c r="G47" s="371">
        <f t="shared" si="2"/>
        <v>12</v>
      </c>
    </row>
    <row r="48">
      <c r="C48" s="371"/>
      <c r="D48" s="371"/>
      <c r="E48" s="370" t="s">
        <v>2356</v>
      </c>
      <c r="F48" s="370" t="s">
        <v>1058</v>
      </c>
      <c r="G48" s="371">
        <f t="shared" si="2"/>
        <v>13</v>
      </c>
    </row>
    <row r="49">
      <c r="C49" s="371"/>
      <c r="D49" s="371"/>
      <c r="E49" s="370" t="s">
        <v>2357</v>
      </c>
      <c r="F49" s="370" t="s">
        <v>1614</v>
      </c>
      <c r="G49" s="371">
        <f t="shared" si="2"/>
        <v>8</v>
      </c>
    </row>
    <row r="50">
      <c r="C50" s="371"/>
      <c r="D50" s="371"/>
      <c r="E50" s="370" t="s">
        <v>2358</v>
      </c>
      <c r="F50" s="370" t="s">
        <v>1616</v>
      </c>
      <c r="G50" s="371">
        <f t="shared" si="2"/>
        <v>9</v>
      </c>
    </row>
    <row r="51">
      <c r="C51" s="371"/>
      <c r="D51" s="371"/>
      <c r="E51" s="371"/>
      <c r="F51" s="371"/>
      <c r="G51" s="371"/>
    </row>
    <row r="52">
      <c r="C52" s="370">
        <v>7.0</v>
      </c>
      <c r="D52" s="370" t="s">
        <v>79</v>
      </c>
      <c r="E52" s="370" t="s">
        <v>2359</v>
      </c>
      <c r="F52" s="370" t="s">
        <v>1063</v>
      </c>
      <c r="G52" s="371" t="str">
        <f t="shared" ref="G52:G56" si="3">LOWER(E52)</f>
        <v>function</v>
      </c>
    </row>
    <row r="53">
      <c r="C53" s="371"/>
      <c r="D53" s="371"/>
      <c r="E53" s="370" t="s">
        <v>2360</v>
      </c>
      <c r="F53" s="370" t="s">
        <v>1065</v>
      </c>
      <c r="G53" s="371" t="str">
        <f t="shared" si="3"/>
        <v>database</v>
      </c>
    </row>
    <row r="54">
      <c r="C54" s="371"/>
      <c r="D54" s="371"/>
      <c r="E54" s="370" t="s">
        <v>2361</v>
      </c>
      <c r="F54" s="370" t="s">
        <v>1067</v>
      </c>
      <c r="G54" s="371" t="str">
        <f t="shared" si="3"/>
        <v>functions</v>
      </c>
    </row>
    <row r="55">
      <c r="C55" s="371"/>
      <c r="D55" s="371"/>
      <c r="E55" s="370" t="s">
        <v>2362</v>
      </c>
      <c r="F55" s="370" t="s">
        <v>2083</v>
      </c>
      <c r="G55" s="371" t="str">
        <f t="shared" si="3"/>
        <v>ashish</v>
      </c>
    </row>
    <row r="56">
      <c r="C56" s="371"/>
      <c r="D56" s="371"/>
      <c r="E56" s="370" t="s">
        <v>2363</v>
      </c>
      <c r="F56" s="370" t="s">
        <v>1754</v>
      </c>
      <c r="G56" s="371" t="str">
        <f t="shared" si="3"/>
        <v>bonde patil</v>
      </c>
    </row>
    <row r="57">
      <c r="C57" s="371"/>
      <c r="D57" s="371"/>
      <c r="E57" s="371"/>
      <c r="F57" s="371"/>
      <c r="G57" s="371"/>
    </row>
    <row r="58">
      <c r="C58" s="370">
        <v>8.0</v>
      </c>
      <c r="D58" s="370" t="s">
        <v>134</v>
      </c>
      <c r="E58" s="370" t="s">
        <v>2364</v>
      </c>
      <c r="F58" s="370" t="s">
        <v>1070</v>
      </c>
      <c r="G58" s="371" t="str">
        <f t="shared" ref="G58:G62" si="4">UPPER(E58)</f>
        <v>STORAGE</v>
      </c>
    </row>
    <row r="59">
      <c r="C59" s="371"/>
      <c r="D59" s="371"/>
      <c r="E59" s="370" t="s">
        <v>259</v>
      </c>
      <c r="F59" s="370" t="s">
        <v>1071</v>
      </c>
      <c r="G59" s="371" t="str">
        <f t="shared" si="4"/>
        <v>EXCEL</v>
      </c>
    </row>
    <row r="60">
      <c r="C60" s="371"/>
      <c r="D60" s="371"/>
      <c r="E60" s="370" t="s">
        <v>2365</v>
      </c>
      <c r="F60" s="370" t="s">
        <v>1072</v>
      </c>
      <c r="G60" s="371" t="str">
        <f t="shared" si="4"/>
        <v>TELEGRAM</v>
      </c>
    </row>
    <row r="61">
      <c r="C61" s="371"/>
      <c r="D61" s="371"/>
      <c r="E61" s="370" t="s">
        <v>2366</v>
      </c>
      <c r="F61" s="370" t="s">
        <v>2367</v>
      </c>
      <c r="G61" s="371" t="str">
        <f t="shared" si="4"/>
        <v>MICROSOFT</v>
      </c>
    </row>
    <row r="62">
      <c r="C62" s="371"/>
      <c r="D62" s="371"/>
      <c r="E62" s="370" t="s">
        <v>2368</v>
      </c>
      <c r="F62" s="370" t="s">
        <v>1759</v>
      </c>
      <c r="G62" s="371" t="str">
        <f t="shared" si="4"/>
        <v>INSTAGRAM</v>
      </c>
    </row>
    <row r="63">
      <c r="C63" s="371"/>
      <c r="D63" s="371"/>
      <c r="E63" s="371"/>
      <c r="F63" s="371"/>
      <c r="G63" s="371"/>
    </row>
    <row r="64">
      <c r="C64" s="370">
        <v>9.0</v>
      </c>
      <c r="D64" s="370" t="s">
        <v>112</v>
      </c>
      <c r="E64" s="370" t="s">
        <v>2369</v>
      </c>
      <c r="F64" s="370" t="s">
        <v>2370</v>
      </c>
      <c r="G64" s="371" t="str">
        <f>REPLACE(E64,3,4,"Data")</f>
        <v>GoData Storage</v>
      </c>
    </row>
    <row r="65">
      <c r="C65" s="371"/>
      <c r="D65" s="371"/>
      <c r="E65" s="370" t="s">
        <v>2368</v>
      </c>
      <c r="F65" s="370" t="s">
        <v>2371</v>
      </c>
      <c r="G65" s="371" t="str">
        <f>REPLACE(E65,5,1,"Charge")</f>
        <v>InstChargegram</v>
      </c>
    </row>
    <row r="66">
      <c r="C66" s="371"/>
      <c r="D66" s="371"/>
      <c r="E66" s="370" t="s">
        <v>2372</v>
      </c>
      <c r="F66" s="370" t="s">
        <v>2373</v>
      </c>
      <c r="G66" s="371" t="str">
        <f>REPLACE(E66,10,4,"port")</f>
        <v>Microsoftporte</v>
      </c>
    </row>
    <row r="67">
      <c r="C67" s="371"/>
      <c r="D67" s="371"/>
      <c r="E67" s="370" t="s">
        <v>2316</v>
      </c>
      <c r="F67" s="370" t="s">
        <v>2374</v>
      </c>
      <c r="G67" s="371" t="str">
        <f>REPLACE(E67,7,6,"Patill")</f>
        <v>AshishPatill</v>
      </c>
    </row>
    <row r="68">
      <c r="C68" s="371"/>
      <c r="D68" s="371"/>
      <c r="E68" s="370" t="s">
        <v>2366</v>
      </c>
      <c r="F68" s="370" t="s">
        <v>2375</v>
      </c>
      <c r="G68" s="371" t="str">
        <f>REPLACE(E68,5,1,"data")</f>
        <v>Micrdatasoft</v>
      </c>
    </row>
    <row r="69">
      <c r="C69" s="371"/>
      <c r="D69" s="371"/>
      <c r="E69" s="371"/>
      <c r="F69" s="371"/>
      <c r="G69" s="371"/>
    </row>
    <row r="70">
      <c r="C70" s="370">
        <v>10.0</v>
      </c>
      <c r="D70" s="370" t="s">
        <v>90</v>
      </c>
      <c r="E70" s="370" t="s">
        <v>1169</v>
      </c>
      <c r="F70" s="370" t="s">
        <v>2376</v>
      </c>
      <c r="G70" s="371" t="str">
        <f>MID(E70,3,7)</f>
        <v>cel Dat</v>
      </c>
    </row>
    <row r="71">
      <c r="C71" s="371"/>
      <c r="D71" s="371"/>
      <c r="E71" s="370" t="s">
        <v>2377</v>
      </c>
      <c r="F71" s="370" t="s">
        <v>2376</v>
      </c>
      <c r="G71" s="371" t="str">
        <f>MID(E71,2,7)</f>
        <v>anageme</v>
      </c>
    </row>
    <row r="72">
      <c r="C72" s="371"/>
      <c r="D72" s="371"/>
      <c r="E72" s="370" t="s">
        <v>2320</v>
      </c>
      <c r="F72" s="370" t="s">
        <v>2378</v>
      </c>
      <c r="G72" s="371" t="str">
        <f>MID(E72,1,4)</f>
        <v>Ashi</v>
      </c>
    </row>
    <row r="73">
      <c r="C73" s="371"/>
      <c r="D73" s="371"/>
      <c r="E73" s="370" t="s">
        <v>2379</v>
      </c>
      <c r="F73" s="370" t="s">
        <v>2380</v>
      </c>
      <c r="G73" s="371" t="str">
        <f>MID(E73,2,5)</f>
        <v>rive</v>
      </c>
    </row>
    <row r="74">
      <c r="C74" s="371"/>
      <c r="D74" s="371"/>
      <c r="E74" s="370" t="s">
        <v>2381</v>
      </c>
      <c r="F74" s="370" t="s">
        <v>2382</v>
      </c>
      <c r="G74" s="371" t="str">
        <f>MID(E74,4,6)</f>
        <v>rage </v>
      </c>
    </row>
    <row r="75">
      <c r="C75" s="371"/>
      <c r="D75" s="371"/>
      <c r="E75" s="371"/>
      <c r="F75" s="371"/>
      <c r="G75" s="371"/>
    </row>
    <row r="76">
      <c r="C76" s="370">
        <v>11.0</v>
      </c>
      <c r="D76" s="370" t="s">
        <v>123</v>
      </c>
      <c r="E76" s="370" t="s">
        <v>2383</v>
      </c>
      <c r="F76" s="370" t="s">
        <v>2384</v>
      </c>
      <c r="G76" s="371" t="str">
        <f>RIGHT(E76,6)</f>
        <v> Patil</v>
      </c>
    </row>
    <row r="77">
      <c r="C77" s="371"/>
      <c r="D77" s="371"/>
      <c r="E77" s="370" t="s">
        <v>2385</v>
      </c>
      <c r="F77" s="370" t="s">
        <v>2386</v>
      </c>
      <c r="G77" s="371" t="str">
        <f>RIGHT(E77,12)</f>
        <v>ature Review</v>
      </c>
    </row>
    <row r="78">
      <c r="C78" s="371"/>
      <c r="D78" s="371"/>
      <c r="E78" s="370" t="s">
        <v>2387</v>
      </c>
      <c r="F78" s="370" t="s">
        <v>2388</v>
      </c>
      <c r="G78" s="371" t="str">
        <f>RIGHT(E78,7)</f>
        <v>rporate</v>
      </c>
    </row>
    <row r="79">
      <c r="C79" s="371"/>
      <c r="D79" s="371"/>
      <c r="E79" s="370" t="s">
        <v>1112</v>
      </c>
      <c r="F79" s="370" t="s">
        <v>2389</v>
      </c>
      <c r="G79" s="371" t="str">
        <f t="shared" ref="G79:G80" si="5">RIGHT(E79,4)</f>
        <v>oyee</v>
      </c>
    </row>
    <row r="80">
      <c r="C80" s="371"/>
      <c r="D80" s="371"/>
      <c r="E80" s="370" t="s">
        <v>2390</v>
      </c>
      <c r="F80" s="370" t="s">
        <v>2391</v>
      </c>
      <c r="G80" s="371" t="str">
        <f t="shared" si="5"/>
        <v>tube</v>
      </c>
    </row>
    <row r="81">
      <c r="C81" s="371"/>
      <c r="D81" s="371"/>
      <c r="E81" s="371"/>
      <c r="F81" s="371"/>
      <c r="G81" s="371"/>
    </row>
    <row r="82">
      <c r="C82" s="370">
        <v>12.0</v>
      </c>
      <c r="D82" s="370" t="s">
        <v>873</v>
      </c>
      <c r="E82" s="370" t="s">
        <v>45</v>
      </c>
      <c r="F82" s="370" t="s">
        <v>2392</v>
      </c>
      <c r="G82" s="371">
        <f>SEARCH("n",E82)</f>
        <v>3</v>
      </c>
    </row>
    <row r="83">
      <c r="C83" s="371"/>
      <c r="D83" s="371"/>
      <c r="E83" s="370" t="s">
        <v>712</v>
      </c>
      <c r="F83" s="370" t="s">
        <v>2393</v>
      </c>
      <c r="G83" s="371">
        <f>SEARCH("a",E83)</f>
        <v>2</v>
      </c>
    </row>
    <row r="84">
      <c r="C84" s="371"/>
      <c r="D84" s="371"/>
      <c r="E84" s="370" t="s">
        <v>2394</v>
      </c>
      <c r="F84" s="370" t="s">
        <v>2395</v>
      </c>
      <c r="G84" s="371">
        <f>SEARCH("C",E84)</f>
        <v>1</v>
      </c>
    </row>
    <row r="85">
      <c r="C85" s="371"/>
      <c r="D85" s="371"/>
      <c r="E85" s="370" t="s">
        <v>2396</v>
      </c>
      <c r="F85" s="370" t="s">
        <v>2397</v>
      </c>
      <c r="G85" s="371">
        <f>SEARCH("d",E85)</f>
        <v>7</v>
      </c>
    </row>
    <row r="86">
      <c r="C86" s="371"/>
      <c r="D86" s="371"/>
      <c r="E86" s="370" t="s">
        <v>2387</v>
      </c>
      <c r="F86" s="370" t="s">
        <v>2398</v>
      </c>
      <c r="G86" s="371">
        <f>SEARCH("r",E86)</f>
        <v>3</v>
      </c>
    </row>
    <row r="87">
      <c r="C87" s="371"/>
      <c r="D87" s="371"/>
      <c r="E87" s="371"/>
      <c r="F87" s="371"/>
      <c r="G87" s="371"/>
    </row>
    <row r="88">
      <c r="C88" s="370">
        <v>13.0</v>
      </c>
      <c r="D88" s="370" t="s">
        <v>2186</v>
      </c>
      <c r="E88" s="370" t="s">
        <v>2399</v>
      </c>
      <c r="F88" s="370" t="s">
        <v>2400</v>
      </c>
      <c r="G88" s="371" t="str">
        <f>SUBSTITUTE(E88,"Tea","Coffie")</f>
        <v>I like Coffie</v>
      </c>
    </row>
    <row r="89">
      <c r="C89" s="371"/>
      <c r="D89" s="371"/>
      <c r="E89" s="370" t="s">
        <v>2316</v>
      </c>
      <c r="F89" s="370" t="s">
        <v>2401</v>
      </c>
      <c r="G89" s="371" t="str">
        <f>SUBSTITUTE(E89,"Bonde","Patil")</f>
        <v>Ashish Patil</v>
      </c>
    </row>
    <row r="90">
      <c r="C90" s="371"/>
      <c r="D90" s="371"/>
      <c r="E90" s="370" t="s">
        <v>2402</v>
      </c>
      <c r="F90" s="370" t="s">
        <v>2403</v>
      </c>
      <c r="G90" s="371" t="str">
        <f>SUBSTITUTE(E90,"Business","Data")</f>
        <v>Data Analyst</v>
      </c>
    </row>
    <row r="91">
      <c r="C91" s="371"/>
      <c r="D91" s="371"/>
      <c r="E91" s="370" t="s">
        <v>2404</v>
      </c>
      <c r="F91" s="370" t="s">
        <v>2405</v>
      </c>
      <c r="G91" s="371" t="str">
        <f>SUBSTITUTE(E91,"Management","Base")</f>
        <v>Data Base</v>
      </c>
    </row>
    <row r="92">
      <c r="C92" s="371"/>
      <c r="D92" s="371"/>
      <c r="E92" s="370" t="s">
        <v>2219</v>
      </c>
      <c r="F92" s="370" t="s">
        <v>2406</v>
      </c>
      <c r="G92" s="371" t="str">
        <f>SUBSTITUTE(E92,"Orange","Nagpur")</f>
        <v>Nagpur City</v>
      </c>
    </row>
    <row r="94">
      <c r="C94" s="1"/>
      <c r="D94" s="1"/>
      <c r="E94" s="1"/>
    </row>
  </sheetData>
  <hyperlinks>
    <hyperlink r:id="rId1" ref="C4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5" max="5" width="18.25"/>
    <col customWidth="1" min="6" max="6" width="34.63"/>
    <col customWidth="1" min="7" max="7" width="15.5"/>
  </cols>
  <sheetData>
    <row r="1">
      <c r="A1" s="1" t="s">
        <v>2407</v>
      </c>
    </row>
    <row r="5">
      <c r="C5" s="373" t="s">
        <v>2110</v>
      </c>
      <c r="D5" s="373" t="s">
        <v>2</v>
      </c>
      <c r="E5" s="373" t="s">
        <v>233</v>
      </c>
      <c r="F5" s="373" t="s">
        <v>4</v>
      </c>
      <c r="G5" s="373" t="s">
        <v>5</v>
      </c>
    </row>
    <row r="6">
      <c r="C6" s="374"/>
      <c r="D6" s="374"/>
      <c r="E6" s="374"/>
      <c r="F6" s="374"/>
      <c r="G6" s="374"/>
    </row>
    <row r="7">
      <c r="C7" s="375">
        <v>1.0</v>
      </c>
      <c r="D7" s="375" t="s">
        <v>2408</v>
      </c>
      <c r="E7" s="375" t="s">
        <v>2409</v>
      </c>
      <c r="F7" s="375" t="s">
        <v>2410</v>
      </c>
      <c r="G7" s="374">
        <f>FIND("N",E7,4)</f>
        <v>6</v>
      </c>
    </row>
    <row r="8">
      <c r="C8" s="374"/>
      <c r="D8" s="374"/>
      <c r="E8" s="375" t="s">
        <v>2411</v>
      </c>
      <c r="F8" s="375" t="s">
        <v>2412</v>
      </c>
      <c r="G8" s="374">
        <f>FIND("L",E8,2)</f>
        <v>5</v>
      </c>
    </row>
    <row r="9">
      <c r="C9" s="374"/>
      <c r="D9" s="374"/>
      <c r="E9" s="375" t="s">
        <v>2413</v>
      </c>
      <c r="F9" s="375" t="s">
        <v>2414</v>
      </c>
      <c r="G9" s="374">
        <f>FIND("N",E9,1)</f>
        <v>2</v>
      </c>
    </row>
    <row r="10">
      <c r="C10" s="374"/>
      <c r="D10" s="374"/>
      <c r="E10" s="375" t="s">
        <v>2415</v>
      </c>
      <c r="F10" s="375" t="s">
        <v>2416</v>
      </c>
      <c r="G10" s="374">
        <f>FIND("R",E10,2)</f>
        <v>3</v>
      </c>
    </row>
    <row r="11">
      <c r="C11" s="374"/>
      <c r="D11" s="374"/>
      <c r="E11" s="375" t="s">
        <v>2417</v>
      </c>
      <c r="F11" s="375" t="s">
        <v>2418</v>
      </c>
      <c r="G11" s="374">
        <f>FIND("L",E11,2)</f>
        <v>9</v>
      </c>
    </row>
    <row r="12">
      <c r="C12" s="374"/>
      <c r="D12" s="374"/>
      <c r="E12" s="374"/>
      <c r="F12" s="374"/>
      <c r="G12" s="374"/>
    </row>
    <row r="13">
      <c r="C13" s="375">
        <v>2.0</v>
      </c>
      <c r="D13" s="375" t="s">
        <v>44</v>
      </c>
      <c r="E13" s="375" t="s">
        <v>2419</v>
      </c>
      <c r="F13" s="375" t="s">
        <v>2420</v>
      </c>
      <c r="G13" s="374" t="b">
        <f>EXACT(E13,E14)</f>
        <v>0</v>
      </c>
    </row>
    <row r="14">
      <c r="C14" s="374"/>
      <c r="D14" s="375"/>
      <c r="E14" s="375" t="s">
        <v>2421</v>
      </c>
      <c r="F14" s="374"/>
      <c r="G14" s="374"/>
    </row>
    <row r="15">
      <c r="C15" s="374"/>
      <c r="D15" s="374"/>
      <c r="E15" s="375" t="s">
        <v>768</v>
      </c>
      <c r="F15" s="375" t="s">
        <v>2422</v>
      </c>
      <c r="G15" s="374" t="b">
        <f>EXACT(E15,E16)</f>
        <v>0</v>
      </c>
    </row>
    <row r="16">
      <c r="C16" s="374"/>
      <c r="D16" s="374"/>
      <c r="E16" s="375" t="s">
        <v>2423</v>
      </c>
      <c r="F16" s="374"/>
      <c r="G16" s="374"/>
    </row>
    <row r="17">
      <c r="C17" s="374"/>
      <c r="D17" s="374"/>
      <c r="E17" s="375" t="s">
        <v>2424</v>
      </c>
      <c r="F17" s="375" t="s">
        <v>2425</v>
      </c>
      <c r="G17" s="374" t="b">
        <f>EXACT(E17,E18)</f>
        <v>1</v>
      </c>
    </row>
    <row r="18">
      <c r="C18" s="374"/>
      <c r="D18" s="374"/>
      <c r="E18" s="375" t="s">
        <v>2424</v>
      </c>
      <c r="F18" s="374"/>
      <c r="G18" s="374"/>
    </row>
    <row r="19">
      <c r="C19" s="374"/>
      <c r="D19" s="374"/>
      <c r="E19" s="375" t="s">
        <v>2426</v>
      </c>
      <c r="F19" s="375" t="s">
        <v>2427</v>
      </c>
      <c r="G19" s="374" t="b">
        <f>EXACT(E19,E20)</f>
        <v>1</v>
      </c>
    </row>
    <row r="20">
      <c r="C20" s="374"/>
      <c r="D20" s="374"/>
      <c r="E20" s="375" t="s">
        <v>2426</v>
      </c>
      <c r="F20" s="374"/>
      <c r="G20" s="374"/>
    </row>
    <row r="21">
      <c r="C21" s="374"/>
      <c r="D21" s="374"/>
      <c r="E21" s="375" t="s">
        <v>2428</v>
      </c>
      <c r="F21" s="375" t="s">
        <v>2429</v>
      </c>
      <c r="G21" s="374" t="b">
        <f>EXACT(E21,E22)</f>
        <v>0</v>
      </c>
    </row>
    <row r="22">
      <c r="C22" s="374"/>
      <c r="D22" s="374"/>
      <c r="E22" s="375" t="s">
        <v>2430</v>
      </c>
      <c r="F22" s="374"/>
      <c r="G22" s="374"/>
    </row>
    <row r="23">
      <c r="C23" s="374"/>
      <c r="D23" s="374"/>
      <c r="E23" s="374"/>
      <c r="F23" s="374"/>
      <c r="G23" s="374"/>
    </row>
    <row r="24">
      <c r="C24" s="375">
        <v>3.0</v>
      </c>
      <c r="D24" s="375" t="s">
        <v>17</v>
      </c>
      <c r="E24" s="375" t="s">
        <v>2431</v>
      </c>
      <c r="F24" s="375" t="s">
        <v>2432</v>
      </c>
      <c r="G24" s="374" t="str">
        <f>CONCAT(E24,E25)</f>
        <v>I have Laptop</v>
      </c>
    </row>
    <row r="25">
      <c r="C25" s="374"/>
      <c r="D25" s="374"/>
      <c r="E25" s="375" t="s">
        <v>630</v>
      </c>
      <c r="F25" s="374"/>
      <c r="G25" s="374"/>
    </row>
    <row r="26">
      <c r="C26" s="374"/>
      <c r="D26" s="374"/>
      <c r="E26" s="375" t="s">
        <v>2433</v>
      </c>
      <c r="F26" s="375" t="s">
        <v>2434</v>
      </c>
      <c r="G26" s="374" t="str">
        <f>CONCAT(E26,E27)</f>
        <v>Legpress -110</v>
      </c>
    </row>
    <row r="27">
      <c r="C27" s="374"/>
      <c r="D27" s="374"/>
      <c r="E27" s="375">
        <v>110.0</v>
      </c>
      <c r="F27" s="374"/>
      <c r="G27" s="374"/>
    </row>
    <row r="28">
      <c r="C28" s="374"/>
      <c r="D28" s="374"/>
      <c r="E28" s="375" t="s">
        <v>598</v>
      </c>
      <c r="F28" s="375" t="s">
        <v>2435</v>
      </c>
      <c r="G28" s="374" t="str">
        <f>CONCAT(E28,E29)</f>
        <v>excelsheet</v>
      </c>
    </row>
    <row r="29">
      <c r="C29" s="374"/>
      <c r="D29" s="374"/>
      <c r="E29" s="375" t="s">
        <v>1695</v>
      </c>
      <c r="F29" s="374"/>
      <c r="G29" s="374"/>
    </row>
    <row r="30">
      <c r="C30" s="374"/>
      <c r="D30" s="374"/>
      <c r="E30" s="375" t="s">
        <v>2436</v>
      </c>
      <c r="F30" s="375" t="s">
        <v>2437</v>
      </c>
      <c r="G30" s="374" t="str">
        <f>CONCAT(E30,E31)</f>
        <v>Saved to Drive</v>
      </c>
    </row>
    <row r="31">
      <c r="C31" s="374"/>
      <c r="D31" s="374"/>
      <c r="E31" s="375" t="s">
        <v>2379</v>
      </c>
      <c r="F31" s="374"/>
      <c r="G31" s="374"/>
    </row>
    <row r="32">
      <c r="C32" s="374"/>
      <c r="D32" s="374"/>
      <c r="E32" s="375" t="s">
        <v>2438</v>
      </c>
      <c r="F32" s="375" t="s">
        <v>2439</v>
      </c>
      <c r="G32" s="374" t="str">
        <f>CONCAT(E32,E33)</f>
        <v>extensions 18</v>
      </c>
    </row>
    <row r="33">
      <c r="C33" s="374"/>
      <c r="D33" s="374"/>
      <c r="E33" s="375">
        <v>18.0</v>
      </c>
      <c r="F33" s="374"/>
      <c r="G33" s="374"/>
    </row>
    <row r="34">
      <c r="C34" s="374"/>
      <c r="D34" s="374"/>
      <c r="E34" s="374"/>
      <c r="F34" s="374"/>
      <c r="G34" s="374"/>
    </row>
    <row r="35">
      <c r="C35" s="375">
        <v>4.0</v>
      </c>
      <c r="D35" s="375" t="s">
        <v>57</v>
      </c>
      <c r="E35" s="375" t="s">
        <v>1099</v>
      </c>
      <c r="F35" s="375" t="s">
        <v>2440</v>
      </c>
      <c r="G35" s="374" t="str">
        <f>LEFT(E35,4)</f>
        <v>Anal</v>
      </c>
    </row>
    <row r="36">
      <c r="C36" s="374"/>
      <c r="D36" s="374"/>
      <c r="E36" s="375" t="s">
        <v>2441</v>
      </c>
      <c r="F36" s="375" t="s">
        <v>2442</v>
      </c>
      <c r="G36" s="374" t="str">
        <f>LEFT(E36,5)</f>
        <v>Netwo</v>
      </c>
    </row>
    <row r="37">
      <c r="C37" s="374"/>
      <c r="D37" s="374"/>
      <c r="E37" s="375" t="s">
        <v>2443</v>
      </c>
      <c r="F37" s="375" t="s">
        <v>2444</v>
      </c>
      <c r="G37" s="374" t="str">
        <f>LEFT(E37,4)</f>
        <v>Wood</v>
      </c>
    </row>
    <row r="38">
      <c r="C38" s="374"/>
      <c r="D38" s="374"/>
      <c r="E38" s="375" t="s">
        <v>2445</v>
      </c>
      <c r="F38" s="375" t="s">
        <v>2446</v>
      </c>
      <c r="G38" s="374" t="str">
        <f>LEFT(E38,11)</f>
        <v>Reasonable-</v>
      </c>
    </row>
    <row r="39">
      <c r="C39" s="374"/>
      <c r="D39" s="374"/>
      <c r="E39" s="375" t="s">
        <v>2447</v>
      </c>
      <c r="F39" s="375" t="s">
        <v>807</v>
      </c>
      <c r="G39" s="374" t="str">
        <f>LEFT(E39,5)</f>
        <v>Arc-A</v>
      </c>
    </row>
    <row r="40">
      <c r="C40" s="374"/>
      <c r="D40" s="374"/>
      <c r="E40" s="374"/>
      <c r="F40" s="374"/>
      <c r="G40" s="374"/>
    </row>
    <row r="41">
      <c r="C41" s="375">
        <v>5.0</v>
      </c>
      <c r="D41" s="375" t="s">
        <v>123</v>
      </c>
      <c r="E41" s="375" t="s">
        <v>2448</v>
      </c>
      <c r="F41" s="375" t="s">
        <v>2449</v>
      </c>
      <c r="G41" s="374" t="str">
        <f t="shared" ref="G41:G42" si="1">RIGHT(E41,8)</f>
        <v> Manvate</v>
      </c>
    </row>
    <row r="42">
      <c r="C42" s="374"/>
      <c r="D42" s="374"/>
      <c r="E42" s="375" t="s">
        <v>2450</v>
      </c>
      <c r="F42" s="375" t="s">
        <v>2451</v>
      </c>
      <c r="G42" s="374" t="str">
        <f t="shared" si="1"/>
        <v>-Classes</v>
      </c>
    </row>
    <row r="43">
      <c r="C43" s="374"/>
      <c r="D43" s="374"/>
      <c r="E43" s="375" t="s">
        <v>2452</v>
      </c>
      <c r="F43" s="375" t="s">
        <v>2453</v>
      </c>
      <c r="G43" s="374" t="str">
        <f>RIGHT(E43,6)</f>
        <v> x 100</v>
      </c>
    </row>
    <row r="44">
      <c r="C44" s="374"/>
      <c r="D44" s="374"/>
      <c r="E44" s="375" t="s">
        <v>2454</v>
      </c>
      <c r="F44" s="375" t="s">
        <v>815</v>
      </c>
      <c r="G44" s="374" t="str">
        <f>RIGHT(E44,4)</f>
        <v>mini</v>
      </c>
    </row>
    <row r="45">
      <c r="C45" s="374"/>
      <c r="D45" s="374"/>
      <c r="E45" s="375" t="s">
        <v>2455</v>
      </c>
      <c r="F45" s="375" t="s">
        <v>2456</v>
      </c>
      <c r="G45" s="374" t="str">
        <f>RIGHT(E45,7)</f>
        <v>le-Beta</v>
      </c>
    </row>
    <row r="46">
      <c r="C46" s="374"/>
      <c r="D46" s="374"/>
      <c r="E46" s="375"/>
      <c r="F46" s="375"/>
      <c r="G46" s="374"/>
    </row>
    <row r="47">
      <c r="C47" s="375">
        <v>6.0</v>
      </c>
      <c r="D47" s="375" t="s">
        <v>68</v>
      </c>
      <c r="E47" s="375" t="s">
        <v>2355</v>
      </c>
      <c r="F47" s="375" t="s">
        <v>74</v>
      </c>
      <c r="G47" s="374">
        <f t="shared" ref="G47:G51" si="2">LEN(E47)</f>
        <v>11</v>
      </c>
    </row>
    <row r="48">
      <c r="C48" s="374"/>
      <c r="D48" s="374"/>
      <c r="E48" s="375" t="s">
        <v>2457</v>
      </c>
      <c r="F48" s="375" t="s">
        <v>76</v>
      </c>
      <c r="G48" s="374">
        <f t="shared" si="2"/>
        <v>6</v>
      </c>
    </row>
    <row r="49">
      <c r="C49" s="374"/>
      <c r="D49" s="374"/>
      <c r="E49" s="375" t="s">
        <v>2458</v>
      </c>
      <c r="F49" s="375" t="s">
        <v>78</v>
      </c>
      <c r="G49" s="374">
        <f t="shared" si="2"/>
        <v>11</v>
      </c>
    </row>
    <row r="50">
      <c r="C50" s="374"/>
      <c r="D50" s="374"/>
      <c r="E50" s="375" t="s">
        <v>2459</v>
      </c>
      <c r="F50" s="375" t="s">
        <v>2460</v>
      </c>
      <c r="G50" s="374">
        <f t="shared" si="2"/>
        <v>15</v>
      </c>
    </row>
    <row r="51">
      <c r="C51" s="374"/>
      <c r="D51" s="374"/>
      <c r="E51" s="375" t="s">
        <v>2461</v>
      </c>
      <c r="F51" s="375" t="s">
        <v>1054</v>
      </c>
      <c r="G51" s="374">
        <f t="shared" si="2"/>
        <v>7</v>
      </c>
    </row>
    <row r="52">
      <c r="C52" s="374"/>
      <c r="D52" s="374"/>
      <c r="E52" s="374"/>
      <c r="F52" s="374"/>
      <c r="G52" s="374"/>
    </row>
    <row r="53">
      <c r="C53" s="375">
        <v>7.0</v>
      </c>
      <c r="D53" s="375" t="s">
        <v>90</v>
      </c>
      <c r="E53" s="375" t="s">
        <v>2462</v>
      </c>
      <c r="F53" s="375" t="s">
        <v>2463</v>
      </c>
      <c r="G53" s="374" t="str">
        <f>MID(E53,3,8)</f>
        <v>luminati</v>
      </c>
    </row>
    <row r="54">
      <c r="C54" s="374"/>
      <c r="D54" s="374"/>
      <c r="E54" s="375" t="s">
        <v>2464</v>
      </c>
      <c r="F54" s="375" t="s">
        <v>2465</v>
      </c>
      <c r="G54" s="374" t="str">
        <f>MID(E54,2,4)</f>
        <v>essi</v>
      </c>
    </row>
    <row r="55">
      <c r="C55" s="374"/>
      <c r="D55" s="374"/>
      <c r="E55" s="375" t="s">
        <v>2466</v>
      </c>
      <c r="F55" s="375" t="s">
        <v>2467</v>
      </c>
      <c r="G55" s="374" t="str">
        <f>MID(E55,4,7)</f>
        <v>ong Pla</v>
      </c>
    </row>
    <row r="56">
      <c r="C56" s="374"/>
      <c r="D56" s="374"/>
      <c r="E56" s="375" t="s">
        <v>2468</v>
      </c>
      <c r="F56" s="375" t="s">
        <v>2469</v>
      </c>
      <c r="G56" s="374" t="str">
        <f>MID(E56,5,9)</f>
        <v> Muscle</v>
      </c>
    </row>
    <row r="57">
      <c r="C57" s="374"/>
      <c r="D57" s="374"/>
      <c r="E57" s="375" t="s">
        <v>2470</v>
      </c>
      <c r="F57" s="375" t="s">
        <v>2471</v>
      </c>
      <c r="G57" s="374" t="str">
        <f>MID(E57,7,10)</f>
        <v>tanding</v>
      </c>
    </row>
    <row r="58">
      <c r="C58" s="374"/>
      <c r="D58" s="374"/>
      <c r="E58" s="374"/>
      <c r="F58" s="374"/>
      <c r="G58" s="374"/>
    </row>
    <row r="59">
      <c r="C59" s="375">
        <v>8.0</v>
      </c>
      <c r="D59" s="375" t="s">
        <v>343</v>
      </c>
      <c r="E59" s="375" t="s">
        <v>2472</v>
      </c>
      <c r="F59" s="375" t="s">
        <v>2473</v>
      </c>
      <c r="G59" s="374" t="str">
        <f>REPLACE(D59,2,4,"a")</f>
        <v>Race</v>
      </c>
    </row>
    <row r="60">
      <c r="C60" s="374"/>
      <c r="D60" s="374"/>
      <c r="E60" s="375" t="s">
        <v>2474</v>
      </c>
      <c r="F60" s="375" t="s">
        <v>2475</v>
      </c>
      <c r="G60" s="374" t="str">
        <f>REPLACE(E60,3,4,"321")</f>
        <v>Lo321Wear</v>
      </c>
    </row>
    <row r="61">
      <c r="C61" s="374"/>
      <c r="D61" s="374"/>
      <c r="E61" s="375" t="s">
        <v>2476</v>
      </c>
      <c r="F61" s="375" t="s">
        <v>2477</v>
      </c>
      <c r="G61" s="374" t="str">
        <f>REPLACE(E61,1,8,"nike")</f>
        <v>nikempt</v>
      </c>
    </row>
    <row r="62">
      <c r="C62" s="374"/>
      <c r="D62" s="374"/>
      <c r="E62" s="375" t="s">
        <v>2478</v>
      </c>
      <c r="F62" s="375" t="s">
        <v>2479</v>
      </c>
      <c r="G62" s="374" t="str">
        <f>REPLACE(E62,4,6,"YOU")</f>
        <v>KeyYOU</v>
      </c>
    </row>
    <row r="63">
      <c r="C63" s="374"/>
      <c r="D63" s="374"/>
      <c r="E63" s="375" t="s">
        <v>2480</v>
      </c>
      <c r="F63" s="375" t="s">
        <v>2481</v>
      </c>
      <c r="G63" s="374" t="str">
        <f>REPLACE(E63,8,2,"OP")</f>
        <v>StrangeOP18</v>
      </c>
    </row>
    <row r="64">
      <c r="C64" s="374"/>
      <c r="D64" s="374"/>
      <c r="E64" s="374"/>
      <c r="F64" s="374"/>
      <c r="G64" s="374"/>
    </row>
    <row r="65">
      <c r="C65" s="375">
        <v>9.0</v>
      </c>
      <c r="D65" s="375" t="s">
        <v>349</v>
      </c>
      <c r="E65" s="375" t="s">
        <v>2482</v>
      </c>
      <c r="F65" s="375" t="s">
        <v>2483</v>
      </c>
      <c r="G65" s="374">
        <f>SEARCH("w",E65,2)</f>
        <v>5</v>
      </c>
    </row>
    <row r="66">
      <c r="C66" s="374"/>
      <c r="D66" s="374"/>
      <c r="E66" s="375" t="s">
        <v>2484</v>
      </c>
      <c r="F66" s="375" t="s">
        <v>2485</v>
      </c>
      <c r="G66" s="374">
        <f>SEARCH("n",E66,5)</f>
        <v>6</v>
      </c>
    </row>
    <row r="67">
      <c r="C67" s="374"/>
      <c r="D67" s="374"/>
      <c r="E67" s="375" t="s">
        <v>2486</v>
      </c>
      <c r="F67" s="375" t="s">
        <v>2487</v>
      </c>
      <c r="G67" s="374">
        <f>SEARCH("c",E67)</f>
        <v>1</v>
      </c>
    </row>
    <row r="68">
      <c r="C68" s="374"/>
      <c r="D68" s="374"/>
      <c r="E68" s="375" t="s">
        <v>2488</v>
      </c>
      <c r="F68" s="375" t="s">
        <v>2489</v>
      </c>
      <c r="G68" s="374">
        <f>SEARCH("M",E68)</f>
        <v>6</v>
      </c>
    </row>
    <row r="69">
      <c r="C69" s="374"/>
      <c r="D69" s="374"/>
      <c r="E69" s="375" t="s">
        <v>2490</v>
      </c>
      <c r="F69" s="375" t="s">
        <v>2491</v>
      </c>
      <c r="G69" s="374">
        <f>SEARCH("e",E69)</f>
        <v>9</v>
      </c>
    </row>
    <row r="70">
      <c r="C70" s="374"/>
      <c r="D70" s="374"/>
      <c r="E70" s="374"/>
      <c r="F70" s="374"/>
      <c r="G70" s="374"/>
    </row>
    <row r="71">
      <c r="C71" s="375">
        <v>10.0</v>
      </c>
      <c r="D71" s="375" t="s">
        <v>79</v>
      </c>
      <c r="E71" s="375" t="s">
        <v>2492</v>
      </c>
      <c r="F71" s="375" t="s">
        <v>2493</v>
      </c>
      <c r="G71" s="374" t="str">
        <f t="shared" ref="G71:G75" si="3">LOWER(E71)</f>
        <v>capslock</v>
      </c>
    </row>
    <row r="72">
      <c r="C72" s="374"/>
      <c r="D72" s="374"/>
      <c r="E72" s="375" t="s">
        <v>2494</v>
      </c>
      <c r="F72" s="375" t="s">
        <v>2495</v>
      </c>
      <c r="G72" s="374" t="str">
        <f t="shared" si="3"/>
        <v>tablet</v>
      </c>
    </row>
    <row r="73">
      <c r="C73" s="374"/>
      <c r="D73" s="374"/>
      <c r="E73" s="375" t="s">
        <v>2496</v>
      </c>
      <c r="F73" s="375" t="s">
        <v>2497</v>
      </c>
      <c r="G73" s="374" t="str">
        <f t="shared" si="3"/>
        <v>laptop</v>
      </c>
    </row>
    <row r="74">
      <c r="C74" s="374"/>
      <c r="D74" s="374"/>
      <c r="E74" s="375" t="s">
        <v>2498</v>
      </c>
      <c r="F74" s="375" t="s">
        <v>2499</v>
      </c>
      <c r="G74" s="374" t="str">
        <f t="shared" si="3"/>
        <v>last standout</v>
      </c>
    </row>
    <row r="75">
      <c r="C75" s="374"/>
      <c r="D75" s="374"/>
      <c r="E75" s="375" t="s">
        <v>2500</v>
      </c>
      <c r="F75" s="375" t="s">
        <v>2501</v>
      </c>
      <c r="G75" s="374" t="str">
        <f t="shared" si="3"/>
        <v>coming</v>
      </c>
    </row>
    <row r="76">
      <c r="C76" s="374"/>
      <c r="D76" s="374"/>
      <c r="E76" s="374"/>
      <c r="F76" s="374"/>
      <c r="G76" s="374"/>
    </row>
    <row r="77">
      <c r="C77" s="375">
        <v>11.0</v>
      </c>
      <c r="D77" s="375" t="s">
        <v>134</v>
      </c>
      <c r="E77" s="375" t="s">
        <v>2502</v>
      </c>
      <c r="F77" s="375" t="s">
        <v>2503</v>
      </c>
      <c r="G77" s="374" t="str">
        <f t="shared" ref="G77:G81" si="4">UPPER(E77)</f>
        <v>SAMSUNG</v>
      </c>
    </row>
    <row r="78">
      <c r="C78" s="374"/>
      <c r="D78" s="374"/>
      <c r="E78" s="375" t="s">
        <v>2504</v>
      </c>
      <c r="F78" s="375" t="s">
        <v>2505</v>
      </c>
      <c r="G78" s="374" t="str">
        <f t="shared" si="4"/>
        <v>NIKON</v>
      </c>
    </row>
    <row r="79">
      <c r="C79" s="374"/>
      <c r="D79" s="374"/>
      <c r="E79" s="375" t="s">
        <v>2506</v>
      </c>
      <c r="F79" s="375" t="s">
        <v>2507</v>
      </c>
      <c r="G79" s="374" t="str">
        <f t="shared" si="4"/>
        <v>MIRRORLESS</v>
      </c>
    </row>
    <row r="80">
      <c r="C80" s="374"/>
      <c r="D80" s="374"/>
      <c r="E80" s="375" t="s">
        <v>2508</v>
      </c>
      <c r="F80" s="375" t="s">
        <v>2509</v>
      </c>
      <c r="G80" s="374" t="str">
        <f t="shared" si="4"/>
        <v>SONY EXPERIA</v>
      </c>
    </row>
    <row r="81">
      <c r="C81" s="374"/>
      <c r="D81" s="374"/>
      <c r="E81" s="375" t="s">
        <v>2510</v>
      </c>
      <c r="F81" s="375" t="s">
        <v>2511</v>
      </c>
      <c r="G81" s="374" t="str">
        <f t="shared" si="4"/>
        <v>CANON</v>
      </c>
    </row>
    <row r="82">
      <c r="C82" s="374"/>
      <c r="D82" s="374"/>
      <c r="E82" s="374"/>
      <c r="F82" s="374"/>
      <c r="G82" s="374"/>
    </row>
    <row r="83">
      <c r="C83" s="375">
        <v>12.0</v>
      </c>
      <c r="D83" s="375" t="s">
        <v>2512</v>
      </c>
      <c r="E83" s="375" t="s">
        <v>2513</v>
      </c>
      <c r="F83" s="375" t="s">
        <v>2514</v>
      </c>
      <c r="G83" s="374" t="str">
        <f>SUBSTITUTE(E83,"Classes","Placements")</f>
        <v>ARC = Placements</v>
      </c>
    </row>
    <row r="84">
      <c r="C84" s="374"/>
      <c r="D84" s="374"/>
      <c r="E84" s="375" t="s">
        <v>2515</v>
      </c>
      <c r="F84" s="375" t="s">
        <v>2516</v>
      </c>
      <c r="G84" s="374" t="str">
        <f>SUBSTITUTE(E84,"Samsung","MilkyWay")</f>
        <v>MilkyWay Galaxy</v>
      </c>
    </row>
    <row r="85">
      <c r="C85" s="374"/>
      <c r="D85" s="374"/>
      <c r="E85" s="375" t="s">
        <v>2517</v>
      </c>
      <c r="F85" s="375" t="s">
        <v>2518</v>
      </c>
      <c r="G85" s="374" t="str">
        <f>SUBSTITUTE(E85,"Gaming","TUF Gaming")</f>
        <v>Asus TUF Gaming</v>
      </c>
    </row>
    <row r="86">
      <c r="C86" s="374"/>
      <c r="D86" s="374"/>
      <c r="E86" s="375" t="s">
        <v>2519</v>
      </c>
      <c r="F86" s="375" t="s">
        <v>2520</v>
      </c>
      <c r="G86" s="374" t="str">
        <f>SUBSTITUTE(E86,"Explosion","Web")</f>
        <v>Web site</v>
      </c>
    </row>
    <row r="87">
      <c r="C87" s="374"/>
      <c r="D87" s="374"/>
      <c r="E87" s="375" t="s">
        <v>2521</v>
      </c>
      <c r="F87" s="375" t="s">
        <v>2522</v>
      </c>
      <c r="G87" s="374" t="str">
        <f>SUBSTITUTE(E87,"Education","Gold")</f>
        <v>Gold Loan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88"/>
    <col customWidth="1" min="3" max="3" width="12.0"/>
    <col customWidth="1" min="4" max="4" width="38.63"/>
    <col customWidth="1" min="5" max="5" width="13.88"/>
    <col customWidth="1" min="6" max="6" width="14.25"/>
  </cols>
  <sheetData>
    <row r="3">
      <c r="B3" s="65"/>
      <c r="C3" s="65"/>
      <c r="D3" s="376" t="s">
        <v>2523</v>
      </c>
      <c r="E3" s="65"/>
      <c r="F3" s="65"/>
      <c r="G3" s="65"/>
      <c r="H3" s="65"/>
      <c r="I3" s="65"/>
    </row>
    <row r="4">
      <c r="B4" s="65"/>
      <c r="C4" s="65"/>
      <c r="D4" s="65"/>
      <c r="E4" s="65"/>
      <c r="F4" s="65"/>
      <c r="G4" s="65"/>
      <c r="H4" s="65"/>
      <c r="I4" s="65"/>
    </row>
    <row r="5">
      <c r="B5" s="377" t="s">
        <v>229</v>
      </c>
      <c r="C5" s="106" t="s">
        <v>2524</v>
      </c>
      <c r="D5" s="106" t="s">
        <v>4</v>
      </c>
      <c r="E5" s="106" t="s">
        <v>2525</v>
      </c>
      <c r="F5" s="106" t="s">
        <v>5</v>
      </c>
      <c r="G5" s="65"/>
      <c r="H5" s="65"/>
      <c r="I5" s="65"/>
    </row>
    <row r="6">
      <c r="B6" s="112"/>
      <c r="C6" s="112"/>
      <c r="D6" s="112"/>
      <c r="E6" s="112"/>
      <c r="F6" s="112"/>
      <c r="G6" s="65"/>
      <c r="H6" s="65"/>
      <c r="I6" s="65"/>
    </row>
    <row r="7">
      <c r="B7" s="378">
        <v>1.0</v>
      </c>
      <c r="C7" s="108" t="s">
        <v>368</v>
      </c>
      <c r="D7" s="108" t="s">
        <v>2526</v>
      </c>
      <c r="E7" s="378" t="s">
        <v>259</v>
      </c>
      <c r="F7" s="378" t="s">
        <v>259</v>
      </c>
      <c r="G7" s="65"/>
      <c r="H7" s="65"/>
      <c r="I7" s="65"/>
    </row>
    <row r="8">
      <c r="B8" s="112"/>
      <c r="C8" s="112"/>
      <c r="D8" s="108" t="s">
        <v>2527</v>
      </c>
      <c r="E8" s="108" t="s">
        <v>2528</v>
      </c>
      <c r="F8" s="108" t="s">
        <v>2529</v>
      </c>
      <c r="G8" s="65"/>
      <c r="H8" s="65"/>
      <c r="I8" s="65"/>
    </row>
    <row r="9">
      <c r="B9" s="112"/>
      <c r="C9" s="112"/>
      <c r="D9" s="108" t="s">
        <v>2530</v>
      </c>
      <c r="E9" s="108" t="s">
        <v>2531</v>
      </c>
      <c r="F9" s="108" t="s">
        <v>2532</v>
      </c>
      <c r="G9" s="65"/>
      <c r="H9" s="65"/>
      <c r="I9" s="65"/>
    </row>
    <row r="10">
      <c r="B10" s="112"/>
      <c r="C10" s="112"/>
      <c r="D10" s="108" t="s">
        <v>2533</v>
      </c>
      <c r="E10" s="108" t="s">
        <v>2355</v>
      </c>
      <c r="F10" s="108" t="s">
        <v>2355</v>
      </c>
      <c r="G10" s="65"/>
      <c r="H10" s="65"/>
      <c r="I10" s="65"/>
    </row>
    <row r="11">
      <c r="B11" s="112"/>
      <c r="C11" s="112"/>
      <c r="D11" s="108" t="s">
        <v>2534</v>
      </c>
      <c r="E11" s="108" t="s">
        <v>2535</v>
      </c>
      <c r="F11" s="108" t="s">
        <v>2536</v>
      </c>
      <c r="G11" s="65"/>
      <c r="H11" s="65"/>
      <c r="I11" s="65"/>
    </row>
    <row r="12">
      <c r="B12" s="109"/>
      <c r="C12" s="109"/>
      <c r="D12" s="109"/>
      <c r="E12" s="109"/>
      <c r="F12" s="109"/>
      <c r="G12" s="65"/>
      <c r="H12" s="65"/>
      <c r="I12" s="65"/>
    </row>
    <row r="13">
      <c r="B13" s="379">
        <v>2.0</v>
      </c>
      <c r="C13" s="380" t="s">
        <v>332</v>
      </c>
      <c r="D13" s="380" t="s">
        <v>2537</v>
      </c>
      <c r="E13" s="380" t="s">
        <v>598</v>
      </c>
      <c r="F13" s="380" t="s">
        <v>259</v>
      </c>
      <c r="G13" s="65"/>
      <c r="H13" s="65"/>
      <c r="I13" s="65"/>
    </row>
    <row r="14">
      <c r="B14" s="381"/>
      <c r="C14" s="381"/>
      <c r="D14" s="380" t="s">
        <v>2538</v>
      </c>
      <c r="E14" s="380" t="s">
        <v>1154</v>
      </c>
      <c r="F14" s="380" t="s">
        <v>2532</v>
      </c>
      <c r="G14" s="65"/>
      <c r="H14" s="65"/>
      <c r="I14" s="65"/>
    </row>
    <row r="15">
      <c r="B15" s="381"/>
      <c r="C15" s="381"/>
      <c r="D15" s="380" t="s">
        <v>2539</v>
      </c>
      <c r="E15" s="380" t="s">
        <v>2540</v>
      </c>
      <c r="F15" s="380" t="s">
        <v>2536</v>
      </c>
      <c r="G15" s="65"/>
      <c r="H15" s="65"/>
      <c r="I15" s="65"/>
    </row>
    <row r="16">
      <c r="B16" s="381"/>
      <c r="C16" s="381"/>
      <c r="D16" s="380" t="s">
        <v>2541</v>
      </c>
      <c r="E16" s="380" t="s">
        <v>2542</v>
      </c>
      <c r="F16" s="380" t="s">
        <v>2543</v>
      </c>
      <c r="G16" s="65"/>
      <c r="H16" s="65"/>
      <c r="I16" s="65"/>
    </row>
    <row r="17">
      <c r="B17" s="381"/>
      <c r="C17" s="381"/>
      <c r="D17" s="380" t="s">
        <v>2544</v>
      </c>
      <c r="E17" s="380" t="s">
        <v>2545</v>
      </c>
      <c r="F17" s="380" t="s">
        <v>2546</v>
      </c>
      <c r="G17" s="65"/>
      <c r="H17" s="65"/>
      <c r="I17" s="65"/>
    </row>
    <row r="18">
      <c r="B18" s="109"/>
      <c r="C18" s="109"/>
      <c r="D18" s="109"/>
      <c r="E18" s="109"/>
      <c r="F18" s="109"/>
      <c r="G18" s="65"/>
      <c r="H18" s="382" t="s">
        <v>2547</v>
      </c>
      <c r="I18" s="382" t="s">
        <v>2548</v>
      </c>
    </row>
    <row r="19">
      <c r="B19" s="378">
        <v>3.0</v>
      </c>
      <c r="C19" s="108" t="s">
        <v>2186</v>
      </c>
      <c r="D19" s="108" t="s">
        <v>2549</v>
      </c>
      <c r="E19" s="108" t="s">
        <v>2550</v>
      </c>
      <c r="F19" s="108" t="s">
        <v>2551</v>
      </c>
      <c r="G19" s="65"/>
      <c r="H19" s="107" t="s">
        <v>634</v>
      </c>
      <c r="I19" s="107" t="s">
        <v>1032</v>
      </c>
    </row>
    <row r="20">
      <c r="B20" s="112"/>
      <c r="C20" s="112"/>
      <c r="D20" s="108" t="s">
        <v>2552</v>
      </c>
      <c r="E20" s="108" t="s">
        <v>2550</v>
      </c>
      <c r="F20" s="108" t="s">
        <v>2553</v>
      </c>
      <c r="G20" s="65"/>
      <c r="H20" s="65"/>
      <c r="I20" s="107" t="s">
        <v>712</v>
      </c>
    </row>
    <row r="21">
      <c r="B21" s="112"/>
      <c r="C21" s="112"/>
      <c r="D21" s="108" t="s">
        <v>2554</v>
      </c>
      <c r="E21" s="108" t="s">
        <v>2550</v>
      </c>
      <c r="F21" s="108" t="s">
        <v>2555</v>
      </c>
      <c r="G21" s="65"/>
      <c r="H21" s="65"/>
      <c r="I21" s="107" t="s">
        <v>1569</v>
      </c>
    </row>
    <row r="22">
      <c r="B22" s="112"/>
      <c r="C22" s="112"/>
      <c r="D22" s="108" t="s">
        <v>2556</v>
      </c>
      <c r="E22" s="108" t="s">
        <v>2550</v>
      </c>
      <c r="F22" s="108" t="s">
        <v>2557</v>
      </c>
      <c r="G22" s="65"/>
      <c r="H22" s="65"/>
      <c r="I22" s="107" t="s">
        <v>2558</v>
      </c>
    </row>
    <row r="23">
      <c r="B23" s="112"/>
      <c r="C23" s="112"/>
      <c r="D23" s="108" t="s">
        <v>2559</v>
      </c>
      <c r="E23" s="108" t="s">
        <v>2550</v>
      </c>
      <c r="F23" s="108" t="s">
        <v>2560</v>
      </c>
      <c r="G23" s="65"/>
      <c r="H23" s="65"/>
      <c r="I23" s="107" t="s">
        <v>47</v>
      </c>
    </row>
    <row r="24">
      <c r="B24" s="109"/>
      <c r="C24" s="109"/>
      <c r="D24" s="109"/>
      <c r="E24" s="109"/>
      <c r="F24" s="109"/>
      <c r="G24" s="65"/>
      <c r="H24" s="65"/>
      <c r="I24" s="65"/>
    </row>
    <row r="25">
      <c r="B25" s="379">
        <v>4.0</v>
      </c>
      <c r="C25" s="380" t="s">
        <v>2254</v>
      </c>
      <c r="D25" s="380" t="s">
        <v>2561</v>
      </c>
      <c r="E25" s="380" t="s">
        <v>2562</v>
      </c>
      <c r="F25" s="380" t="s">
        <v>2563</v>
      </c>
      <c r="G25" s="65"/>
      <c r="H25" s="65"/>
      <c r="I25" s="65"/>
    </row>
    <row r="26">
      <c r="B26" s="383"/>
      <c r="C26" s="381"/>
      <c r="D26" s="380" t="s">
        <v>2564</v>
      </c>
      <c r="E26" s="380" t="s">
        <v>2255</v>
      </c>
      <c r="F26" s="380" t="s">
        <v>2565</v>
      </c>
      <c r="G26" s="65"/>
      <c r="H26" s="65"/>
      <c r="I26" s="65"/>
    </row>
    <row r="27">
      <c r="B27" s="381"/>
      <c r="C27" s="381"/>
      <c r="D27" s="380" t="s">
        <v>2566</v>
      </c>
      <c r="E27" s="380" t="s">
        <v>259</v>
      </c>
      <c r="F27" s="380" t="s">
        <v>2567</v>
      </c>
      <c r="G27" s="65"/>
      <c r="H27" s="65"/>
      <c r="I27" s="65"/>
    </row>
    <row r="28">
      <c r="B28" s="381"/>
      <c r="C28" s="381"/>
      <c r="D28" s="380" t="s">
        <v>2568</v>
      </c>
      <c r="E28" s="380" t="s">
        <v>861</v>
      </c>
      <c r="F28" s="380" t="s">
        <v>2569</v>
      </c>
      <c r="G28" s="65"/>
      <c r="H28" s="65"/>
      <c r="I28" s="65"/>
    </row>
    <row r="29">
      <c r="B29" s="381"/>
      <c r="C29" s="381"/>
      <c r="D29" s="380" t="s">
        <v>2570</v>
      </c>
      <c r="E29" s="380" t="s">
        <v>2571</v>
      </c>
      <c r="F29" s="380" t="s">
        <v>2572</v>
      </c>
      <c r="G29" s="65"/>
      <c r="H29" s="65"/>
      <c r="I29" s="65"/>
    </row>
    <row r="30">
      <c r="B30" s="109"/>
      <c r="C30" s="109"/>
      <c r="D30" s="109"/>
      <c r="E30" s="109"/>
      <c r="F30" s="109"/>
      <c r="G30" s="65"/>
      <c r="H30" s="65"/>
      <c r="I30" s="65"/>
    </row>
    <row r="31">
      <c r="B31" s="378">
        <v>5.0</v>
      </c>
      <c r="C31" s="108" t="s">
        <v>2231</v>
      </c>
      <c r="D31" s="108" t="s">
        <v>2573</v>
      </c>
      <c r="E31" s="108" t="s">
        <v>2574</v>
      </c>
      <c r="F31" s="108" t="s">
        <v>2575</v>
      </c>
      <c r="G31" s="65"/>
      <c r="H31" s="65"/>
      <c r="I31" s="65"/>
    </row>
    <row r="32">
      <c r="B32" s="112"/>
      <c r="C32" s="112"/>
      <c r="D32" s="112"/>
      <c r="E32" s="108" t="s">
        <v>598</v>
      </c>
      <c r="F32" s="112"/>
      <c r="G32" s="65"/>
      <c r="H32" s="65"/>
      <c r="I32" s="65"/>
    </row>
    <row r="33">
      <c r="B33" s="112"/>
      <c r="C33" s="112"/>
      <c r="D33" s="108" t="s">
        <v>2576</v>
      </c>
      <c r="E33" s="378">
        <v>7.0</v>
      </c>
      <c r="F33" s="384">
        <v>46204.0</v>
      </c>
      <c r="G33" s="65"/>
      <c r="H33" s="65"/>
      <c r="I33" s="65"/>
    </row>
    <row r="34">
      <c r="B34" s="112"/>
      <c r="C34" s="112"/>
      <c r="D34" s="112"/>
      <c r="E34" s="378">
        <v>1.0</v>
      </c>
      <c r="F34" s="112"/>
      <c r="G34" s="65"/>
      <c r="H34" s="65"/>
      <c r="I34" s="65"/>
    </row>
    <row r="35">
      <c r="B35" s="112"/>
      <c r="C35" s="112"/>
      <c r="D35" s="108" t="s">
        <v>2577</v>
      </c>
      <c r="E35" s="108" t="s">
        <v>3</v>
      </c>
      <c r="F35" s="108" t="s">
        <v>2532</v>
      </c>
      <c r="G35" s="65"/>
      <c r="H35" s="65"/>
      <c r="I35" s="65"/>
    </row>
    <row r="36">
      <c r="B36" s="112"/>
      <c r="C36" s="112"/>
      <c r="D36" s="112"/>
      <c r="E36" s="108" t="s">
        <v>1099</v>
      </c>
      <c r="F36" s="112"/>
      <c r="G36" s="65"/>
      <c r="H36" s="65"/>
      <c r="I36" s="65"/>
    </row>
    <row r="37">
      <c r="B37" s="112"/>
      <c r="C37" s="112"/>
      <c r="D37" s="108" t="s">
        <v>2578</v>
      </c>
      <c r="E37" s="108" t="s">
        <v>861</v>
      </c>
      <c r="F37" s="108" t="s">
        <v>2579</v>
      </c>
      <c r="G37" s="65"/>
      <c r="H37" s="65"/>
      <c r="I37" s="65"/>
    </row>
    <row r="38">
      <c r="B38" s="112"/>
      <c r="C38" s="112"/>
      <c r="D38" s="112"/>
      <c r="E38" s="108" t="s">
        <v>863</v>
      </c>
      <c r="F38" s="112"/>
      <c r="G38" s="65"/>
      <c r="H38" s="65"/>
      <c r="I38" s="65"/>
    </row>
    <row r="39">
      <c r="B39" s="112"/>
      <c r="C39" s="112"/>
      <c r="D39" s="108" t="s">
        <v>2580</v>
      </c>
      <c r="E39" s="378">
        <v>10.0</v>
      </c>
      <c r="F39" s="385">
        <v>46326.0</v>
      </c>
      <c r="G39" s="65"/>
      <c r="H39" s="65"/>
      <c r="I39" s="65"/>
    </row>
    <row r="40">
      <c r="B40" s="112"/>
      <c r="C40" s="112"/>
      <c r="D40" s="112"/>
      <c r="E40" s="378">
        <v>31.0</v>
      </c>
      <c r="F40" s="112"/>
      <c r="G40" s="65"/>
      <c r="H40" s="65"/>
      <c r="I40" s="65"/>
    </row>
    <row r="41">
      <c r="B41" s="109"/>
      <c r="C41" s="109"/>
      <c r="D41" s="109"/>
      <c r="E41" s="109"/>
      <c r="F41" s="109"/>
      <c r="G41" s="65"/>
      <c r="H41" s="65"/>
      <c r="I41" s="65"/>
    </row>
    <row r="42">
      <c r="B42" s="379">
        <v>6.0</v>
      </c>
      <c r="C42" s="380" t="s">
        <v>1311</v>
      </c>
      <c r="D42" s="380" t="s">
        <v>2581</v>
      </c>
      <c r="E42" s="379">
        <v>67.0</v>
      </c>
      <c r="F42" s="380" t="s">
        <v>904</v>
      </c>
      <c r="G42" s="65"/>
      <c r="H42" s="65"/>
      <c r="I42" s="65"/>
    </row>
    <row r="43">
      <c r="B43" s="381"/>
      <c r="C43" s="381"/>
      <c r="D43" s="380" t="s">
        <v>2582</v>
      </c>
      <c r="E43" s="379">
        <v>68.0</v>
      </c>
      <c r="F43" s="380" t="s">
        <v>912</v>
      </c>
      <c r="G43" s="65"/>
      <c r="H43" s="65"/>
      <c r="I43" s="65"/>
    </row>
    <row r="44">
      <c r="B44" s="381"/>
      <c r="C44" s="381"/>
      <c r="D44" s="380" t="s">
        <v>2583</v>
      </c>
      <c r="E44" s="379">
        <v>97.0</v>
      </c>
      <c r="F44" s="380" t="s">
        <v>866</v>
      </c>
      <c r="G44" s="65"/>
      <c r="H44" s="65"/>
      <c r="I44" s="65"/>
    </row>
    <row r="45">
      <c r="B45" s="381"/>
      <c r="C45" s="381"/>
      <c r="D45" s="380" t="s">
        <v>2584</v>
      </c>
      <c r="E45" s="379">
        <v>48.0</v>
      </c>
      <c r="F45" s="379">
        <v>0.0</v>
      </c>
      <c r="G45" s="65"/>
      <c r="H45" s="65"/>
      <c r="I45" s="65"/>
    </row>
    <row r="46">
      <c r="B46" s="381"/>
      <c r="C46" s="381"/>
      <c r="D46" s="380" t="s">
        <v>2585</v>
      </c>
      <c r="E46" s="379">
        <v>33.0</v>
      </c>
      <c r="F46" s="380" t="s">
        <v>2586</v>
      </c>
      <c r="G46" s="65"/>
      <c r="H46" s="65"/>
      <c r="I46" s="65"/>
    </row>
    <row r="47">
      <c r="B47" s="109"/>
      <c r="C47" s="109"/>
      <c r="D47" s="109"/>
      <c r="E47" s="109"/>
      <c r="F47" s="109"/>
      <c r="G47" s="65"/>
      <c r="H47" s="65"/>
      <c r="I47" s="65"/>
    </row>
    <row r="48">
      <c r="B48" s="378">
        <v>7.0</v>
      </c>
      <c r="C48" s="108" t="s">
        <v>2587</v>
      </c>
      <c r="D48" s="108" t="s">
        <v>2588</v>
      </c>
      <c r="E48" s="378">
        <v>200.0</v>
      </c>
      <c r="F48" s="108" t="s">
        <v>2589</v>
      </c>
      <c r="G48" s="65"/>
      <c r="H48" s="65"/>
      <c r="I48" s="65"/>
    </row>
    <row r="49">
      <c r="B49" s="112"/>
      <c r="C49" s="112"/>
      <c r="D49" s="108" t="s">
        <v>2590</v>
      </c>
      <c r="E49" s="378">
        <v>30.0</v>
      </c>
      <c r="F49" s="108" t="s">
        <v>2591</v>
      </c>
      <c r="G49" s="65"/>
      <c r="H49" s="65"/>
      <c r="I49" s="65"/>
    </row>
    <row r="50">
      <c r="B50" s="112"/>
      <c r="C50" s="112"/>
      <c r="D50" s="108" t="s">
        <v>2592</v>
      </c>
      <c r="E50" s="378">
        <v>400.0</v>
      </c>
      <c r="F50" s="108" t="s">
        <v>2593</v>
      </c>
      <c r="G50" s="65"/>
      <c r="H50" s="65"/>
      <c r="I50" s="65"/>
    </row>
    <row r="51">
      <c r="B51" s="112"/>
      <c r="C51" s="112"/>
      <c r="D51" s="108" t="s">
        <v>2594</v>
      </c>
      <c r="E51" s="378">
        <v>2000.0</v>
      </c>
      <c r="F51" s="108" t="s">
        <v>2595</v>
      </c>
      <c r="G51" s="65"/>
      <c r="H51" s="65"/>
      <c r="I51" s="65"/>
    </row>
    <row r="52">
      <c r="B52" s="112"/>
      <c r="C52" s="112"/>
      <c r="D52" s="108" t="s">
        <v>2596</v>
      </c>
      <c r="E52" s="378">
        <v>1000.0</v>
      </c>
      <c r="F52" s="108" t="s">
        <v>2597</v>
      </c>
      <c r="G52" s="65"/>
      <c r="H52" s="65"/>
      <c r="I52" s="65"/>
    </row>
    <row r="53">
      <c r="B53" s="109"/>
      <c r="C53" s="109"/>
      <c r="D53" s="109"/>
      <c r="E53" s="109"/>
      <c r="F53" s="109"/>
      <c r="G53" s="65"/>
      <c r="H53" s="65"/>
      <c r="I53" s="65"/>
    </row>
    <row r="54">
      <c r="B54" s="379">
        <v>8.0</v>
      </c>
      <c r="C54" s="380" t="s">
        <v>2598</v>
      </c>
      <c r="D54" s="380" t="s">
        <v>2599</v>
      </c>
      <c r="E54" s="379">
        <v>100.126</v>
      </c>
      <c r="F54" s="379">
        <v>100.13</v>
      </c>
      <c r="G54" s="65"/>
      <c r="H54" s="65"/>
      <c r="I54" s="65"/>
    </row>
    <row r="55">
      <c r="B55" s="381"/>
      <c r="C55" s="381"/>
      <c r="D55" s="380" t="s">
        <v>2600</v>
      </c>
      <c r="E55" s="379">
        <v>1000.5</v>
      </c>
      <c r="F55" s="386">
        <v>1000.5</v>
      </c>
      <c r="G55" s="65"/>
      <c r="H55" s="65"/>
      <c r="I55" s="65"/>
    </row>
    <row r="56">
      <c r="B56" s="381"/>
      <c r="C56" s="381"/>
      <c r="D56" s="380" t="s">
        <v>2601</v>
      </c>
      <c r="E56" s="379">
        <v>2500.8</v>
      </c>
      <c r="F56" s="387">
        <v>2501.0</v>
      </c>
      <c r="G56" s="65"/>
      <c r="H56" s="65"/>
      <c r="I56" s="65"/>
    </row>
    <row r="57">
      <c r="B57" s="381"/>
      <c r="C57" s="381"/>
      <c r="D57" s="380" t="s">
        <v>2602</v>
      </c>
      <c r="E57" s="379">
        <v>75.45</v>
      </c>
      <c r="F57" s="379">
        <v>75.45</v>
      </c>
      <c r="G57" s="65"/>
      <c r="H57" s="65"/>
      <c r="I57" s="65"/>
    </row>
    <row r="58">
      <c r="B58" s="381"/>
      <c r="C58" s="381"/>
      <c r="D58" s="380" t="s">
        <v>2603</v>
      </c>
      <c r="E58" s="379">
        <v>500.9</v>
      </c>
      <c r="F58" s="379">
        <v>500.9</v>
      </c>
      <c r="G58" s="65"/>
      <c r="H58" s="65"/>
      <c r="I58" s="65"/>
    </row>
    <row r="59">
      <c r="B59" s="109"/>
      <c r="C59" s="109"/>
      <c r="D59" s="109"/>
      <c r="E59" s="109"/>
      <c r="F59" s="109"/>
      <c r="G59" s="65"/>
      <c r="H59" s="65"/>
      <c r="I59" s="65"/>
    </row>
    <row r="60">
      <c r="B60" s="378">
        <v>9.0</v>
      </c>
      <c r="C60" s="108" t="s">
        <v>2604</v>
      </c>
      <c r="D60" s="108" t="s">
        <v>2605</v>
      </c>
      <c r="E60" s="108" t="s">
        <v>2606</v>
      </c>
      <c r="F60" s="108" t="s">
        <v>2574</v>
      </c>
      <c r="G60" s="65"/>
      <c r="H60" s="65"/>
      <c r="I60" s="65"/>
    </row>
    <row r="61">
      <c r="B61" s="112"/>
      <c r="C61" s="112"/>
      <c r="D61" s="108" t="s">
        <v>2607</v>
      </c>
      <c r="E61" s="378" t="s">
        <v>2608</v>
      </c>
      <c r="F61" s="108" t="s">
        <v>165</v>
      </c>
      <c r="G61" s="65"/>
      <c r="H61" s="65"/>
      <c r="I61" s="65"/>
    </row>
    <row r="62">
      <c r="B62" s="112"/>
      <c r="C62" s="112"/>
      <c r="D62" s="108" t="s">
        <v>2609</v>
      </c>
      <c r="E62" s="108" t="s">
        <v>2610</v>
      </c>
      <c r="F62" s="108" t="s">
        <v>2611</v>
      </c>
      <c r="G62" s="65"/>
      <c r="H62" s="65"/>
      <c r="I62" s="65"/>
    </row>
    <row r="63">
      <c r="B63" s="112"/>
      <c r="C63" s="112"/>
      <c r="D63" s="108" t="s">
        <v>2612</v>
      </c>
      <c r="E63" s="108" t="s">
        <v>683</v>
      </c>
      <c r="F63" s="108" t="s">
        <v>3</v>
      </c>
      <c r="G63" s="65"/>
      <c r="H63" s="65"/>
      <c r="I63" s="65"/>
    </row>
    <row r="64">
      <c r="B64" s="112"/>
      <c r="C64" s="112"/>
      <c r="D64" s="108" t="s">
        <v>2613</v>
      </c>
      <c r="E64" s="108" t="s">
        <v>2614</v>
      </c>
      <c r="F64" s="108" t="s">
        <v>430</v>
      </c>
      <c r="G64" s="65"/>
      <c r="H64" s="65"/>
      <c r="I64" s="65"/>
    </row>
    <row r="65">
      <c r="B65" s="109"/>
      <c r="C65" s="109"/>
      <c r="D65" s="109"/>
      <c r="E65" s="109"/>
      <c r="F65" s="109"/>
      <c r="G65" s="65"/>
      <c r="H65" s="65"/>
      <c r="I65" s="65"/>
    </row>
    <row r="66">
      <c r="B66" s="379">
        <v>10.0</v>
      </c>
      <c r="C66" s="380" t="s">
        <v>2615</v>
      </c>
      <c r="D66" s="380" t="s">
        <v>2616</v>
      </c>
      <c r="E66" s="388">
        <v>9731.0</v>
      </c>
      <c r="F66" s="388" t="s">
        <v>2617</v>
      </c>
      <c r="G66" s="65"/>
      <c r="H66" s="65"/>
      <c r="I66" s="65"/>
    </row>
    <row r="67">
      <c r="B67" s="381"/>
      <c r="C67" s="381"/>
      <c r="D67" s="380" t="s">
        <v>2618</v>
      </c>
      <c r="E67" s="388">
        <v>9733.0</v>
      </c>
      <c r="F67" s="388" t="s">
        <v>2619</v>
      </c>
      <c r="G67" s="65"/>
      <c r="H67" s="65"/>
      <c r="I67" s="65"/>
    </row>
    <row r="68">
      <c r="B68" s="381"/>
      <c r="C68" s="381"/>
      <c r="D68" s="380" t="s">
        <v>2620</v>
      </c>
      <c r="E68" s="388">
        <v>9735.0</v>
      </c>
      <c r="F68" s="388" t="s">
        <v>2621</v>
      </c>
      <c r="G68" s="65"/>
      <c r="H68" s="65"/>
      <c r="I68" s="65"/>
    </row>
    <row r="69">
      <c r="B69" s="381"/>
      <c r="C69" s="381"/>
      <c r="D69" s="380" t="s">
        <v>2622</v>
      </c>
      <c r="E69" s="388">
        <v>9810.0</v>
      </c>
      <c r="F69" s="388" t="s">
        <v>2623</v>
      </c>
      <c r="G69" s="65"/>
      <c r="H69" s="65"/>
      <c r="I69" s="65"/>
    </row>
    <row r="70">
      <c r="B70" s="381"/>
      <c r="C70" s="381"/>
      <c r="D70" s="380" t="s">
        <v>2624</v>
      </c>
      <c r="E70" s="388">
        <v>9834.0</v>
      </c>
      <c r="F70" s="388" t="s">
        <v>2625</v>
      </c>
      <c r="G70" s="65"/>
      <c r="H70" s="65"/>
      <c r="I70" s="65"/>
    </row>
    <row r="71">
      <c r="B71" s="381"/>
      <c r="C71" s="381"/>
      <c r="D71" s="380" t="s">
        <v>2626</v>
      </c>
      <c r="E71" s="388">
        <v>9844.0</v>
      </c>
      <c r="F71" s="388" t="s">
        <v>2627</v>
      </c>
      <c r="G71" s="65"/>
      <c r="H71" s="65"/>
      <c r="I71" s="65"/>
    </row>
  </sheetData>
  <hyperlinks>
    <hyperlink r:id="rId1" ref="B5"/>
  </hyperlin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.63"/>
    <col customWidth="1" min="5" max="5" width="10.75"/>
    <col customWidth="1" min="7" max="7" width="16.38"/>
    <col customWidth="1" min="8" max="8" width="10.38"/>
    <col customWidth="1" min="9" max="9" width="22.38"/>
    <col customWidth="1" min="10" max="10" width="32.63"/>
  </cols>
  <sheetData>
    <row r="1">
      <c r="A1" s="302"/>
    </row>
    <row r="6">
      <c r="D6" s="389" t="s">
        <v>2628</v>
      </c>
      <c r="E6" s="389" t="s">
        <v>2</v>
      </c>
      <c r="F6" s="390"/>
      <c r="G6" s="389" t="s">
        <v>2629</v>
      </c>
      <c r="H6" s="389" t="s">
        <v>2630</v>
      </c>
      <c r="I6" s="389" t="s">
        <v>5</v>
      </c>
      <c r="J6" s="389" t="s">
        <v>4</v>
      </c>
    </row>
    <row r="7">
      <c r="D7" s="109"/>
      <c r="E7" s="109"/>
      <c r="F7" s="109"/>
      <c r="G7" s="109"/>
      <c r="H7" s="109"/>
      <c r="I7" s="109"/>
      <c r="J7" s="109"/>
    </row>
    <row r="8">
      <c r="D8" s="111">
        <v>1.0</v>
      </c>
      <c r="E8" s="107" t="s">
        <v>2631</v>
      </c>
      <c r="F8" s="109"/>
      <c r="G8" s="107" t="s">
        <v>2632</v>
      </c>
      <c r="H8" s="107" t="s">
        <v>2633</v>
      </c>
      <c r="I8" s="107" t="s">
        <v>2634</v>
      </c>
      <c r="J8" s="107" t="s">
        <v>2635</v>
      </c>
    </row>
    <row r="9">
      <c r="D9" s="109"/>
      <c r="E9" s="109"/>
      <c r="F9" s="109"/>
      <c r="G9" s="107" t="s">
        <v>2636</v>
      </c>
      <c r="H9" s="107" t="s">
        <v>2637</v>
      </c>
      <c r="I9" s="107" t="s">
        <v>2638</v>
      </c>
      <c r="J9" s="107" t="s">
        <v>2639</v>
      </c>
    </row>
    <row r="10">
      <c r="D10" s="109"/>
      <c r="E10" s="109"/>
      <c r="F10" s="109"/>
      <c r="G10" s="107" t="s">
        <v>2640</v>
      </c>
      <c r="H10" s="107" t="s">
        <v>2641</v>
      </c>
      <c r="I10" s="107" t="s">
        <v>2642</v>
      </c>
      <c r="J10" s="107" t="s">
        <v>2643</v>
      </c>
    </row>
    <row r="11">
      <c r="D11" s="109"/>
      <c r="E11" s="109"/>
      <c r="F11" s="109"/>
      <c r="G11" s="107" t="s">
        <v>2644</v>
      </c>
      <c r="H11" s="107" t="s">
        <v>2645</v>
      </c>
      <c r="I11" s="107" t="s">
        <v>2646</v>
      </c>
      <c r="J11" s="107" t="s">
        <v>2647</v>
      </c>
    </row>
    <row r="12">
      <c r="D12" s="109"/>
      <c r="E12" s="109"/>
      <c r="F12" s="109"/>
      <c r="G12" s="107" t="s">
        <v>2648</v>
      </c>
      <c r="H12" s="107" t="s">
        <v>2649</v>
      </c>
      <c r="I12" s="107" t="s">
        <v>2650</v>
      </c>
      <c r="J12" s="107" t="s">
        <v>2651</v>
      </c>
    </row>
    <row r="13">
      <c r="D13" s="109"/>
      <c r="E13" s="109"/>
      <c r="F13" s="109"/>
      <c r="G13" s="109"/>
      <c r="H13" s="109"/>
      <c r="I13" s="109"/>
      <c r="J13" s="109"/>
    </row>
    <row r="14">
      <c r="D14" s="111">
        <v>2.0</v>
      </c>
      <c r="E14" s="107" t="s">
        <v>261</v>
      </c>
      <c r="F14" s="109"/>
      <c r="G14" s="107" t="s">
        <v>2652</v>
      </c>
      <c r="H14" s="107" t="s">
        <v>2653</v>
      </c>
      <c r="I14" s="125" t="b">
        <v>0</v>
      </c>
      <c r="J14" s="107" t="s">
        <v>2654</v>
      </c>
    </row>
    <row r="15">
      <c r="D15" s="109"/>
      <c r="E15" s="109"/>
      <c r="F15" s="109"/>
      <c r="G15" s="107" t="s">
        <v>2655</v>
      </c>
      <c r="H15" s="107" t="s">
        <v>2656</v>
      </c>
      <c r="I15" s="125" t="b">
        <v>0</v>
      </c>
      <c r="J15" s="107" t="s">
        <v>2657</v>
      </c>
    </row>
    <row r="16">
      <c r="D16" s="109"/>
      <c r="E16" s="109"/>
      <c r="F16" s="109"/>
      <c r="G16" s="107" t="s">
        <v>2658</v>
      </c>
      <c r="H16" s="107" t="s">
        <v>2659</v>
      </c>
      <c r="I16" s="125" t="b">
        <v>0</v>
      </c>
      <c r="J16" s="107" t="s">
        <v>2660</v>
      </c>
    </row>
    <row r="17">
      <c r="D17" s="109"/>
      <c r="E17" s="109"/>
      <c r="F17" s="109"/>
      <c r="G17" s="107" t="s">
        <v>2661</v>
      </c>
      <c r="H17" s="107" t="s">
        <v>2662</v>
      </c>
      <c r="I17" s="125" t="b">
        <v>0</v>
      </c>
      <c r="J17" s="107" t="s">
        <v>2663</v>
      </c>
    </row>
    <row r="18">
      <c r="D18" s="109"/>
      <c r="E18" s="109"/>
      <c r="F18" s="109"/>
      <c r="G18" s="107" t="s">
        <v>2664</v>
      </c>
      <c r="H18" s="107" t="s">
        <v>2664</v>
      </c>
      <c r="I18" s="125" t="b">
        <v>1</v>
      </c>
      <c r="J18" s="107" t="s">
        <v>2665</v>
      </c>
    </row>
    <row r="19">
      <c r="D19" s="109"/>
      <c r="E19" s="109"/>
      <c r="F19" s="109"/>
      <c r="G19" s="109"/>
      <c r="H19" s="109"/>
      <c r="I19" s="109"/>
      <c r="J19" s="109"/>
    </row>
    <row r="20">
      <c r="D20" s="111">
        <v>3.0</v>
      </c>
      <c r="E20" s="107" t="s">
        <v>270</v>
      </c>
      <c r="F20" s="109"/>
      <c r="G20" s="107" t="s">
        <v>2666</v>
      </c>
      <c r="H20" s="109"/>
      <c r="I20" s="127">
        <v>13.0</v>
      </c>
      <c r="J20" s="107" t="s">
        <v>2667</v>
      </c>
    </row>
    <row r="21">
      <c r="D21" s="109"/>
      <c r="E21" s="109"/>
      <c r="F21" s="109"/>
      <c r="G21" s="107" t="s">
        <v>2668</v>
      </c>
      <c r="H21" s="109"/>
      <c r="I21" s="127">
        <v>6.0</v>
      </c>
      <c r="J21" s="107" t="s">
        <v>2669</v>
      </c>
    </row>
    <row r="22">
      <c r="D22" s="109"/>
      <c r="E22" s="109"/>
      <c r="F22" s="109"/>
      <c r="G22" s="107" t="s">
        <v>2670</v>
      </c>
      <c r="H22" s="109"/>
      <c r="I22" s="127">
        <v>6.0</v>
      </c>
      <c r="J22" s="107" t="s">
        <v>2671</v>
      </c>
    </row>
    <row r="23">
      <c r="D23" s="109"/>
      <c r="E23" s="109"/>
      <c r="F23" s="109"/>
      <c r="G23" s="107" t="s">
        <v>2672</v>
      </c>
      <c r="H23" s="109"/>
      <c r="I23" s="127">
        <v>4.0</v>
      </c>
      <c r="J23" s="107" t="s">
        <v>2673</v>
      </c>
    </row>
    <row r="24">
      <c r="D24" s="109"/>
      <c r="E24" s="109"/>
      <c r="F24" s="109"/>
      <c r="G24" s="107" t="s">
        <v>2674</v>
      </c>
      <c r="H24" s="109"/>
      <c r="I24" s="127">
        <v>7.0</v>
      </c>
      <c r="J24" s="107" t="s">
        <v>2675</v>
      </c>
    </row>
    <row r="25">
      <c r="D25" s="109"/>
      <c r="E25" s="109"/>
      <c r="F25" s="109"/>
      <c r="G25" s="109"/>
      <c r="H25" s="109"/>
      <c r="I25" s="109"/>
      <c r="J25" s="109"/>
    </row>
    <row r="26">
      <c r="D26" s="111">
        <v>4.0</v>
      </c>
      <c r="E26" s="107" t="s">
        <v>279</v>
      </c>
      <c r="F26" s="109"/>
      <c r="G26" s="107" t="s">
        <v>2676</v>
      </c>
      <c r="H26" s="109"/>
      <c r="I26" s="107" t="s">
        <v>2677</v>
      </c>
      <c r="J26" s="107" t="s">
        <v>2678</v>
      </c>
    </row>
    <row r="27">
      <c r="D27" s="109"/>
      <c r="E27" s="109"/>
      <c r="F27" s="109"/>
      <c r="G27" s="107" t="s">
        <v>566</v>
      </c>
      <c r="H27" s="109"/>
      <c r="I27" s="107" t="s">
        <v>2679</v>
      </c>
      <c r="J27" s="107" t="s">
        <v>2680</v>
      </c>
    </row>
    <row r="28">
      <c r="D28" s="109"/>
      <c r="E28" s="109"/>
      <c r="F28" s="109"/>
      <c r="G28" s="107" t="s">
        <v>2681</v>
      </c>
      <c r="H28" s="109"/>
      <c r="I28" s="107" t="s">
        <v>2682</v>
      </c>
      <c r="J28" s="107" t="s">
        <v>2683</v>
      </c>
    </row>
    <row r="29">
      <c r="D29" s="109"/>
      <c r="E29" s="109"/>
      <c r="F29" s="109"/>
      <c r="G29" s="107" t="s">
        <v>2684</v>
      </c>
      <c r="H29" s="109"/>
      <c r="I29" s="107" t="s">
        <v>2685</v>
      </c>
      <c r="J29" s="107" t="s">
        <v>2686</v>
      </c>
    </row>
    <row r="30">
      <c r="D30" s="109"/>
      <c r="E30" s="109"/>
      <c r="F30" s="109"/>
      <c r="G30" s="107" t="s">
        <v>2687</v>
      </c>
      <c r="H30" s="109"/>
      <c r="I30" s="107" t="s">
        <v>2688</v>
      </c>
      <c r="J30" s="107" t="s">
        <v>2689</v>
      </c>
    </row>
    <row r="31">
      <c r="D31" s="109"/>
      <c r="E31" s="109"/>
      <c r="F31" s="109"/>
      <c r="G31" s="109"/>
      <c r="H31" s="109"/>
      <c r="I31" s="109"/>
      <c r="J31" s="109"/>
    </row>
    <row r="32">
      <c r="D32" s="111">
        <v>5.0</v>
      </c>
      <c r="E32" s="107" t="s">
        <v>285</v>
      </c>
      <c r="F32" s="109"/>
      <c r="G32" s="107" t="s">
        <v>1359</v>
      </c>
      <c r="H32" s="109"/>
      <c r="I32" s="107" t="s">
        <v>2690</v>
      </c>
      <c r="J32" s="107" t="s">
        <v>2691</v>
      </c>
    </row>
    <row r="33">
      <c r="D33" s="109"/>
      <c r="E33" s="109"/>
      <c r="F33" s="109"/>
      <c r="G33" s="107" t="s">
        <v>2692</v>
      </c>
      <c r="H33" s="109"/>
      <c r="I33" s="107" t="s">
        <v>2693</v>
      </c>
      <c r="J33" s="107" t="s">
        <v>2694</v>
      </c>
    </row>
    <row r="34">
      <c r="D34" s="109"/>
      <c r="E34" s="109"/>
      <c r="F34" s="109"/>
      <c r="G34" s="107" t="s">
        <v>2695</v>
      </c>
      <c r="H34" s="109"/>
      <c r="I34" s="107" t="s">
        <v>2696</v>
      </c>
      <c r="J34" s="107" t="s">
        <v>2697</v>
      </c>
    </row>
    <row r="35">
      <c r="D35" s="109"/>
      <c r="E35" s="109"/>
      <c r="F35" s="109"/>
      <c r="G35" s="107" t="s">
        <v>2698</v>
      </c>
      <c r="H35" s="109"/>
      <c r="I35" s="107" t="s">
        <v>2699</v>
      </c>
      <c r="J35" s="107" t="s">
        <v>2700</v>
      </c>
    </row>
    <row r="36">
      <c r="D36" s="109"/>
      <c r="E36" s="109"/>
      <c r="F36" s="109"/>
      <c r="G36" s="107" t="s">
        <v>2701</v>
      </c>
      <c r="H36" s="109"/>
      <c r="I36" s="107" t="s">
        <v>2702</v>
      </c>
      <c r="J36" s="107" t="s">
        <v>2703</v>
      </c>
    </row>
    <row r="37">
      <c r="D37" s="109"/>
      <c r="E37" s="109"/>
      <c r="F37" s="109"/>
      <c r="G37" s="109"/>
      <c r="H37" s="109"/>
      <c r="I37" s="109"/>
      <c r="J37" s="109"/>
    </row>
    <row r="38">
      <c r="D38" s="111">
        <v>6.0</v>
      </c>
      <c r="E38" s="107" t="s">
        <v>2704</v>
      </c>
      <c r="F38" s="109"/>
      <c r="G38" s="107" t="s">
        <v>2130</v>
      </c>
      <c r="H38" s="109"/>
      <c r="I38" s="127">
        <v>11.0</v>
      </c>
      <c r="J38" s="107" t="s">
        <v>2705</v>
      </c>
    </row>
    <row r="39">
      <c r="D39" s="109"/>
      <c r="E39" s="109"/>
      <c r="F39" s="109"/>
      <c r="G39" s="107" t="s">
        <v>2706</v>
      </c>
      <c r="H39" s="109"/>
      <c r="I39" s="127">
        <v>14.0</v>
      </c>
      <c r="J39" s="107" t="s">
        <v>2707</v>
      </c>
    </row>
    <row r="40">
      <c r="D40" s="109"/>
      <c r="E40" s="109"/>
      <c r="F40" s="109"/>
      <c r="G40" s="107" t="s">
        <v>2708</v>
      </c>
      <c r="H40" s="109"/>
      <c r="I40" s="127">
        <v>11.0</v>
      </c>
      <c r="J40" s="107" t="s">
        <v>2709</v>
      </c>
    </row>
    <row r="41">
      <c r="D41" s="109"/>
      <c r="E41" s="109"/>
      <c r="F41" s="109"/>
      <c r="G41" s="107" t="s">
        <v>2710</v>
      </c>
      <c r="H41" s="109"/>
      <c r="I41" s="127">
        <v>14.0</v>
      </c>
      <c r="J41" s="107" t="s">
        <v>2711</v>
      </c>
    </row>
    <row r="42">
      <c r="D42" s="109"/>
      <c r="E42" s="109"/>
      <c r="F42" s="109"/>
      <c r="G42" s="107" t="s">
        <v>2712</v>
      </c>
      <c r="H42" s="109"/>
      <c r="I42" s="127">
        <v>9.0</v>
      </c>
      <c r="J42" s="107" t="s">
        <v>2713</v>
      </c>
    </row>
    <row r="43">
      <c r="D43" s="109"/>
      <c r="E43" s="109"/>
      <c r="F43" s="109"/>
      <c r="G43" s="109"/>
      <c r="H43" s="109"/>
      <c r="I43" s="109"/>
      <c r="J43" s="109"/>
    </row>
    <row r="44">
      <c r="D44" s="111">
        <v>7.0</v>
      </c>
      <c r="E44" s="107" t="s">
        <v>90</v>
      </c>
      <c r="F44" s="109"/>
      <c r="G44" s="107" t="s">
        <v>2714</v>
      </c>
      <c r="H44" s="109"/>
      <c r="I44" s="107" t="s">
        <v>2715</v>
      </c>
      <c r="J44" s="107" t="s">
        <v>2716</v>
      </c>
    </row>
    <row r="45">
      <c r="D45" s="109"/>
      <c r="E45" s="109"/>
      <c r="F45" s="109"/>
      <c r="G45" s="107" t="s">
        <v>2717</v>
      </c>
      <c r="H45" s="109"/>
      <c r="I45" s="107" t="s">
        <v>2718</v>
      </c>
      <c r="J45" s="107" t="s">
        <v>2719</v>
      </c>
    </row>
    <row r="46">
      <c r="D46" s="109"/>
      <c r="E46" s="109"/>
      <c r="F46" s="109"/>
      <c r="G46" s="107" t="s">
        <v>2720</v>
      </c>
      <c r="H46" s="109"/>
      <c r="I46" s="107" t="s">
        <v>2721</v>
      </c>
      <c r="J46" s="107" t="s">
        <v>2722</v>
      </c>
    </row>
    <row r="47">
      <c r="D47" s="109"/>
      <c r="E47" s="109"/>
      <c r="F47" s="109"/>
      <c r="G47" s="107" t="s">
        <v>2723</v>
      </c>
      <c r="H47" s="109"/>
      <c r="I47" s="107" t="s">
        <v>2724</v>
      </c>
      <c r="J47" s="107" t="s">
        <v>2725</v>
      </c>
    </row>
    <row r="48">
      <c r="D48" s="109"/>
      <c r="E48" s="109"/>
      <c r="F48" s="109"/>
      <c r="G48" s="107" t="s">
        <v>1556</v>
      </c>
      <c r="H48" s="109"/>
      <c r="I48" s="107" t="s">
        <v>2726</v>
      </c>
      <c r="J48" s="107" t="s">
        <v>2727</v>
      </c>
    </row>
    <row r="49">
      <c r="D49" s="109"/>
      <c r="E49" s="109"/>
      <c r="F49" s="109"/>
      <c r="G49" s="109"/>
      <c r="H49" s="109"/>
      <c r="I49" s="109"/>
      <c r="J49" s="109"/>
    </row>
    <row r="50">
      <c r="D50" s="111">
        <v>8.0</v>
      </c>
      <c r="E50" s="107" t="s">
        <v>332</v>
      </c>
      <c r="F50" s="109"/>
      <c r="G50" s="107" t="s">
        <v>2728</v>
      </c>
      <c r="H50" s="109"/>
      <c r="I50" s="107" t="s">
        <v>2729</v>
      </c>
      <c r="J50" s="107" t="s">
        <v>2730</v>
      </c>
    </row>
    <row r="51">
      <c r="D51" s="109"/>
      <c r="E51" s="109"/>
      <c r="F51" s="109"/>
      <c r="G51" s="107" t="s">
        <v>2731</v>
      </c>
      <c r="H51" s="109"/>
      <c r="I51" s="107" t="s">
        <v>2732</v>
      </c>
      <c r="J51" s="107" t="s">
        <v>2733</v>
      </c>
    </row>
    <row r="52">
      <c r="D52" s="109"/>
      <c r="E52" s="109"/>
      <c r="F52" s="109"/>
      <c r="G52" s="107" t="s">
        <v>2734</v>
      </c>
      <c r="H52" s="109"/>
      <c r="I52" s="107" t="s">
        <v>2735</v>
      </c>
      <c r="J52" s="107" t="s">
        <v>2736</v>
      </c>
    </row>
    <row r="53">
      <c r="D53" s="109"/>
      <c r="E53" s="109"/>
      <c r="F53" s="109"/>
      <c r="G53" s="107" t="s">
        <v>2737</v>
      </c>
      <c r="H53" s="109"/>
      <c r="I53" s="107" t="s">
        <v>2738</v>
      </c>
      <c r="J53" s="107" t="s">
        <v>2739</v>
      </c>
    </row>
    <row r="54">
      <c r="D54" s="109"/>
      <c r="E54" s="109"/>
      <c r="F54" s="109"/>
      <c r="G54" s="107" t="s">
        <v>2740</v>
      </c>
      <c r="H54" s="109"/>
      <c r="I54" s="107" t="s">
        <v>2741</v>
      </c>
      <c r="J54" s="107" t="s">
        <v>2742</v>
      </c>
    </row>
    <row r="55">
      <c r="D55" s="109"/>
      <c r="E55" s="109"/>
      <c r="F55" s="109"/>
      <c r="G55" s="109"/>
      <c r="H55" s="109"/>
      <c r="I55" s="109"/>
      <c r="J55" s="109"/>
    </row>
    <row r="56">
      <c r="D56" s="111">
        <v>9.0</v>
      </c>
      <c r="E56" s="107" t="s">
        <v>343</v>
      </c>
      <c r="F56" s="109"/>
      <c r="G56" s="107" t="s">
        <v>2743</v>
      </c>
      <c r="H56" s="109"/>
      <c r="I56" s="107" t="s">
        <v>2744</v>
      </c>
      <c r="J56" s="107" t="s">
        <v>2745</v>
      </c>
    </row>
    <row r="57">
      <c r="D57" s="109"/>
      <c r="E57" s="109"/>
      <c r="F57" s="109"/>
      <c r="G57" s="107" t="s">
        <v>2746</v>
      </c>
      <c r="H57" s="109"/>
      <c r="I57" s="107" t="s">
        <v>2747</v>
      </c>
      <c r="J57" s="107" t="s">
        <v>2748</v>
      </c>
    </row>
    <row r="58">
      <c r="D58" s="109"/>
      <c r="E58" s="109"/>
      <c r="F58" s="109"/>
      <c r="G58" s="107" t="s">
        <v>2749</v>
      </c>
      <c r="H58" s="109"/>
      <c r="I58" s="107" t="s">
        <v>2674</v>
      </c>
      <c r="J58" s="107" t="s">
        <v>2750</v>
      </c>
    </row>
    <row r="59">
      <c r="D59" s="109"/>
      <c r="E59" s="109"/>
      <c r="F59" s="109"/>
      <c r="G59" s="107" t="s">
        <v>2751</v>
      </c>
      <c r="H59" s="109"/>
      <c r="I59" s="107" t="s">
        <v>2752</v>
      </c>
      <c r="J59" s="107" t="s">
        <v>2753</v>
      </c>
    </row>
    <row r="60">
      <c r="D60" s="109"/>
      <c r="E60" s="109"/>
      <c r="F60" s="109"/>
      <c r="G60" s="107" t="s">
        <v>2754</v>
      </c>
      <c r="H60" s="109"/>
      <c r="I60" s="107" t="s">
        <v>2755</v>
      </c>
      <c r="J60" s="107" t="s">
        <v>2756</v>
      </c>
    </row>
    <row r="61">
      <c r="D61" s="109"/>
      <c r="E61" s="109"/>
      <c r="F61" s="109"/>
      <c r="G61" s="109"/>
      <c r="H61" s="109"/>
      <c r="I61" s="109"/>
      <c r="J61" s="109"/>
    </row>
    <row r="62">
      <c r="D62" s="111">
        <v>10.0</v>
      </c>
      <c r="E62" s="107" t="s">
        <v>310</v>
      </c>
      <c r="F62" s="109"/>
      <c r="G62" s="107" t="s">
        <v>2757</v>
      </c>
      <c r="H62" s="109"/>
      <c r="I62" s="107" t="s">
        <v>2758</v>
      </c>
      <c r="J62" s="107" t="s">
        <v>2759</v>
      </c>
    </row>
    <row r="63">
      <c r="D63" s="109"/>
      <c r="E63" s="109"/>
      <c r="F63" s="109"/>
      <c r="G63" s="107" t="s">
        <v>2760</v>
      </c>
      <c r="H63" s="109"/>
      <c r="I63" s="107" t="s">
        <v>2761</v>
      </c>
      <c r="J63" s="107" t="s">
        <v>2762</v>
      </c>
    </row>
    <row r="64">
      <c r="D64" s="109"/>
      <c r="E64" s="109"/>
      <c r="F64" s="109"/>
      <c r="G64" s="107" t="s">
        <v>2763</v>
      </c>
      <c r="H64" s="109"/>
      <c r="I64" s="107" t="s">
        <v>2764</v>
      </c>
      <c r="J64" s="107" t="s">
        <v>2765</v>
      </c>
    </row>
    <row r="65">
      <c r="D65" s="109"/>
      <c r="E65" s="109"/>
      <c r="F65" s="109"/>
      <c r="G65" s="107" t="s">
        <v>2766</v>
      </c>
      <c r="H65" s="109"/>
      <c r="I65" s="107" t="s">
        <v>2767</v>
      </c>
      <c r="J65" s="107" t="s">
        <v>2768</v>
      </c>
    </row>
    <row r="66">
      <c r="D66" s="109"/>
      <c r="E66" s="109"/>
      <c r="F66" s="109"/>
      <c r="G66" s="107" t="s">
        <v>2769</v>
      </c>
      <c r="H66" s="109"/>
      <c r="I66" s="107" t="s">
        <v>2770</v>
      </c>
      <c r="J66" s="107" t="s">
        <v>2771</v>
      </c>
    </row>
    <row r="67">
      <c r="D67" s="109"/>
      <c r="E67" s="109"/>
      <c r="F67" s="109"/>
      <c r="G67" s="109"/>
      <c r="H67" s="109"/>
      <c r="I67" s="109"/>
      <c r="J67" s="109"/>
    </row>
    <row r="68">
      <c r="D68" s="111">
        <v>11.0</v>
      </c>
      <c r="E68" s="107" t="s">
        <v>321</v>
      </c>
      <c r="F68" s="109"/>
      <c r="G68" s="107" t="s">
        <v>2772</v>
      </c>
      <c r="H68" s="109"/>
      <c r="I68" s="107" t="s">
        <v>2773</v>
      </c>
      <c r="J68" s="107" t="s">
        <v>2774</v>
      </c>
    </row>
    <row r="69">
      <c r="D69" s="109"/>
      <c r="E69" s="109"/>
      <c r="F69" s="109"/>
      <c r="G69" s="107" t="s">
        <v>2775</v>
      </c>
      <c r="H69" s="109"/>
      <c r="I69" s="107" t="s">
        <v>2776</v>
      </c>
      <c r="J69" s="107" t="s">
        <v>2777</v>
      </c>
    </row>
    <row r="70">
      <c r="D70" s="109"/>
      <c r="E70" s="109"/>
      <c r="F70" s="109"/>
      <c r="G70" s="107" t="s">
        <v>2778</v>
      </c>
      <c r="H70" s="109"/>
      <c r="I70" s="107" t="s">
        <v>2779</v>
      </c>
      <c r="J70" s="107" t="s">
        <v>2780</v>
      </c>
    </row>
    <row r="71">
      <c r="D71" s="109"/>
      <c r="E71" s="109"/>
      <c r="F71" s="109"/>
      <c r="G71" s="107" t="s">
        <v>2781</v>
      </c>
      <c r="H71" s="109"/>
      <c r="I71" s="107" t="s">
        <v>2782</v>
      </c>
      <c r="J71" s="107" t="s">
        <v>2783</v>
      </c>
    </row>
    <row r="72">
      <c r="D72" s="109"/>
      <c r="E72" s="109"/>
      <c r="F72" s="109"/>
      <c r="G72" s="107" t="s">
        <v>2784</v>
      </c>
      <c r="H72" s="109"/>
      <c r="I72" s="107" t="s">
        <v>2785</v>
      </c>
      <c r="J72" s="107" t="s">
        <v>2786</v>
      </c>
    </row>
    <row r="73">
      <c r="D73" s="109"/>
      <c r="E73" s="109"/>
      <c r="F73" s="109"/>
      <c r="G73" s="109"/>
      <c r="H73" s="109"/>
      <c r="I73" s="109"/>
      <c r="J73" s="109"/>
    </row>
    <row r="74">
      <c r="D74" s="111">
        <v>12.0</v>
      </c>
      <c r="E74" s="107" t="s">
        <v>349</v>
      </c>
      <c r="F74" s="109"/>
      <c r="G74" s="107" t="s">
        <v>2787</v>
      </c>
      <c r="H74" s="109"/>
      <c r="I74" s="127">
        <v>3.0</v>
      </c>
      <c r="J74" s="107" t="s">
        <v>2788</v>
      </c>
    </row>
    <row r="75">
      <c r="D75" s="109"/>
      <c r="E75" s="109"/>
      <c r="F75" s="109"/>
      <c r="G75" s="107" t="s">
        <v>2789</v>
      </c>
      <c r="H75" s="109"/>
      <c r="I75" s="127">
        <v>7.0</v>
      </c>
      <c r="J75" s="107" t="s">
        <v>2790</v>
      </c>
    </row>
    <row r="76">
      <c r="D76" s="109"/>
      <c r="E76" s="109"/>
      <c r="F76" s="109"/>
      <c r="G76" s="107" t="s">
        <v>2791</v>
      </c>
      <c r="H76" s="109"/>
      <c r="I76" s="127" t="e">
        <v>#VALUE!</v>
      </c>
      <c r="J76" s="107" t="s">
        <v>2792</v>
      </c>
    </row>
    <row r="77">
      <c r="D77" s="109"/>
      <c r="E77" s="109"/>
      <c r="F77" s="109"/>
      <c r="G77" s="107" t="s">
        <v>2793</v>
      </c>
      <c r="H77" s="109"/>
      <c r="I77" s="127">
        <v>12.0</v>
      </c>
      <c r="J77" s="107" t="s">
        <v>2794</v>
      </c>
    </row>
    <row r="78">
      <c r="D78" s="109"/>
      <c r="E78" s="109"/>
      <c r="F78" s="109"/>
      <c r="G78" s="107" t="s">
        <v>2795</v>
      </c>
      <c r="H78" s="109"/>
      <c r="I78" s="127">
        <v>7.0</v>
      </c>
      <c r="J78" s="107" t="s">
        <v>2796</v>
      </c>
    </row>
    <row r="79">
      <c r="D79" s="109"/>
      <c r="E79" s="109"/>
      <c r="F79" s="109"/>
      <c r="G79" s="109"/>
      <c r="H79" s="109"/>
      <c r="I79" s="109"/>
      <c r="J79" s="109"/>
    </row>
    <row r="80">
      <c r="D80" s="111">
        <v>13.0</v>
      </c>
      <c r="E80" s="107" t="s">
        <v>375</v>
      </c>
      <c r="F80" s="109"/>
      <c r="G80" s="107" t="s">
        <v>2797</v>
      </c>
      <c r="H80" s="109"/>
      <c r="I80" s="107" t="s">
        <v>2798</v>
      </c>
      <c r="J80" s="107" t="s">
        <v>2799</v>
      </c>
    </row>
    <row r="81">
      <c r="D81" s="109"/>
      <c r="E81" s="109"/>
      <c r="F81" s="109"/>
      <c r="G81" s="107" t="s">
        <v>2800</v>
      </c>
      <c r="H81" s="109"/>
      <c r="I81" s="107" t="s">
        <v>2801</v>
      </c>
      <c r="J81" s="107" t="s">
        <v>2802</v>
      </c>
    </row>
    <row r="82">
      <c r="D82" s="109"/>
      <c r="E82" s="109"/>
      <c r="F82" s="109"/>
      <c r="G82" s="107" t="s">
        <v>2803</v>
      </c>
      <c r="H82" s="109"/>
      <c r="I82" s="107" t="s">
        <v>2804</v>
      </c>
      <c r="J82" s="107" t="s">
        <v>2805</v>
      </c>
    </row>
    <row r="83">
      <c r="D83" s="109"/>
      <c r="E83" s="109"/>
      <c r="F83" s="109"/>
      <c r="G83" s="107" t="s">
        <v>2806</v>
      </c>
      <c r="H83" s="109"/>
      <c r="I83" s="107" t="s">
        <v>2807</v>
      </c>
      <c r="J83" s="107" t="s">
        <v>2808</v>
      </c>
    </row>
    <row r="84">
      <c r="D84" s="109"/>
      <c r="E84" s="109"/>
      <c r="F84" s="109"/>
      <c r="G84" s="107" t="s">
        <v>2809</v>
      </c>
      <c r="H84" s="109"/>
      <c r="I84" s="107" t="s">
        <v>2810</v>
      </c>
      <c r="J84" s="107" t="s">
        <v>2811</v>
      </c>
    </row>
    <row r="85">
      <c r="D85" s="109"/>
      <c r="E85" s="109"/>
      <c r="F85" s="109"/>
      <c r="G85" s="109"/>
      <c r="H85" s="109"/>
      <c r="I85" s="109"/>
      <c r="J85" s="109"/>
    </row>
    <row r="86">
      <c r="D86" s="111">
        <v>14.0</v>
      </c>
      <c r="E86" s="107" t="s">
        <v>367</v>
      </c>
      <c r="F86" s="109"/>
      <c r="G86" s="107" t="s">
        <v>2812</v>
      </c>
      <c r="H86" s="107" t="s">
        <v>2813</v>
      </c>
      <c r="I86" s="107" t="s">
        <v>2814</v>
      </c>
      <c r="J86" s="107" t="s">
        <v>2815</v>
      </c>
    </row>
    <row r="87">
      <c r="D87" s="109"/>
      <c r="E87" s="109"/>
      <c r="F87" s="109"/>
      <c r="G87" s="107" t="s">
        <v>2816</v>
      </c>
      <c r="H87" s="107" t="s">
        <v>2817</v>
      </c>
      <c r="I87" s="107" t="s">
        <v>2818</v>
      </c>
      <c r="J87" s="107" t="s">
        <v>2819</v>
      </c>
    </row>
    <row r="88">
      <c r="D88" s="109"/>
      <c r="E88" s="109"/>
      <c r="F88" s="109"/>
      <c r="G88" s="107" t="s">
        <v>1593</v>
      </c>
      <c r="H88" s="107" t="s">
        <v>2820</v>
      </c>
      <c r="I88" s="107" t="s">
        <v>2821</v>
      </c>
      <c r="J88" s="107" t="s">
        <v>2822</v>
      </c>
    </row>
    <row r="89">
      <c r="D89" s="109"/>
      <c r="E89" s="109"/>
      <c r="F89" s="109"/>
      <c r="G89" s="107" t="s">
        <v>2823</v>
      </c>
      <c r="H89" s="107" t="s">
        <v>2824</v>
      </c>
      <c r="I89" s="109"/>
      <c r="J89" s="109"/>
    </row>
    <row r="90">
      <c r="D90" s="109"/>
      <c r="E90" s="109"/>
      <c r="F90" s="109"/>
      <c r="G90" s="109"/>
      <c r="H90" s="109"/>
      <c r="I90" s="107" t="s">
        <v>2825</v>
      </c>
      <c r="J90" s="107" t="s">
        <v>2826</v>
      </c>
    </row>
    <row r="91">
      <c r="D91" s="109"/>
      <c r="E91" s="109"/>
      <c r="F91" s="109"/>
      <c r="G91" s="107" t="s">
        <v>2812</v>
      </c>
      <c r="H91" s="107" t="s">
        <v>2729</v>
      </c>
      <c r="I91" s="107" t="s">
        <v>2827</v>
      </c>
      <c r="J91" s="107" t="s">
        <v>2828</v>
      </c>
    </row>
    <row r="92">
      <c r="D92" s="109"/>
      <c r="E92" s="109"/>
      <c r="F92" s="109"/>
      <c r="G92" s="107" t="s">
        <v>2829</v>
      </c>
      <c r="H92" s="107" t="s">
        <v>2830</v>
      </c>
      <c r="I92" s="109"/>
      <c r="J92" s="109"/>
    </row>
    <row r="93">
      <c r="D93" s="109"/>
      <c r="E93" s="109"/>
      <c r="F93" s="109"/>
      <c r="G93" s="109"/>
      <c r="H93" s="109"/>
      <c r="I93" s="109"/>
      <c r="J93" s="109"/>
    </row>
    <row r="94">
      <c r="D94" s="111">
        <v>15.0</v>
      </c>
      <c r="E94" s="107" t="s">
        <v>368</v>
      </c>
      <c r="F94" s="109"/>
      <c r="G94" s="107" t="s">
        <v>2831</v>
      </c>
      <c r="H94" s="109"/>
      <c r="I94" s="107" t="s">
        <v>2831</v>
      </c>
      <c r="J94" s="107" t="s">
        <v>2832</v>
      </c>
    </row>
    <row r="95">
      <c r="D95" s="109"/>
      <c r="E95" s="109"/>
      <c r="F95" s="109"/>
      <c r="G95" s="107" t="s">
        <v>2833</v>
      </c>
      <c r="H95" s="109"/>
      <c r="I95" s="107" t="s">
        <v>2833</v>
      </c>
      <c r="J95" s="107" t="s">
        <v>2834</v>
      </c>
    </row>
    <row r="96">
      <c r="D96" s="109"/>
      <c r="E96" s="109"/>
      <c r="F96" s="109"/>
      <c r="G96" s="107" t="s">
        <v>2835</v>
      </c>
      <c r="H96" s="109"/>
      <c r="I96" s="107" t="s">
        <v>2835</v>
      </c>
      <c r="J96" s="107" t="s">
        <v>2836</v>
      </c>
    </row>
    <row r="97">
      <c r="D97" s="109"/>
      <c r="E97" s="109"/>
      <c r="F97" s="109"/>
      <c r="G97" s="107" t="s">
        <v>2837</v>
      </c>
      <c r="H97" s="107" t="s">
        <v>2838</v>
      </c>
      <c r="I97" s="107" t="s">
        <v>2839</v>
      </c>
      <c r="J97" s="107" t="s">
        <v>2840</v>
      </c>
    </row>
    <row r="98">
      <c r="D98" s="109"/>
      <c r="E98" s="109"/>
      <c r="F98" s="109"/>
      <c r="G98" s="107" t="s">
        <v>2841</v>
      </c>
      <c r="H98" s="107" t="s">
        <v>2842</v>
      </c>
      <c r="I98" s="107" t="s">
        <v>2843</v>
      </c>
      <c r="J98" s="107" t="s">
        <v>2844</v>
      </c>
    </row>
    <row r="99">
      <c r="D99" s="109"/>
      <c r="E99" s="109"/>
      <c r="F99" s="109"/>
      <c r="G99" s="109"/>
      <c r="H99" s="109"/>
      <c r="I99" s="109"/>
      <c r="J99" s="109"/>
    </row>
    <row r="100">
      <c r="D100" s="111">
        <v>16.0</v>
      </c>
      <c r="E100" s="107" t="s">
        <v>2845</v>
      </c>
      <c r="F100" s="109"/>
      <c r="G100" s="111">
        <v>523.5968</v>
      </c>
      <c r="H100" s="109"/>
      <c r="I100" s="107">
        <v>523.6</v>
      </c>
      <c r="J100" s="107" t="s">
        <v>2846</v>
      </c>
    </row>
    <row r="101">
      <c r="D101" s="109"/>
      <c r="E101" s="109"/>
      <c r="F101" s="109"/>
      <c r="G101" s="111">
        <v>98745.35476</v>
      </c>
      <c r="H101" s="109"/>
      <c r="I101" s="107">
        <v>98745.4</v>
      </c>
      <c r="J101" s="107" t="s">
        <v>2847</v>
      </c>
    </row>
    <row r="102">
      <c r="D102" s="109"/>
      <c r="E102" s="109"/>
      <c r="F102" s="109"/>
      <c r="G102" s="111" t="s">
        <v>2848</v>
      </c>
      <c r="H102" s="109"/>
      <c r="I102" s="107">
        <v>78.0</v>
      </c>
      <c r="J102" s="107" t="s">
        <v>2849</v>
      </c>
    </row>
    <row r="103">
      <c r="D103" s="109"/>
      <c r="E103" s="109"/>
      <c r="F103" s="109"/>
      <c r="G103" s="109"/>
      <c r="H103" s="109"/>
      <c r="I103" s="109"/>
      <c r="J103" s="109"/>
    </row>
    <row r="104">
      <c r="D104" s="109"/>
      <c r="E104" s="109"/>
      <c r="F104" s="109"/>
      <c r="G104" s="109"/>
      <c r="H104" s="109"/>
      <c r="I104" s="109"/>
      <c r="J104" s="109"/>
    </row>
    <row r="105">
      <c r="D105" s="109"/>
      <c r="E105" s="109"/>
      <c r="F105" s="109"/>
      <c r="G105" s="109"/>
      <c r="H105" s="109"/>
      <c r="I105" s="109"/>
      <c r="J105" s="109"/>
    </row>
    <row r="106">
      <c r="D106" s="111">
        <v>17.0</v>
      </c>
      <c r="E106" s="107" t="s">
        <v>2850</v>
      </c>
      <c r="F106" s="109"/>
      <c r="G106" s="107" t="s">
        <v>2812</v>
      </c>
      <c r="H106" s="109"/>
      <c r="I106" s="107" t="s">
        <v>2812</v>
      </c>
      <c r="J106" s="107" t="s">
        <v>2851</v>
      </c>
    </row>
    <row r="107">
      <c r="D107" s="109"/>
      <c r="E107" s="109"/>
      <c r="F107" s="109"/>
      <c r="G107" s="391">
        <v>10000.0</v>
      </c>
      <c r="H107" s="109"/>
      <c r="I107" s="109"/>
      <c r="J107" s="107" t="s">
        <v>2852</v>
      </c>
    </row>
    <row r="108">
      <c r="D108" s="109"/>
      <c r="E108" s="109"/>
      <c r="F108" s="109"/>
      <c r="G108" s="107" t="s">
        <v>2853</v>
      </c>
      <c r="H108" s="109"/>
      <c r="I108" s="107" t="s">
        <v>2853</v>
      </c>
      <c r="J108" s="107" t="s">
        <v>2854</v>
      </c>
    </row>
    <row r="109">
      <c r="D109" s="109"/>
      <c r="E109" s="109"/>
      <c r="F109" s="109"/>
      <c r="G109" s="392">
        <v>44896.0</v>
      </c>
      <c r="H109" s="109"/>
      <c r="I109" s="109"/>
      <c r="J109" s="107" t="s">
        <v>2855</v>
      </c>
    </row>
    <row r="110">
      <c r="D110" s="109"/>
      <c r="E110" s="109"/>
      <c r="F110" s="109"/>
      <c r="G110" s="107" t="s">
        <v>2856</v>
      </c>
      <c r="H110" s="109"/>
      <c r="I110" s="107" t="s">
        <v>2856</v>
      </c>
      <c r="J110" s="107" t="s">
        <v>2857</v>
      </c>
    </row>
    <row r="111">
      <c r="D111" s="109"/>
      <c r="E111" s="109"/>
      <c r="F111" s="109"/>
      <c r="G111" s="109"/>
      <c r="H111" s="109"/>
      <c r="I111" s="109"/>
      <c r="J111" s="109"/>
    </row>
    <row r="112">
      <c r="D112" s="109"/>
      <c r="E112" s="109"/>
      <c r="F112" s="109"/>
      <c r="G112" s="109"/>
      <c r="H112" s="109"/>
      <c r="I112" s="109"/>
      <c r="J112" s="109"/>
    </row>
    <row r="113">
      <c r="D113" s="111">
        <v>18.0</v>
      </c>
      <c r="E113" s="107" t="s">
        <v>361</v>
      </c>
      <c r="F113" s="109"/>
      <c r="G113" s="392">
        <v>46237.0</v>
      </c>
      <c r="H113" s="109"/>
      <c r="I113" s="107" t="s">
        <v>2858</v>
      </c>
      <c r="J113" s="107" t="s">
        <v>2859</v>
      </c>
    </row>
    <row r="114">
      <c r="D114" s="109"/>
      <c r="E114" s="109"/>
      <c r="F114" s="109"/>
      <c r="G114" s="111">
        <v>389.0</v>
      </c>
      <c r="H114" s="109"/>
      <c r="I114" s="107">
        <v>389.0</v>
      </c>
      <c r="J114" s="107" t="s">
        <v>2860</v>
      </c>
    </row>
    <row r="115">
      <c r="D115" s="109"/>
      <c r="E115" s="109"/>
      <c r="F115" s="109"/>
      <c r="G115" s="111">
        <v>0.8976</v>
      </c>
      <c r="H115" s="109"/>
      <c r="I115" s="393">
        <v>0.9</v>
      </c>
      <c r="J115" s="107" t="s">
        <v>2861</v>
      </c>
    </row>
    <row r="116">
      <c r="D116" s="109"/>
      <c r="E116" s="109"/>
      <c r="F116" s="109"/>
      <c r="G116" s="111">
        <v>569321.0</v>
      </c>
      <c r="H116" s="109"/>
      <c r="I116" s="107" t="s">
        <v>2862</v>
      </c>
      <c r="J116" s="107" t="s">
        <v>2863</v>
      </c>
    </row>
    <row r="117">
      <c r="D117" s="109"/>
      <c r="E117" s="109"/>
      <c r="F117" s="109"/>
      <c r="G117" s="392">
        <v>46237.0</v>
      </c>
      <c r="H117" s="109"/>
      <c r="I117" s="107" t="s">
        <v>2236</v>
      </c>
      <c r="J117" s="107" t="s">
        <v>2864</v>
      </c>
    </row>
    <row r="118">
      <c r="D118" s="109"/>
      <c r="E118" s="109"/>
      <c r="F118" s="109"/>
      <c r="G118" s="109"/>
      <c r="H118" s="109"/>
      <c r="I118" s="109"/>
      <c r="J118" s="109"/>
    </row>
    <row r="119">
      <c r="D119" s="111">
        <v>19.0</v>
      </c>
      <c r="E119" s="107" t="s">
        <v>2254</v>
      </c>
      <c r="F119" s="109"/>
      <c r="G119" s="111">
        <v>3.0</v>
      </c>
      <c r="H119" s="109"/>
      <c r="I119" s="107" t="s">
        <v>2565</v>
      </c>
      <c r="J119" s="107" t="s">
        <v>2865</v>
      </c>
    </row>
    <row r="120">
      <c r="D120" s="109"/>
      <c r="E120" s="109"/>
      <c r="F120" s="109"/>
      <c r="G120" s="111">
        <v>56.0</v>
      </c>
      <c r="H120" s="109"/>
      <c r="I120" s="107">
        <v>56.0</v>
      </c>
      <c r="J120" s="107" t="s">
        <v>2866</v>
      </c>
    </row>
    <row r="121">
      <c r="D121" s="109"/>
      <c r="E121" s="109"/>
      <c r="F121" s="109"/>
      <c r="G121" s="111">
        <v>4.0</v>
      </c>
      <c r="H121" s="109"/>
      <c r="I121" s="107" t="s">
        <v>2867</v>
      </c>
      <c r="J121" s="107" t="s">
        <v>2868</v>
      </c>
    </row>
    <row r="122">
      <c r="D122" s="109"/>
      <c r="E122" s="109"/>
      <c r="F122" s="109"/>
      <c r="G122" s="111">
        <v>20.0</v>
      </c>
      <c r="H122" s="109"/>
      <c r="I122" s="107" t="s">
        <v>2869</v>
      </c>
      <c r="J122" s="107" t="s">
        <v>2870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75"/>
    <col customWidth="1" min="7" max="7" width="17.25"/>
    <col customWidth="1" min="8" max="8" width="17.38"/>
  </cols>
  <sheetData>
    <row r="3">
      <c r="C3" s="15" t="s">
        <v>1690</v>
      </c>
      <c r="D3" s="1" t="s">
        <v>2</v>
      </c>
      <c r="E3" s="1" t="s">
        <v>3</v>
      </c>
      <c r="G3" s="1" t="s">
        <v>4</v>
      </c>
      <c r="H3" s="1" t="s">
        <v>5</v>
      </c>
    </row>
    <row r="5">
      <c r="C5" s="1">
        <v>1.1</v>
      </c>
      <c r="D5" s="1" t="s">
        <v>1311</v>
      </c>
      <c r="E5" s="1">
        <v>107.0</v>
      </c>
      <c r="G5" s="1" t="s">
        <v>2871</v>
      </c>
      <c r="H5" s="6" t="str">
        <f>CHAR(107)</f>
        <v>k</v>
      </c>
    </row>
    <row r="6">
      <c r="C6" s="1">
        <v>1.2</v>
      </c>
      <c r="E6" s="1">
        <v>114.0</v>
      </c>
      <c r="G6" s="1" t="s">
        <v>2872</v>
      </c>
      <c r="H6" s="6" t="str">
        <f>CHAR(114)</f>
        <v>r</v>
      </c>
    </row>
    <row r="7">
      <c r="C7" s="1">
        <v>1.3</v>
      </c>
      <c r="E7" s="1">
        <v>117.0</v>
      </c>
      <c r="G7" s="1" t="s">
        <v>2873</v>
      </c>
      <c r="H7" s="6" t="str">
        <f>CHAR(117)</f>
        <v>u</v>
      </c>
    </row>
    <row r="8">
      <c r="C8" s="1">
        <v>1.4</v>
      </c>
      <c r="E8" s="1">
        <v>110.0</v>
      </c>
      <c r="G8" s="1" t="s">
        <v>2874</v>
      </c>
      <c r="H8" s="6" t="str">
        <f>CHAR(110)</f>
        <v>n</v>
      </c>
    </row>
    <row r="9">
      <c r="C9" s="1">
        <v>1.5</v>
      </c>
      <c r="E9" s="1">
        <v>97.0</v>
      </c>
      <c r="G9" s="1" t="s">
        <v>2875</v>
      </c>
      <c r="H9" s="6" t="str">
        <f>CHAR(97)</f>
        <v>a</v>
      </c>
    </row>
    <row r="10">
      <c r="C10" s="1">
        <v>1.6</v>
      </c>
      <c r="E10" s="1">
        <v>108.0</v>
      </c>
      <c r="G10" s="1" t="s">
        <v>2876</v>
      </c>
      <c r="H10" s="6" t="str">
        <f>CHAR(108)</f>
        <v>l</v>
      </c>
    </row>
    <row r="12">
      <c r="C12" s="1">
        <v>2.1</v>
      </c>
      <c r="D12" s="1" t="s">
        <v>235</v>
      </c>
      <c r="E12" s="1" t="s">
        <v>2877</v>
      </c>
      <c r="F12" s="1" t="s">
        <v>2878</v>
      </c>
      <c r="G12" s="1" t="s">
        <v>2879</v>
      </c>
      <c r="H12" s="6" t="str">
        <f>CONCAT(E12 ,F12)</f>
        <v>krunalkopare</v>
      </c>
    </row>
    <row r="13">
      <c r="C13" s="1">
        <v>2.2</v>
      </c>
      <c r="E13" s="1" t="s">
        <v>339</v>
      </c>
      <c r="F13" s="1" t="s">
        <v>2880</v>
      </c>
      <c r="G13" s="1" t="s">
        <v>2881</v>
      </c>
      <c r="H13" s="6" t="str">
        <f>CONCAT(E13,F13)</f>
        <v>arcD30</v>
      </c>
    </row>
    <row r="14">
      <c r="C14" s="1">
        <v>2.3</v>
      </c>
      <c r="E14" s="1" t="s">
        <v>238</v>
      </c>
      <c r="F14" s="1" t="s">
        <v>2880</v>
      </c>
      <c r="G14" s="1" t="s">
        <v>2882</v>
      </c>
      <c r="H14" s="6" t="str">
        <f>IFERROR(__xludf.DUMMYFUNCTION("JOIN(E14,""-"",F14)"),"-ARCD30")</f>
        <v>-ARCD30</v>
      </c>
    </row>
    <row r="15">
      <c r="C15" s="1">
        <v>2.4</v>
      </c>
      <c r="F15" s="1" t="s">
        <v>1880</v>
      </c>
      <c r="G15" s="1" t="s">
        <v>2883</v>
      </c>
      <c r="H15" s="6" t="str">
        <f>IFERROR(__xludf.DUMMYFUNCTION("JOIN(""-"",E14,F14,F15)"),"ARC-D30-NAGPUR")</f>
        <v>ARC-D30-NAGPUR</v>
      </c>
    </row>
    <row r="16">
      <c r="C16" s="1">
        <v>2.5</v>
      </c>
      <c r="E16" s="1" t="s">
        <v>2884</v>
      </c>
      <c r="G16" s="1" t="s">
        <v>1018</v>
      </c>
      <c r="H16" s="6" t="str">
        <f>CONCAT(E15,E16)</f>
        <v>XYZ</v>
      </c>
    </row>
    <row r="18" ht="27.75" customHeight="1">
      <c r="C18" s="1">
        <v>3.1</v>
      </c>
      <c r="D18" s="1" t="s">
        <v>6</v>
      </c>
      <c r="E18" s="1" t="s">
        <v>2885</v>
      </c>
      <c r="G18" s="1" t="s">
        <v>2886</v>
      </c>
      <c r="H18" s="6" t="str">
        <f t="shared" ref="H18:H23" si="1">CLEAN(E18)</f>
        <v>krunal   kopare</v>
      </c>
    </row>
    <row r="19">
      <c r="C19" s="1">
        <v>3.2</v>
      </c>
      <c r="E19" s="1" t="s">
        <v>2887</v>
      </c>
      <c r="G19" s="1" t="s">
        <v>2047</v>
      </c>
      <c r="H19" s="6" t="str">
        <f t="shared" si="1"/>
        <v>krunal  </v>
      </c>
    </row>
    <row r="20" ht="27.75" customHeight="1">
      <c r="C20" s="1">
        <v>3.3</v>
      </c>
      <c r="E20" s="1" t="s">
        <v>2888</v>
      </c>
      <c r="G20" s="1" t="s">
        <v>2048</v>
      </c>
      <c r="H20" s="6" t="str">
        <f t="shared" si="1"/>
        <v>ARC -D30                     </v>
      </c>
    </row>
    <row r="21">
      <c r="C21" s="1">
        <v>3.4</v>
      </c>
      <c r="E21" s="1" t="s">
        <v>2889</v>
      </c>
      <c r="G21" s="1" t="s">
        <v>1703</v>
      </c>
      <c r="H21" s="6" t="str">
        <f t="shared" si="1"/>
        <v>-D30</v>
      </c>
    </row>
    <row r="22">
      <c r="C22" s="1">
        <v>3.5</v>
      </c>
      <c r="E22" s="1" t="s">
        <v>2884</v>
      </c>
      <c r="G22" s="1" t="s">
        <v>1705</v>
      </c>
      <c r="H22" s="6" t="str">
        <f t="shared" si="1"/>
        <v>XYZ</v>
      </c>
    </row>
    <row r="23">
      <c r="H23" s="6" t="str">
        <f t="shared" si="1"/>
        <v/>
      </c>
    </row>
    <row r="24">
      <c r="C24" s="1">
        <v>4.1</v>
      </c>
      <c r="D24" s="1" t="s">
        <v>57</v>
      </c>
      <c r="E24" s="1" t="s">
        <v>2890</v>
      </c>
      <c r="G24" s="1" t="s">
        <v>2891</v>
      </c>
      <c r="H24" s="6" t="str">
        <f>LEFT(E24,(5))</f>
        <v>KRUNA</v>
      </c>
    </row>
    <row r="25">
      <c r="C25" s="1">
        <v>4.2</v>
      </c>
      <c r="G25" s="1" t="s">
        <v>2892</v>
      </c>
      <c r="H25" s="6" t="str">
        <f>LEFT(E24,(4))</f>
        <v>KRUN</v>
      </c>
    </row>
    <row r="26">
      <c r="C26" s="1">
        <v>4.3</v>
      </c>
      <c r="G26" s="1" t="s">
        <v>2893</v>
      </c>
      <c r="H26" s="6" t="str">
        <f>LEFT(E24,(6))</f>
        <v>KRUNAL</v>
      </c>
    </row>
    <row r="27">
      <c r="C27" s="1">
        <v>4.4</v>
      </c>
      <c r="G27" s="1" t="s">
        <v>2894</v>
      </c>
      <c r="H27" s="6" t="str">
        <f>LEFT(E24,(7))</f>
        <v>KRUNAL-</v>
      </c>
    </row>
    <row r="28">
      <c r="C28" s="1">
        <v>4.5</v>
      </c>
      <c r="G28" s="1" t="s">
        <v>2895</v>
      </c>
      <c r="H28" s="6" t="str">
        <f>LEFT(E24,(8))</f>
        <v>KRUNAL-D</v>
      </c>
    </row>
    <row r="29">
      <c r="C29" s="1">
        <v>4.6</v>
      </c>
      <c r="G29" s="1" t="s">
        <v>2896</v>
      </c>
      <c r="H29" s="6" t="str">
        <f>LEFT(E24,(10))</f>
        <v>KRUNAL-D30</v>
      </c>
    </row>
    <row r="31">
      <c r="C31" s="1">
        <v>5.1</v>
      </c>
      <c r="D31" s="1" t="s">
        <v>123</v>
      </c>
      <c r="E31" s="1" t="s">
        <v>2877</v>
      </c>
      <c r="G31" s="1" t="s">
        <v>2897</v>
      </c>
      <c r="H31" s="6" t="str">
        <f>RIGHT(E31,(2))</f>
        <v>al</v>
      </c>
    </row>
    <row r="32">
      <c r="C32" s="1">
        <v>5.2</v>
      </c>
    </row>
    <row r="33">
      <c r="C33" s="1">
        <v>5.3</v>
      </c>
    </row>
    <row r="34">
      <c r="C34" s="1">
        <v>5.4</v>
      </c>
    </row>
    <row r="35">
      <c r="C35" s="1">
        <v>5.5</v>
      </c>
    </row>
  </sheetData>
  <hyperlinks>
    <hyperlink r:id="rId1" ref="C3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75"/>
    <col customWidth="1" min="5" max="6" width="17.13"/>
  </cols>
  <sheetData>
    <row r="1">
      <c r="A1" s="76" t="s">
        <v>2898</v>
      </c>
    </row>
    <row r="3">
      <c r="B3" s="394" t="s">
        <v>2239</v>
      </c>
      <c r="C3" s="394" t="s">
        <v>146</v>
      </c>
      <c r="D3" s="394" t="s">
        <v>230</v>
      </c>
      <c r="E3" s="394" t="s">
        <v>231</v>
      </c>
      <c r="F3" s="394" t="s">
        <v>149</v>
      </c>
    </row>
    <row r="4">
      <c r="B4" s="395"/>
      <c r="C4" s="395"/>
      <c r="D4" s="395"/>
      <c r="E4" s="395"/>
      <c r="F4" s="395"/>
    </row>
    <row r="5">
      <c r="B5" s="396">
        <v>1.0</v>
      </c>
      <c r="C5" s="397" t="s">
        <v>17</v>
      </c>
      <c r="D5" s="396" t="s">
        <v>387</v>
      </c>
      <c r="E5" s="396" t="s">
        <v>2899</v>
      </c>
      <c r="F5" s="396" t="str">
        <f>CONCAT(D6,D5)</f>
        <v>CityMumbai</v>
      </c>
    </row>
    <row r="6">
      <c r="B6" s="395"/>
      <c r="C6" s="395"/>
      <c r="D6" s="396" t="s">
        <v>2900</v>
      </c>
      <c r="E6" s="395"/>
      <c r="F6" s="395"/>
    </row>
    <row r="7">
      <c r="B7" s="396">
        <v>2.0</v>
      </c>
      <c r="C7" s="395"/>
      <c r="D7" s="396" t="s">
        <v>2901</v>
      </c>
      <c r="E7" s="396" t="s">
        <v>2902</v>
      </c>
      <c r="F7" s="396" t="str">
        <f>CONCAT(D8,D7)</f>
        <v>FINALSEMI</v>
      </c>
    </row>
    <row r="8">
      <c r="B8" s="395"/>
      <c r="C8" s="395"/>
      <c r="D8" s="396" t="s">
        <v>2903</v>
      </c>
      <c r="E8" s="395"/>
      <c r="F8" s="395"/>
    </row>
    <row r="9">
      <c r="B9" s="396">
        <v>3.0</v>
      </c>
      <c r="C9" s="395"/>
      <c r="D9" s="396" t="s">
        <v>2904</v>
      </c>
      <c r="E9" s="396" t="s">
        <v>2905</v>
      </c>
      <c r="F9" s="395" t="str">
        <f>CONCAT(D10,D9)</f>
        <v>B2A1</v>
      </c>
    </row>
    <row r="10">
      <c r="B10" s="395"/>
      <c r="C10" s="395"/>
      <c r="D10" s="396" t="s">
        <v>2906</v>
      </c>
      <c r="E10" s="395"/>
      <c r="F10" s="395"/>
    </row>
    <row r="11">
      <c r="B11" s="396">
        <v>4.0</v>
      </c>
      <c r="C11" s="395"/>
      <c r="D11" s="396" t="s">
        <v>2907</v>
      </c>
      <c r="E11" s="396" t="s">
        <v>2908</v>
      </c>
      <c r="F11" s="395" t="str">
        <f>CONCAT(D12,D11)</f>
        <v>HELLONewyork </v>
      </c>
    </row>
    <row r="12">
      <c r="B12" s="395"/>
      <c r="C12" s="395"/>
      <c r="D12" s="396" t="s">
        <v>2909</v>
      </c>
      <c r="E12" s="395"/>
      <c r="F12" s="395"/>
    </row>
    <row r="13">
      <c r="B13" s="396">
        <v>5.0</v>
      </c>
      <c r="C13" s="395"/>
      <c r="D13" s="396" t="s">
        <v>2910</v>
      </c>
      <c r="E13" s="396" t="s">
        <v>2911</v>
      </c>
      <c r="F13" s="395" t="str">
        <f>CONCAT(D14,D13)</f>
        <v>addressname</v>
      </c>
    </row>
    <row r="14">
      <c r="B14" s="395"/>
      <c r="C14" s="395"/>
      <c r="D14" s="396" t="s">
        <v>2912</v>
      </c>
      <c r="E14" s="395"/>
      <c r="F14" s="395"/>
    </row>
    <row r="15">
      <c r="B15" s="398"/>
      <c r="C15" s="398"/>
      <c r="D15" s="398"/>
      <c r="E15" s="398"/>
      <c r="F15" s="398"/>
    </row>
    <row r="16">
      <c r="B16" s="399">
        <v>1.0</v>
      </c>
      <c r="C16" s="400" t="s">
        <v>68</v>
      </c>
      <c r="D16" s="399" t="s">
        <v>2913</v>
      </c>
      <c r="E16" s="399" t="s">
        <v>2914</v>
      </c>
      <c r="F16" s="398">
        <f>LEN(D16)</f>
        <v>8</v>
      </c>
    </row>
    <row r="17">
      <c r="B17" s="399">
        <v>2.0</v>
      </c>
      <c r="C17" s="398"/>
      <c r="D17" s="398"/>
      <c r="E17" s="399" t="s">
        <v>2915</v>
      </c>
      <c r="F17" s="398">
        <f t="shared" ref="F17:F20" si="1">len(D17)</f>
        <v>0</v>
      </c>
    </row>
    <row r="18">
      <c r="B18" s="399">
        <v>3.0</v>
      </c>
      <c r="C18" s="398"/>
      <c r="D18" s="399" t="s">
        <v>2916</v>
      </c>
      <c r="E18" s="399" t="s">
        <v>2917</v>
      </c>
      <c r="F18" s="398">
        <f t="shared" si="1"/>
        <v>5</v>
      </c>
    </row>
    <row r="19">
      <c r="B19" s="399">
        <v>4.0</v>
      </c>
      <c r="C19" s="398"/>
      <c r="D19" s="399" t="s">
        <v>2918</v>
      </c>
      <c r="E19" s="399" t="s">
        <v>2919</v>
      </c>
      <c r="F19" s="398">
        <f t="shared" si="1"/>
        <v>13</v>
      </c>
    </row>
    <row r="20">
      <c r="B20" s="399">
        <v>5.0</v>
      </c>
      <c r="C20" s="398"/>
      <c r="D20" s="399" t="s">
        <v>2920</v>
      </c>
      <c r="E20" s="399" t="s">
        <v>2921</v>
      </c>
      <c r="F20" s="398">
        <f t="shared" si="1"/>
        <v>7</v>
      </c>
    </row>
    <row r="21">
      <c r="B21" s="395"/>
      <c r="C21" s="395"/>
      <c r="D21" s="395"/>
      <c r="E21" s="395"/>
      <c r="F21" s="395"/>
    </row>
    <row r="22">
      <c r="B22" s="396">
        <v>1.0</v>
      </c>
      <c r="C22" s="397" t="s">
        <v>134</v>
      </c>
      <c r="D22" s="396" t="s">
        <v>165</v>
      </c>
      <c r="E22" s="396" t="s">
        <v>2922</v>
      </c>
      <c r="F22" s="395" t="str">
        <f t="shared" ref="F22:F26" si="2">UPPER(D22)</f>
        <v>APPLE</v>
      </c>
    </row>
    <row r="23">
      <c r="B23" s="396">
        <v>2.0</v>
      </c>
      <c r="C23" s="395"/>
      <c r="D23" s="396" t="s">
        <v>2923</v>
      </c>
      <c r="E23" s="396" t="s">
        <v>2924</v>
      </c>
      <c r="F23" s="395" t="str">
        <f t="shared" si="2"/>
        <v>ARC1@GMAIL.COM</v>
      </c>
    </row>
    <row r="24">
      <c r="B24" s="396">
        <v>3.0</v>
      </c>
      <c r="C24" s="395"/>
      <c r="D24" s="396" t="s">
        <v>2925</v>
      </c>
      <c r="E24" s="396" t="s">
        <v>2926</v>
      </c>
      <c r="F24" s="395" t="str">
        <f t="shared" si="2"/>
        <v>STATE CODE:CA</v>
      </c>
    </row>
    <row r="25">
      <c r="B25" s="396">
        <v>4.0</v>
      </c>
      <c r="C25" s="395"/>
      <c r="D25" s="396" t="s">
        <v>1987</v>
      </c>
      <c r="E25" s="396" t="s">
        <v>2927</v>
      </c>
      <c r="F25" s="395" t="str">
        <f t="shared" si="2"/>
        <v>INDIAN ARMY</v>
      </c>
    </row>
    <row r="26">
      <c r="B26" s="396">
        <v>5.0</v>
      </c>
      <c r="C26" s="395"/>
      <c r="D26" s="396" t="s">
        <v>598</v>
      </c>
      <c r="E26" s="396" t="s">
        <v>2928</v>
      </c>
      <c r="F26" s="395" t="str">
        <f t="shared" si="2"/>
        <v>EXCEL</v>
      </c>
    </row>
    <row r="27">
      <c r="B27" s="401"/>
      <c r="C27" s="301"/>
      <c r="D27" s="401"/>
      <c r="E27" s="401"/>
      <c r="F27" s="401"/>
    </row>
    <row r="28">
      <c r="B28" s="402">
        <v>1.0</v>
      </c>
      <c r="C28" s="301" t="s">
        <v>79</v>
      </c>
      <c r="D28" s="402" t="s">
        <v>3</v>
      </c>
      <c r="E28" s="402" t="s">
        <v>2929</v>
      </c>
      <c r="F28" s="401" t="str">
        <f t="shared" ref="F28:F32" si="3">LOWER(D28)</f>
        <v>data</v>
      </c>
    </row>
    <row r="29">
      <c r="B29" s="402">
        <v>2.0</v>
      </c>
      <c r="C29" s="401"/>
      <c r="D29" s="402" t="s">
        <v>2930</v>
      </c>
      <c r="E29" s="402" t="s">
        <v>2931</v>
      </c>
      <c r="F29" s="401" t="str">
        <f t="shared" si="3"/>
        <v>newtask</v>
      </c>
    </row>
    <row r="30">
      <c r="B30" s="402">
        <v>3.0</v>
      </c>
      <c r="C30" s="401"/>
      <c r="D30" s="402" t="s">
        <v>2932</v>
      </c>
      <c r="E30" s="402" t="s">
        <v>2933</v>
      </c>
      <c r="F30" s="401" t="str">
        <f t="shared" si="3"/>
        <v>id</v>
      </c>
    </row>
    <row r="31">
      <c r="B31" s="402">
        <v>4.0</v>
      </c>
      <c r="C31" s="401"/>
      <c r="D31" s="402" t="s">
        <v>603</v>
      </c>
      <c r="E31" s="402" t="s">
        <v>2934</v>
      </c>
      <c r="F31" s="401" t="str">
        <f t="shared" si="3"/>
        <v>abc</v>
      </c>
    </row>
    <row r="32">
      <c r="B32" s="402">
        <v>5.0</v>
      </c>
      <c r="C32" s="401"/>
      <c r="D32" s="402" t="s">
        <v>2935</v>
      </c>
      <c r="E32" s="402" t="s">
        <v>2936</v>
      </c>
      <c r="F32" s="401" t="str">
        <f t="shared" si="3"/>
        <v>arctech</v>
      </c>
    </row>
    <row r="33">
      <c r="B33" s="395"/>
      <c r="C33" s="395"/>
      <c r="D33" s="395"/>
      <c r="E33" s="395"/>
      <c r="F33" s="395"/>
    </row>
    <row r="34">
      <c r="B34" s="396">
        <v>1.0</v>
      </c>
      <c r="C34" s="397" t="s">
        <v>57</v>
      </c>
      <c r="D34" s="396" t="s">
        <v>2937</v>
      </c>
      <c r="E34" s="396" t="s">
        <v>2938</v>
      </c>
      <c r="F34" s="395" t="str">
        <f t="shared" ref="F34:F35" si="4">LEFT(D34)</f>
        <v>i</v>
      </c>
    </row>
    <row r="35">
      <c r="B35" s="396">
        <v>2.0</v>
      </c>
      <c r="C35" s="395"/>
      <c r="D35" s="396" t="s">
        <v>1446</v>
      </c>
      <c r="E35" s="396" t="s">
        <v>2939</v>
      </c>
      <c r="F35" s="395" t="str">
        <f t="shared" si="4"/>
        <v>b</v>
      </c>
    </row>
    <row r="36">
      <c r="B36" s="396">
        <v>3.0</v>
      </c>
      <c r="C36" s="395"/>
      <c r="D36" s="396" t="s">
        <v>634</v>
      </c>
      <c r="E36" s="396" t="s">
        <v>2940</v>
      </c>
      <c r="F36" s="395" t="str">
        <f>LEFT(D36,D37)</f>
        <v>App</v>
      </c>
    </row>
    <row r="37">
      <c r="B37" s="395"/>
      <c r="C37" s="395"/>
      <c r="D37" s="396">
        <v>3.0</v>
      </c>
      <c r="E37" s="395"/>
      <c r="F37" s="395"/>
    </row>
    <row r="38">
      <c r="B38" s="396">
        <v>4.0</v>
      </c>
      <c r="C38" s="395"/>
      <c r="D38" s="396" t="s">
        <v>2941</v>
      </c>
      <c r="E38" s="396" t="s">
        <v>2942</v>
      </c>
      <c r="F38" s="395" t="str">
        <f>LEFT(D38,D39)</f>
        <v>img</v>
      </c>
    </row>
    <row r="39">
      <c r="B39" s="395"/>
      <c r="C39" s="395"/>
      <c r="D39" s="396">
        <v>3.0</v>
      </c>
      <c r="E39" s="395"/>
      <c r="F39" s="395"/>
    </row>
    <row r="40">
      <c r="B40" s="396">
        <v>5.0</v>
      </c>
      <c r="C40" s="395"/>
      <c r="D40" s="396">
        <v>9198675.0</v>
      </c>
      <c r="E40" s="395"/>
      <c r="F40" s="396" t="str">
        <f>LEFT(D40,D41)</f>
        <v>9</v>
      </c>
    </row>
    <row r="41">
      <c r="B41" s="403"/>
      <c r="C41" s="403"/>
      <c r="D41" s="404">
        <v>1.0</v>
      </c>
      <c r="E41" s="403"/>
      <c r="F41" s="403"/>
    </row>
    <row r="42">
      <c r="B42" s="404">
        <v>1.0</v>
      </c>
      <c r="C42" s="405" t="s">
        <v>123</v>
      </c>
      <c r="D42" s="404" t="s">
        <v>2943</v>
      </c>
      <c r="E42" s="404" t="s">
        <v>2944</v>
      </c>
      <c r="F42" s="403" t="str">
        <f>RIGHT(D42)</f>
        <v>1</v>
      </c>
    </row>
    <row r="43">
      <c r="B43" s="404">
        <v>2.0</v>
      </c>
      <c r="C43" s="403"/>
      <c r="D43" s="404" t="s">
        <v>2945</v>
      </c>
      <c r="E43" s="404" t="s">
        <v>2946</v>
      </c>
      <c r="F43" s="403" t="str">
        <f>RIGHT(D43,D44)</f>
        <v>city</v>
      </c>
    </row>
    <row r="44">
      <c r="B44" s="403"/>
      <c r="C44" s="403"/>
      <c r="D44" s="404">
        <v>4.0</v>
      </c>
      <c r="E44" s="403"/>
      <c r="F44" s="403"/>
    </row>
    <row r="45">
      <c r="B45" s="404">
        <v>3.0</v>
      </c>
      <c r="C45" s="403"/>
      <c r="D45" s="404" t="s">
        <v>2947</v>
      </c>
      <c r="E45" s="404" t="s">
        <v>2948</v>
      </c>
      <c r="F45" s="403" t="str">
        <f>RIGHT(D45)</f>
        <v>6</v>
      </c>
    </row>
    <row r="46">
      <c r="B46" s="403"/>
      <c r="C46" s="403"/>
      <c r="D46" s="404">
        <v>0.0</v>
      </c>
      <c r="E46" s="403"/>
      <c r="F46" s="403"/>
    </row>
    <row r="47">
      <c r="B47" s="404">
        <v>4.0</v>
      </c>
      <c r="C47" s="403"/>
      <c r="D47" s="404" t="s">
        <v>2949</v>
      </c>
      <c r="E47" s="404" t="s">
        <v>2950</v>
      </c>
      <c r="F47" s="403" t="str">
        <f>RIGHT(D47,D48)</f>
        <v>table</v>
      </c>
    </row>
    <row r="48">
      <c r="B48" s="403"/>
      <c r="C48" s="403"/>
      <c r="D48" s="404">
        <v>5.0</v>
      </c>
      <c r="E48" s="403"/>
      <c r="F48" s="403"/>
    </row>
    <row r="49">
      <c r="B49" s="404">
        <v>5.0</v>
      </c>
      <c r="C49" s="403"/>
      <c r="D49" s="404" t="s">
        <v>2951</v>
      </c>
      <c r="E49" s="404" t="s">
        <v>2952</v>
      </c>
      <c r="F49" s="403" t="str">
        <f>RIGHT(D49)</f>
        <v>5</v>
      </c>
    </row>
    <row r="50">
      <c r="B50" s="395"/>
      <c r="C50" s="395"/>
      <c r="D50" s="395"/>
      <c r="E50" s="395"/>
      <c r="F50" s="395"/>
    </row>
    <row r="51">
      <c r="B51" s="396">
        <v>1.0</v>
      </c>
      <c r="C51" s="397" t="s">
        <v>6</v>
      </c>
      <c r="D51" s="396" t="s">
        <v>2953</v>
      </c>
      <c r="E51" s="396" t="s">
        <v>2954</v>
      </c>
      <c r="F51" s="395" t="str">
        <f t="shared" ref="F51:F55" si="5">CLEAN(D51)</f>
        <v> School</v>
      </c>
    </row>
    <row r="52">
      <c r="B52" s="396">
        <v>2.0</v>
      </c>
      <c r="C52" s="395"/>
      <c r="D52" s="396" t="s">
        <v>2955</v>
      </c>
      <c r="E52" s="396" t="s">
        <v>495</v>
      </c>
      <c r="F52" s="395" t="str">
        <f t="shared" si="5"/>
        <v>pen</v>
      </c>
    </row>
    <row r="53">
      <c r="B53" s="396">
        <v>3.0</v>
      </c>
      <c r="C53" s="395"/>
      <c r="D53" s="396" t="s">
        <v>2956</v>
      </c>
      <c r="E53" s="396" t="s">
        <v>498</v>
      </c>
      <c r="F53" s="395" t="str">
        <f t="shared" si="5"/>
        <v>google</v>
      </c>
    </row>
    <row r="54">
      <c r="B54" s="396">
        <v>4.0</v>
      </c>
      <c r="C54" s="395"/>
      <c r="D54" s="396" t="s">
        <v>2957</v>
      </c>
      <c r="E54" s="396" t="s">
        <v>501</v>
      </c>
      <c r="F54" s="395" t="str">
        <f t="shared" si="5"/>
        <v>worksheet</v>
      </c>
    </row>
    <row r="55">
      <c r="B55" s="396">
        <v>5.0</v>
      </c>
      <c r="C55" s="395"/>
      <c r="D55" s="396" t="s">
        <v>2958</v>
      </c>
      <c r="E55" s="396" t="s">
        <v>504</v>
      </c>
      <c r="F55" s="395" t="str">
        <f t="shared" si="5"/>
        <v>hello</v>
      </c>
    </row>
    <row r="56">
      <c r="B56" s="395"/>
      <c r="C56" s="395"/>
      <c r="D56" s="395"/>
      <c r="E56" s="395"/>
      <c r="F56" s="395"/>
    </row>
    <row r="57">
      <c r="B57" s="406">
        <v>1.0</v>
      </c>
      <c r="C57" s="407" t="s">
        <v>90</v>
      </c>
      <c r="D57" s="406" t="s">
        <v>2959</v>
      </c>
      <c r="E57" s="406" t="s">
        <v>2960</v>
      </c>
      <c r="F57" s="408" t="str">
        <f>MID(D57,D58,D59)</f>
        <v>dle</v>
      </c>
    </row>
    <row r="58">
      <c r="B58" s="408"/>
      <c r="C58" s="408"/>
      <c r="D58" s="406">
        <v>4.0</v>
      </c>
      <c r="E58" s="406"/>
      <c r="F58" s="408"/>
    </row>
    <row r="59">
      <c r="B59" s="408"/>
      <c r="C59" s="408"/>
      <c r="D59" s="406">
        <v>3.0</v>
      </c>
      <c r="E59" s="408"/>
      <c r="F59" s="408"/>
    </row>
    <row r="60">
      <c r="B60" s="406">
        <v>2.0</v>
      </c>
      <c r="C60" s="408"/>
      <c r="D60" s="406" t="s">
        <v>2910</v>
      </c>
      <c r="E60" s="406" t="s">
        <v>2961</v>
      </c>
      <c r="F60" s="408" t="str">
        <f>MID(D60,D61,D62)</f>
        <v>ame</v>
      </c>
    </row>
    <row r="61">
      <c r="B61" s="408"/>
      <c r="C61" s="408"/>
      <c r="D61" s="406">
        <v>2.0</v>
      </c>
      <c r="E61" s="408"/>
      <c r="F61" s="408"/>
    </row>
    <row r="62">
      <c r="B62" s="408"/>
      <c r="C62" s="408"/>
      <c r="D62" s="406">
        <v>4.0</v>
      </c>
      <c r="E62" s="408"/>
      <c r="F62" s="408"/>
    </row>
    <row r="63">
      <c r="B63" s="406">
        <v>3.0</v>
      </c>
      <c r="C63" s="408"/>
      <c r="D63" s="406" t="s">
        <v>2962</v>
      </c>
      <c r="E63" s="406" t="s">
        <v>2963</v>
      </c>
      <c r="F63" s="408" t="str">
        <f>MID(D63,D64,D65)</f>
        <v>gm</v>
      </c>
    </row>
    <row r="64">
      <c r="B64" s="408"/>
      <c r="C64" s="408"/>
      <c r="D64" s="406">
        <v>1.0</v>
      </c>
      <c r="E64" s="408"/>
      <c r="F64" s="408"/>
    </row>
    <row r="65">
      <c r="B65" s="408"/>
      <c r="C65" s="408"/>
      <c r="D65" s="406">
        <v>2.0</v>
      </c>
      <c r="E65" s="408"/>
      <c r="F65" s="408"/>
    </row>
    <row r="66">
      <c r="B66" s="406">
        <v>4.0</v>
      </c>
      <c r="C66" s="408"/>
      <c r="D66" s="406" t="s">
        <v>2964</v>
      </c>
      <c r="E66" s="406" t="s">
        <v>2965</v>
      </c>
      <c r="F66" s="408" t="str">
        <f>MID(D66,D67,D68)</f>
        <v>cttas</v>
      </c>
    </row>
    <row r="67">
      <c r="B67" s="408"/>
      <c r="C67" s="408"/>
      <c r="D67" s="406">
        <v>6.0</v>
      </c>
      <c r="E67" s="408"/>
      <c r="F67" s="408"/>
    </row>
    <row r="68">
      <c r="B68" s="408"/>
      <c r="C68" s="408"/>
      <c r="D68" s="406">
        <v>5.0</v>
      </c>
      <c r="E68" s="408"/>
      <c r="F68" s="408"/>
    </row>
    <row r="69">
      <c r="B69" s="406">
        <v>5.0</v>
      </c>
      <c r="C69" s="408"/>
      <c r="D69" s="406" t="s">
        <v>2966</v>
      </c>
      <c r="E69" s="406" t="s">
        <v>2967</v>
      </c>
      <c r="F69" s="408" t="str">
        <f>MID(D69,D70,D71)</f>
        <v> book sheet</v>
      </c>
    </row>
    <row r="70">
      <c r="B70" s="408"/>
      <c r="C70" s="408"/>
      <c r="D70" s="406">
        <v>5.0</v>
      </c>
      <c r="E70" s="408"/>
      <c r="F70" s="408"/>
    </row>
    <row r="71">
      <c r="B71" s="408"/>
      <c r="C71" s="408"/>
      <c r="D71" s="406">
        <v>78.0</v>
      </c>
      <c r="E71" s="408"/>
      <c r="F71" s="408"/>
    </row>
    <row r="72">
      <c r="B72" s="396">
        <v>1.0</v>
      </c>
      <c r="C72" s="397" t="s">
        <v>33</v>
      </c>
      <c r="D72" s="396" t="s">
        <v>2968</v>
      </c>
      <c r="E72" s="396" t="s">
        <v>2969</v>
      </c>
      <c r="F72" s="396">
        <f>FIND("r",D72,2)</f>
        <v>10</v>
      </c>
    </row>
    <row r="73">
      <c r="B73" s="395"/>
      <c r="C73" s="395"/>
      <c r="D73" s="395"/>
      <c r="E73" s="395"/>
      <c r="F73" s="395"/>
    </row>
    <row r="74">
      <c r="B74" s="396">
        <v>2.0</v>
      </c>
      <c r="C74" s="395"/>
      <c r="D74" s="396" t="s">
        <v>1713</v>
      </c>
      <c r="E74" s="396" t="s">
        <v>2970</v>
      </c>
      <c r="F74" s="395">
        <f>FIND("w",D74,1)</f>
        <v>1</v>
      </c>
    </row>
    <row r="75">
      <c r="B75" s="395"/>
      <c r="C75" s="395"/>
      <c r="D75" s="396"/>
      <c r="E75" s="395"/>
      <c r="F75" s="395"/>
    </row>
    <row r="76">
      <c r="B76" s="396">
        <v>3.0</v>
      </c>
      <c r="C76" s="395"/>
      <c r="D76" s="396" t="s">
        <v>2971</v>
      </c>
      <c r="E76" s="396" t="s">
        <v>2972</v>
      </c>
      <c r="F76" s="395">
        <f>find("a",D76,2)</f>
        <v>2</v>
      </c>
    </row>
    <row r="77">
      <c r="B77" s="396">
        <v>4.0</v>
      </c>
      <c r="C77" s="395"/>
      <c r="D77" s="396" t="s">
        <v>2971</v>
      </c>
      <c r="E77" s="396" t="s">
        <v>2973</v>
      </c>
      <c r="F77" s="395">
        <f>FIND("t",D77,1)</f>
        <v>1</v>
      </c>
    </row>
    <row r="78">
      <c r="B78" s="396">
        <v>5.0</v>
      </c>
      <c r="C78" s="395"/>
      <c r="D78" s="396" t="s">
        <v>2971</v>
      </c>
      <c r="E78" s="396" t="s">
        <v>2974</v>
      </c>
      <c r="F78" s="395">
        <f>FIND("k",D78)</f>
        <v>4</v>
      </c>
    </row>
    <row r="79">
      <c r="B79" s="408"/>
      <c r="C79" s="408"/>
      <c r="D79" s="408"/>
      <c r="E79" s="408"/>
      <c r="F79" s="408"/>
    </row>
    <row r="80">
      <c r="B80" s="406">
        <v>1.0</v>
      </c>
      <c r="C80" s="407" t="s">
        <v>1994</v>
      </c>
      <c r="D80" s="406" t="s">
        <v>2318</v>
      </c>
      <c r="E80" s="406" t="s">
        <v>2975</v>
      </c>
      <c r="F80" s="408" t="str">
        <f t="shared" ref="F80:F84" si="6">TRIM(D80)</f>
        <v>Hello World</v>
      </c>
    </row>
    <row r="81">
      <c r="B81" s="406">
        <v>2.0</v>
      </c>
      <c r="C81" s="408"/>
      <c r="D81" s="406" t="s">
        <v>2976</v>
      </c>
      <c r="E81" s="406" t="s">
        <v>2977</v>
      </c>
      <c r="F81" s="408" t="str">
        <f t="shared" si="6"/>
        <v>gudi-padwa</v>
      </c>
    </row>
    <row r="82">
      <c r="B82" s="406">
        <v>3.0</v>
      </c>
      <c r="C82" s="408"/>
      <c r="D82" s="406" t="s">
        <v>2978</v>
      </c>
      <c r="E82" s="406" t="s">
        <v>2979</v>
      </c>
      <c r="F82" s="408" t="str">
        <f t="shared" si="6"/>
        <v>new year</v>
      </c>
    </row>
    <row r="83">
      <c r="B83" s="406">
        <v>4.0</v>
      </c>
      <c r="C83" s="408"/>
      <c r="D83" s="406" t="s">
        <v>2980</v>
      </c>
      <c r="E83" s="406" t="s">
        <v>2981</v>
      </c>
      <c r="F83" s="408" t="str">
        <f t="shared" si="6"/>
        <v>data analyst</v>
      </c>
    </row>
    <row r="84">
      <c r="B84" s="406">
        <v>5.0</v>
      </c>
      <c r="C84" s="408"/>
      <c r="D84" s="406">
        <v>123.0</v>
      </c>
      <c r="E84" s="406" t="s">
        <v>2982</v>
      </c>
      <c r="F84" s="408" t="str">
        <f t="shared" si="6"/>
        <v>123</v>
      </c>
    </row>
    <row r="85">
      <c r="B85" s="395"/>
      <c r="C85" s="395"/>
      <c r="D85" s="395"/>
      <c r="E85" s="395"/>
      <c r="F85" s="395"/>
    </row>
    <row r="86">
      <c r="B86" s="396">
        <v>1.0</v>
      </c>
      <c r="C86" s="397" t="s">
        <v>44</v>
      </c>
      <c r="D86" s="396" t="s">
        <v>2983</v>
      </c>
      <c r="E86" s="396" t="s">
        <v>2984</v>
      </c>
      <c r="F86" s="395" t="b">
        <f>EXACT(D86,D87)</f>
        <v>0</v>
      </c>
    </row>
    <row r="87">
      <c r="B87" s="395"/>
      <c r="C87" s="395"/>
      <c r="D87" s="396" t="s">
        <v>1577</v>
      </c>
      <c r="E87" s="395"/>
      <c r="F87" s="395"/>
    </row>
    <row r="88">
      <c r="B88" s="396">
        <v>2.0</v>
      </c>
      <c r="C88" s="395"/>
      <c r="D88" s="396" t="s">
        <v>2985</v>
      </c>
      <c r="E88" s="396" t="s">
        <v>2986</v>
      </c>
      <c r="F88" s="395" t="b">
        <f>EXACT(D88,D89)</f>
        <v>1</v>
      </c>
    </row>
    <row r="89">
      <c r="B89" s="395"/>
      <c r="C89" s="395"/>
      <c r="D89" s="396" t="s">
        <v>2985</v>
      </c>
      <c r="E89" s="395"/>
      <c r="F89" s="395"/>
    </row>
    <row r="90">
      <c r="B90" s="396">
        <v>3.0</v>
      </c>
      <c r="C90" s="395"/>
      <c r="D90" s="396" t="s">
        <v>2987</v>
      </c>
      <c r="E90" s="396" t="s">
        <v>2988</v>
      </c>
      <c r="F90" s="395" t="b">
        <f>EXACT(D90,D91)</f>
        <v>0</v>
      </c>
    </row>
    <row r="91">
      <c r="B91" s="395"/>
      <c r="C91" s="395"/>
      <c r="D91" s="396" t="s">
        <v>2989</v>
      </c>
      <c r="E91" s="395"/>
      <c r="F91" s="395"/>
    </row>
    <row r="92">
      <c r="B92" s="396">
        <v>4.0</v>
      </c>
      <c r="C92" s="395"/>
      <c r="D92" s="396" t="s">
        <v>1250</v>
      </c>
      <c r="E92" s="396" t="s">
        <v>2990</v>
      </c>
      <c r="F92" s="396" t="s">
        <v>2990</v>
      </c>
    </row>
    <row r="93">
      <c r="B93" s="395"/>
      <c r="C93" s="395"/>
      <c r="D93" s="396" t="s">
        <v>2991</v>
      </c>
      <c r="E93" s="395"/>
      <c r="F93" s="395"/>
    </row>
    <row r="94">
      <c r="B94" s="396">
        <v>5.0</v>
      </c>
      <c r="C94" s="395"/>
      <c r="D94" s="396" t="s">
        <v>2958</v>
      </c>
      <c r="E94" s="396" t="s">
        <v>2992</v>
      </c>
      <c r="F94" s="395" t="b">
        <f>EXACT(D94,D95)</f>
        <v>1</v>
      </c>
    </row>
    <row r="95">
      <c r="B95" s="395"/>
      <c r="C95" s="395"/>
      <c r="D95" s="396" t="s">
        <v>2958</v>
      </c>
      <c r="E95" s="395"/>
      <c r="F95" s="395"/>
    </row>
    <row r="96">
      <c r="B96" s="1">
        <v>1.0</v>
      </c>
      <c r="C96" s="119" t="s">
        <v>2993</v>
      </c>
      <c r="D96" s="1" t="s">
        <v>2994</v>
      </c>
      <c r="F96" s="6" t="str">
        <f>SUBSTITUTE(D97,D96,6)</f>
        <v>python</v>
      </c>
    </row>
    <row r="97">
      <c r="D97" s="1" t="s">
        <v>722</v>
      </c>
    </row>
    <row r="98">
      <c r="D98" s="1" t="s">
        <v>2995</v>
      </c>
      <c r="F98" s="6" t="str">
        <f>SUBSTITUTE(D98,D99,2)</f>
        <v>cooler</v>
      </c>
    </row>
    <row r="99">
      <c r="D99" s="1" t="s">
        <v>2996</v>
      </c>
    </row>
  </sheetData>
  <mergeCells count="1">
    <mergeCell ref="A1:C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</cols>
  <sheetData>
    <row r="1">
      <c r="A1" s="247" t="s">
        <v>2997</v>
      </c>
      <c r="B1" s="1"/>
      <c r="C1" s="1"/>
      <c r="D1" s="1"/>
      <c r="E1" s="1"/>
    </row>
    <row r="2">
      <c r="A2" s="409" t="s">
        <v>2998</v>
      </c>
      <c r="B2" s="410" t="s">
        <v>2</v>
      </c>
      <c r="C2" s="410" t="s">
        <v>233</v>
      </c>
      <c r="D2" s="410" t="s">
        <v>4</v>
      </c>
      <c r="E2" s="410" t="s">
        <v>5</v>
      </c>
    </row>
    <row r="3">
      <c r="A3" s="411">
        <v>1.0</v>
      </c>
      <c r="B3" s="411" t="s">
        <v>17</v>
      </c>
      <c r="C3" s="412"/>
      <c r="D3" s="412"/>
      <c r="E3" s="412"/>
    </row>
    <row r="4">
      <c r="A4" s="411">
        <v>1.1</v>
      </c>
      <c r="B4" s="412"/>
      <c r="C4" s="411" t="s">
        <v>238</v>
      </c>
      <c r="D4" s="411" t="s">
        <v>2999</v>
      </c>
      <c r="E4" s="412" t="str">
        <f>CONCAT(C4,C5)</f>
        <v>ARCRival</v>
      </c>
    </row>
    <row r="5">
      <c r="A5" s="412"/>
      <c r="B5" s="412"/>
      <c r="C5" s="411" t="s">
        <v>3000</v>
      </c>
      <c r="D5" s="412"/>
      <c r="E5" s="412"/>
    </row>
    <row r="6">
      <c r="A6" s="411">
        <v>1.2</v>
      </c>
      <c r="B6" s="412"/>
      <c r="C6" s="411" t="s">
        <v>18</v>
      </c>
      <c r="D6" s="411" t="s">
        <v>3001</v>
      </c>
      <c r="E6" s="412" t="str">
        <f>CONCAT(C6,C7)</f>
        <v>Sunglasses</v>
      </c>
    </row>
    <row r="7">
      <c r="A7" s="412"/>
      <c r="B7" s="412"/>
      <c r="C7" s="411" t="s">
        <v>1782</v>
      </c>
      <c r="D7" s="412"/>
      <c r="E7" s="412"/>
    </row>
    <row r="8">
      <c r="A8" s="411">
        <v>1.3</v>
      </c>
      <c r="B8" s="412"/>
      <c r="C8" s="411" t="s">
        <v>3002</v>
      </c>
      <c r="D8" s="411" t="s">
        <v>3003</v>
      </c>
      <c r="E8" s="412" t="str">
        <f>CONCAT(C8,C9)</f>
        <v>jellyfish</v>
      </c>
    </row>
    <row r="9">
      <c r="A9" s="412"/>
      <c r="B9" s="412"/>
      <c r="C9" s="411" t="s">
        <v>1250</v>
      </c>
      <c r="D9" s="412"/>
      <c r="E9" s="412"/>
    </row>
    <row r="10">
      <c r="A10" s="411">
        <v>1.4</v>
      </c>
      <c r="B10" s="412"/>
      <c r="C10" s="411" t="s">
        <v>3004</v>
      </c>
      <c r="D10" s="411" t="s">
        <v>3005</v>
      </c>
      <c r="E10" s="412" t="str">
        <f>CONCAT(C10,C11)</f>
        <v>MOONLIGHT</v>
      </c>
    </row>
    <row r="11">
      <c r="A11" s="412"/>
      <c r="B11" s="412"/>
      <c r="C11" s="411" t="s">
        <v>3006</v>
      </c>
      <c r="D11" s="412"/>
      <c r="E11" s="412"/>
    </row>
    <row r="12">
      <c r="A12" s="411">
        <v>1.5</v>
      </c>
      <c r="B12" s="412"/>
      <c r="C12" s="411" t="s">
        <v>3007</v>
      </c>
      <c r="D12" s="411" t="s">
        <v>3008</v>
      </c>
      <c r="E12" s="412" t="str">
        <f>CONCAT(C12,C13)</f>
        <v>WALLPAPER</v>
      </c>
    </row>
    <row r="13">
      <c r="A13" s="412"/>
      <c r="B13" s="412"/>
      <c r="C13" s="411" t="s">
        <v>3009</v>
      </c>
      <c r="D13" s="412"/>
      <c r="E13" s="412"/>
    </row>
    <row r="14">
      <c r="A14" s="413"/>
      <c r="B14" s="413"/>
      <c r="C14" s="414"/>
      <c r="D14" s="414"/>
      <c r="E14" s="414"/>
    </row>
    <row r="15">
      <c r="A15" s="402">
        <v>2.0</v>
      </c>
      <c r="B15" s="402" t="s">
        <v>112</v>
      </c>
      <c r="C15" s="401"/>
      <c r="D15" s="401"/>
      <c r="E15" s="401"/>
    </row>
    <row r="16">
      <c r="A16" s="402">
        <v>2.1</v>
      </c>
      <c r="B16" s="401"/>
      <c r="C16" s="402" t="s">
        <v>3010</v>
      </c>
      <c r="D16" s="402" t="s">
        <v>3011</v>
      </c>
      <c r="E16" s="401" t="str">
        <f>REPLACE(C16,1,5,"T")</f>
        <v>TUARD</v>
      </c>
    </row>
    <row r="17">
      <c r="A17" s="402">
        <v>2.2</v>
      </c>
      <c r="B17" s="401"/>
      <c r="C17" s="402" t="s">
        <v>3012</v>
      </c>
      <c r="D17" s="402" t="s">
        <v>3013</v>
      </c>
      <c r="E17" s="401" t="str">
        <f>REPLACE(C17,2,5,"S")</f>
        <v>AS</v>
      </c>
    </row>
    <row r="18">
      <c r="A18" s="402">
        <v>2.3</v>
      </c>
      <c r="B18" s="401"/>
      <c r="C18" s="402" t="s">
        <v>3014</v>
      </c>
      <c r="D18" s="402" t="s">
        <v>3015</v>
      </c>
      <c r="E18" s="401" t="str">
        <f>REPLACE(C18,3,2,"D")</f>
        <v>NODEMAKER</v>
      </c>
    </row>
    <row r="19">
      <c r="A19" s="402">
        <v>2.4</v>
      </c>
      <c r="B19" s="401"/>
      <c r="C19" s="402" t="s">
        <v>3016</v>
      </c>
      <c r="D19" s="402" t="s">
        <v>3017</v>
      </c>
      <c r="E19" s="401" t="str">
        <f>REPLACE(C19,2,3,"H")</f>
        <v>FHPOND</v>
      </c>
    </row>
    <row r="20">
      <c r="A20" s="402">
        <v>2.5</v>
      </c>
      <c r="B20" s="401"/>
      <c r="C20" s="402" t="s">
        <v>3018</v>
      </c>
      <c r="D20" s="402" t="s">
        <v>3019</v>
      </c>
      <c r="E20" s="401" t="str">
        <f>REPLACE(C20,1,2,"M")</f>
        <v>MPASS</v>
      </c>
    </row>
    <row r="22">
      <c r="A22" s="415">
        <v>3.0</v>
      </c>
      <c r="B22" s="415" t="s">
        <v>68</v>
      </c>
      <c r="C22" s="416"/>
      <c r="D22" s="416"/>
      <c r="E22" s="416"/>
    </row>
    <row r="23">
      <c r="A23" s="415">
        <v>3.1</v>
      </c>
      <c r="B23" s="416"/>
      <c r="C23" s="415" t="s">
        <v>3020</v>
      </c>
      <c r="D23" s="415" t="s">
        <v>3021</v>
      </c>
      <c r="E23" s="416">
        <f t="shared" ref="E23:E27" si="1">LEN(C23)</f>
        <v>6</v>
      </c>
    </row>
    <row r="24">
      <c r="A24" s="415">
        <v>3.2</v>
      </c>
      <c r="B24" s="416"/>
      <c r="C24" s="415" t="s">
        <v>3022</v>
      </c>
      <c r="D24" s="415" t="s">
        <v>3023</v>
      </c>
      <c r="E24" s="416">
        <f t="shared" si="1"/>
        <v>7</v>
      </c>
    </row>
    <row r="25">
      <c r="A25" s="415">
        <v>3.3</v>
      </c>
      <c r="B25" s="416"/>
      <c r="C25" s="415" t="s">
        <v>3024</v>
      </c>
      <c r="D25" s="415" t="s">
        <v>3025</v>
      </c>
      <c r="E25" s="416">
        <f t="shared" si="1"/>
        <v>7</v>
      </c>
    </row>
    <row r="26">
      <c r="A26" s="415">
        <v>3.4</v>
      </c>
      <c r="B26" s="416"/>
      <c r="C26" s="415" t="s">
        <v>3026</v>
      </c>
      <c r="D26" s="415" t="s">
        <v>3027</v>
      </c>
      <c r="E26" s="416">
        <f t="shared" si="1"/>
        <v>8</v>
      </c>
    </row>
    <row r="27">
      <c r="A27" s="417">
        <v>3.5</v>
      </c>
      <c r="B27" s="416"/>
      <c r="C27" s="415" t="s">
        <v>3028</v>
      </c>
      <c r="D27" s="415" t="s">
        <v>3029</v>
      </c>
      <c r="E27" s="416">
        <f t="shared" si="1"/>
        <v>4</v>
      </c>
    </row>
    <row r="29">
      <c r="A29" s="418">
        <v>4.0</v>
      </c>
      <c r="B29" s="418" t="s">
        <v>134</v>
      </c>
      <c r="C29" s="419"/>
      <c r="D29" s="419"/>
      <c r="E29" s="419"/>
    </row>
    <row r="30">
      <c r="A30" s="418">
        <v>4.1</v>
      </c>
      <c r="B30" s="418"/>
      <c r="C30" s="418" t="s">
        <v>3030</v>
      </c>
      <c r="D30" s="418" t="s">
        <v>3031</v>
      </c>
      <c r="E30" s="419" t="str">
        <f t="shared" ref="E30:E34" si="2">UPPER(C30)</f>
        <v>LOW</v>
      </c>
    </row>
    <row r="31">
      <c r="A31" s="418">
        <v>4.2</v>
      </c>
      <c r="B31" s="418"/>
      <c r="C31" s="418" t="s">
        <v>3032</v>
      </c>
      <c r="D31" s="418" t="s">
        <v>3033</v>
      </c>
      <c r="E31" s="419" t="str">
        <f t="shared" si="2"/>
        <v>SOFT</v>
      </c>
    </row>
    <row r="32">
      <c r="A32" s="418">
        <v>4.3</v>
      </c>
      <c r="B32" s="418"/>
      <c r="C32" s="418" t="s">
        <v>3034</v>
      </c>
      <c r="D32" s="418" t="s">
        <v>3035</v>
      </c>
      <c r="E32" s="419" t="str">
        <f t="shared" si="2"/>
        <v>BACK</v>
      </c>
    </row>
    <row r="33">
      <c r="A33" s="418">
        <v>4.4</v>
      </c>
      <c r="B33" s="418"/>
      <c r="C33" s="418" t="s">
        <v>2274</v>
      </c>
      <c r="D33" s="418" t="s">
        <v>3036</v>
      </c>
      <c r="E33" s="419" t="str">
        <f t="shared" si="2"/>
        <v>HIGH</v>
      </c>
    </row>
    <row r="34">
      <c r="A34" s="418">
        <v>4.5</v>
      </c>
      <c r="B34" s="418"/>
      <c r="C34" s="418" t="s">
        <v>3037</v>
      </c>
      <c r="D34" s="418" t="s">
        <v>3038</v>
      </c>
      <c r="E34" s="419" t="str">
        <f t="shared" si="2"/>
        <v>TALL</v>
      </c>
    </row>
    <row r="36">
      <c r="A36" s="420">
        <v>5.0</v>
      </c>
      <c r="B36" s="420" t="s">
        <v>79</v>
      </c>
      <c r="C36" s="421"/>
      <c r="D36" s="421"/>
      <c r="E36" s="421"/>
    </row>
    <row r="37">
      <c r="A37" s="420">
        <v>5.1</v>
      </c>
      <c r="B37" s="421"/>
      <c r="C37" s="420" t="s">
        <v>3039</v>
      </c>
      <c r="D37" s="420" t="s">
        <v>3040</v>
      </c>
      <c r="E37" s="421" t="str">
        <f t="shared" ref="E37:E41" si="3">LOWER(C37)</f>
        <v>in</v>
      </c>
    </row>
    <row r="38">
      <c r="A38" s="420">
        <v>5.2</v>
      </c>
      <c r="B38" s="420"/>
      <c r="C38" s="420" t="s">
        <v>3041</v>
      </c>
      <c r="D38" s="420" t="s">
        <v>3042</v>
      </c>
      <c r="E38" s="421" t="str">
        <f t="shared" si="3"/>
        <v>out</v>
      </c>
    </row>
    <row r="39">
      <c r="A39" s="420">
        <v>5.3</v>
      </c>
      <c r="B39" s="421"/>
      <c r="C39" s="420" t="s">
        <v>3043</v>
      </c>
      <c r="D39" s="420" t="s">
        <v>3044</v>
      </c>
      <c r="E39" s="421" t="str">
        <f t="shared" si="3"/>
        <v>put</v>
      </c>
    </row>
    <row r="40">
      <c r="A40" s="420">
        <v>5.4</v>
      </c>
      <c r="B40" s="421"/>
      <c r="C40" s="420" t="s">
        <v>3045</v>
      </c>
      <c r="D40" s="420" t="s">
        <v>3046</v>
      </c>
      <c r="E40" s="421" t="str">
        <f t="shared" si="3"/>
        <v>car</v>
      </c>
    </row>
    <row r="41">
      <c r="A41" s="420">
        <v>5.5</v>
      </c>
      <c r="B41" s="421"/>
      <c r="C41" s="420" t="s">
        <v>3047</v>
      </c>
      <c r="D41" s="420" t="s">
        <v>3048</v>
      </c>
      <c r="E41" s="421" t="str">
        <f t="shared" si="3"/>
        <v>air</v>
      </c>
    </row>
    <row r="43">
      <c r="A43" s="422">
        <v>6.0</v>
      </c>
      <c r="B43" s="422" t="s">
        <v>90</v>
      </c>
      <c r="C43" s="423"/>
      <c r="D43" s="423"/>
      <c r="E43" s="423"/>
    </row>
    <row r="44">
      <c r="A44" s="422">
        <v>6.1</v>
      </c>
      <c r="B44" s="423"/>
      <c r="C44" s="422" t="s">
        <v>3049</v>
      </c>
      <c r="D44" s="422" t="s">
        <v>3050</v>
      </c>
      <c r="E44" s="423" t="str">
        <f>MID(C44,1,2)</f>
        <v>DO</v>
      </c>
    </row>
    <row r="45">
      <c r="A45" s="422">
        <v>6.2</v>
      </c>
      <c r="B45" s="423"/>
      <c r="C45" s="422" t="s">
        <v>3051</v>
      </c>
      <c r="D45" s="422" t="s">
        <v>3052</v>
      </c>
      <c r="E45" s="423" t="str">
        <f>MID(C45,1,3)</f>
        <v>UND</v>
      </c>
    </row>
    <row r="46">
      <c r="A46" s="422">
        <v>6.3</v>
      </c>
      <c r="B46" s="423"/>
      <c r="C46" s="422" t="s">
        <v>3053</v>
      </c>
      <c r="D46" s="422" t="s">
        <v>3054</v>
      </c>
      <c r="E46" s="423" t="str">
        <f>MID(C46,2,4)</f>
        <v>RIVE</v>
      </c>
    </row>
    <row r="47">
      <c r="A47" s="422">
        <v>6.4</v>
      </c>
      <c r="B47" s="423"/>
      <c r="C47" s="422" t="s">
        <v>3055</v>
      </c>
      <c r="D47" s="422" t="s">
        <v>3056</v>
      </c>
      <c r="E47" s="423" t="str">
        <f>MID(C47,2,3)</f>
        <v>RUM</v>
      </c>
    </row>
    <row r="48">
      <c r="A48" s="422">
        <v>6.5</v>
      </c>
      <c r="B48" s="423"/>
      <c r="C48" s="422" t="s">
        <v>3057</v>
      </c>
      <c r="D48" s="422" t="s">
        <v>3058</v>
      </c>
      <c r="E48" s="423" t="str">
        <f>MID(C48,1,3)</f>
        <v>EAR</v>
      </c>
    </row>
    <row r="50">
      <c r="A50" s="424">
        <v>7.0</v>
      </c>
      <c r="B50" s="424" t="s">
        <v>123</v>
      </c>
      <c r="C50" s="425"/>
      <c r="D50" s="425"/>
      <c r="E50" s="425"/>
    </row>
    <row r="51">
      <c r="A51" s="424">
        <v>7.1</v>
      </c>
      <c r="B51" s="425"/>
      <c r="C51" s="424" t="s">
        <v>3059</v>
      </c>
      <c r="D51" s="424" t="s">
        <v>3060</v>
      </c>
      <c r="E51" s="425" t="str">
        <f>RIGHT(C51,3)</f>
        <v>LID</v>
      </c>
    </row>
    <row r="52">
      <c r="A52" s="424">
        <v>7.2</v>
      </c>
      <c r="B52" s="425"/>
      <c r="C52" s="424" t="s">
        <v>3061</v>
      </c>
      <c r="D52" s="424" t="s">
        <v>3062</v>
      </c>
      <c r="E52" s="425" t="str">
        <f>RIGHT(C52,2)</f>
        <v>RE</v>
      </c>
    </row>
    <row r="53">
      <c r="A53" s="424">
        <v>7.3</v>
      </c>
      <c r="B53" s="425"/>
      <c r="C53" s="424" t="s">
        <v>3063</v>
      </c>
      <c r="D53" s="424" t="s">
        <v>3064</v>
      </c>
      <c r="E53" s="425" t="str">
        <f>RIGHT(C53,1)</f>
        <v>E</v>
      </c>
    </row>
    <row r="54">
      <c r="A54" s="424">
        <v>7.4</v>
      </c>
      <c r="B54" s="425"/>
      <c r="C54" s="424" t="s">
        <v>3065</v>
      </c>
      <c r="D54" s="424" t="s">
        <v>3066</v>
      </c>
      <c r="E54" s="425" t="str">
        <f>RIGHT(C54,5)</f>
        <v>GHTER</v>
      </c>
    </row>
    <row r="55">
      <c r="A55" s="424">
        <v>7.5</v>
      </c>
      <c r="B55" s="425"/>
      <c r="C55" s="424" t="s">
        <v>3067</v>
      </c>
      <c r="D55" s="424" t="s">
        <v>3068</v>
      </c>
      <c r="E55" s="425" t="str">
        <f>RIGHT(C55,2)</f>
        <v>LL</v>
      </c>
    </row>
    <row r="57">
      <c r="A57" s="426">
        <v>8.0</v>
      </c>
      <c r="B57" s="426" t="s">
        <v>57</v>
      </c>
      <c r="C57" s="427"/>
      <c r="D57" s="427"/>
      <c r="E57" s="427"/>
    </row>
    <row r="58">
      <c r="A58" s="426">
        <v>8.1</v>
      </c>
      <c r="B58" s="427"/>
      <c r="C58" s="426" t="s">
        <v>3069</v>
      </c>
      <c r="D58" s="426" t="s">
        <v>3070</v>
      </c>
      <c r="E58" s="427" t="str">
        <f>LEFT(C58,4)</f>
        <v>NACK</v>
      </c>
    </row>
    <row r="59">
      <c r="A59" s="426">
        <v>8.2</v>
      </c>
      <c r="B59" s="427"/>
      <c r="C59" s="426" t="s">
        <v>3071</v>
      </c>
      <c r="D59" s="426" t="s">
        <v>3072</v>
      </c>
      <c r="E59" s="427" t="str">
        <f>LEFT(C59,5)</f>
        <v>FOOTB</v>
      </c>
    </row>
    <row r="60">
      <c r="A60" s="426">
        <v>8.3</v>
      </c>
      <c r="B60" s="427"/>
      <c r="C60" s="426" t="s">
        <v>3073</v>
      </c>
      <c r="D60" s="426" t="s">
        <v>3074</v>
      </c>
      <c r="E60" s="427" t="str">
        <f>LEFT(C60,3)</f>
        <v>SCR</v>
      </c>
    </row>
    <row r="61">
      <c r="A61" s="426">
        <v>8.4</v>
      </c>
      <c r="B61" s="427"/>
      <c r="C61" s="426" t="s">
        <v>3075</v>
      </c>
      <c r="D61" s="426" t="s">
        <v>3076</v>
      </c>
      <c r="E61" s="427" t="str">
        <f>LEFT(C61,6)</f>
        <v>WRISTW</v>
      </c>
    </row>
    <row r="62">
      <c r="A62" s="426">
        <v>8.5</v>
      </c>
      <c r="B62" s="427"/>
      <c r="C62" s="426" t="s">
        <v>3077</v>
      </c>
      <c r="D62" s="426" t="s">
        <v>3078</v>
      </c>
      <c r="E62" s="427" t="str">
        <f>LEFT(C62,7)</f>
        <v>STRAWBE</v>
      </c>
    </row>
    <row r="64">
      <c r="A64" s="428">
        <v>9.0</v>
      </c>
      <c r="B64" s="428" t="s">
        <v>33</v>
      </c>
      <c r="C64" s="429"/>
      <c r="D64" s="429"/>
      <c r="E64" s="429"/>
    </row>
    <row r="65">
      <c r="A65" s="428">
        <v>9.1</v>
      </c>
      <c r="B65" s="429"/>
      <c r="C65" s="428" t="s">
        <v>3079</v>
      </c>
      <c r="D65" s="428" t="s">
        <v>3080</v>
      </c>
      <c r="E65" s="429">
        <f>FIND("E",C65)</f>
        <v>2</v>
      </c>
    </row>
    <row r="66">
      <c r="A66" s="428">
        <v>9.2</v>
      </c>
      <c r="B66" s="429"/>
      <c r="C66" s="428" t="s">
        <v>3081</v>
      </c>
      <c r="D66" s="428" t="s">
        <v>3082</v>
      </c>
      <c r="E66" s="429">
        <f>FIND("T",C66)</f>
        <v>3</v>
      </c>
    </row>
    <row r="67">
      <c r="A67" s="428">
        <v>9.3</v>
      </c>
      <c r="B67" s="429"/>
      <c r="C67" s="428" t="s">
        <v>3083</v>
      </c>
      <c r="D67" s="428" t="s">
        <v>3084</v>
      </c>
      <c r="E67" s="429">
        <f>FIND("I",C67)</f>
        <v>3</v>
      </c>
    </row>
    <row r="68">
      <c r="A68" s="428">
        <v>9.4</v>
      </c>
      <c r="B68" s="429"/>
      <c r="C68" s="428" t="s">
        <v>3085</v>
      </c>
      <c r="D68" s="428" t="s">
        <v>3086</v>
      </c>
      <c r="E68" s="429">
        <f>FIND("V",C68)</f>
        <v>5</v>
      </c>
    </row>
    <row r="69">
      <c r="A69" s="428">
        <v>9.5</v>
      </c>
      <c r="B69" s="429"/>
      <c r="C69" s="428" t="s">
        <v>3087</v>
      </c>
      <c r="D69" s="428" t="s">
        <v>3088</v>
      </c>
      <c r="E69" s="429">
        <f>FIND("S",C69)</f>
        <v>3</v>
      </c>
    </row>
    <row r="71">
      <c r="A71" s="430">
        <v>10.0</v>
      </c>
      <c r="B71" s="430" t="s">
        <v>44</v>
      </c>
      <c r="C71" s="431"/>
      <c r="D71" s="431"/>
      <c r="E71" s="431"/>
    </row>
    <row r="72">
      <c r="A72" s="430">
        <v>10.1</v>
      </c>
      <c r="B72" s="430"/>
      <c r="C72" s="430" t="s">
        <v>3089</v>
      </c>
      <c r="D72" s="430" t="s">
        <v>3090</v>
      </c>
      <c r="E72" s="431" t="b">
        <f>EXACT(C72,C73)</f>
        <v>0</v>
      </c>
    </row>
    <row r="73">
      <c r="A73" s="430"/>
      <c r="B73" s="430"/>
      <c r="C73" s="430" t="s">
        <v>3091</v>
      </c>
      <c r="D73" s="431"/>
      <c r="E73" s="431"/>
    </row>
    <row r="74">
      <c r="A74" s="430">
        <v>10.2</v>
      </c>
      <c r="B74" s="430"/>
      <c r="C74" s="430" t="s">
        <v>3083</v>
      </c>
      <c r="D74" s="430" t="s">
        <v>3092</v>
      </c>
      <c r="E74" s="431" t="b">
        <f>EXACT(C74,C75)</f>
        <v>1</v>
      </c>
    </row>
    <row r="75">
      <c r="A75" s="430"/>
      <c r="B75" s="430"/>
      <c r="C75" s="430" t="s">
        <v>3083</v>
      </c>
      <c r="D75" s="431"/>
      <c r="E75" s="431"/>
    </row>
    <row r="76">
      <c r="A76" s="430">
        <v>10.3</v>
      </c>
      <c r="B76" s="430"/>
      <c r="C76" s="430" t="s">
        <v>3093</v>
      </c>
      <c r="D76" s="430" t="s">
        <v>3094</v>
      </c>
      <c r="E76" s="431" t="b">
        <f>EXACT(C76,C77)</f>
        <v>0</v>
      </c>
    </row>
    <row r="77">
      <c r="A77" s="431"/>
      <c r="B77" s="431"/>
      <c r="C77" s="430" t="s">
        <v>3095</v>
      </c>
      <c r="D77" s="431"/>
      <c r="E77" s="431"/>
    </row>
    <row r="78">
      <c r="A78" s="430">
        <v>10.4</v>
      </c>
      <c r="B78" s="431"/>
      <c r="C78" s="430" t="s">
        <v>3096</v>
      </c>
      <c r="D78" s="430" t="s">
        <v>3097</v>
      </c>
      <c r="E78" s="431" t="b">
        <f>EXACT(C78,C79)</f>
        <v>0</v>
      </c>
    </row>
    <row r="79">
      <c r="A79" s="431"/>
      <c r="B79" s="431"/>
      <c r="C79" s="430" t="s">
        <v>3098</v>
      </c>
      <c r="D79" s="431"/>
      <c r="E79" s="431"/>
    </row>
    <row r="80">
      <c r="A80" s="430">
        <v>10.5</v>
      </c>
      <c r="B80" s="430" t="s">
        <v>3099</v>
      </c>
      <c r="C80" s="430" t="s">
        <v>3099</v>
      </c>
      <c r="D80" s="430" t="s">
        <v>3100</v>
      </c>
      <c r="E80" s="431" t="b">
        <f>EXACT(C80,C81)</f>
        <v>0</v>
      </c>
    </row>
    <row r="81">
      <c r="A81" s="431"/>
      <c r="B81" s="430" t="s">
        <v>3101</v>
      </c>
      <c r="C81" s="430" t="s">
        <v>3101</v>
      </c>
      <c r="D81" s="431"/>
      <c r="E81" s="431"/>
    </row>
    <row r="83">
      <c r="A83" s="366">
        <v>11.0</v>
      </c>
      <c r="B83" s="366" t="s">
        <v>6</v>
      </c>
      <c r="C83" s="432"/>
      <c r="D83" s="432"/>
      <c r="E83" s="432"/>
    </row>
    <row r="84">
      <c r="A84" s="366">
        <v>11.1</v>
      </c>
      <c r="B84" s="432"/>
      <c r="C84" s="366" t="s">
        <v>3102</v>
      </c>
      <c r="D84" s="366" t="s">
        <v>3103</v>
      </c>
      <c r="E84" s="432" t="str">
        <f t="shared" ref="E84:E88" si="4">CLEAN(C84)</f>
        <v>OPINION</v>
      </c>
    </row>
    <row r="85">
      <c r="A85" s="366">
        <v>11.2</v>
      </c>
      <c r="B85" s="432"/>
      <c r="C85" s="366" t="s">
        <v>3104</v>
      </c>
      <c r="D85" s="366" t="s">
        <v>3105</v>
      </c>
      <c r="E85" s="432" t="str">
        <f t="shared" si="4"/>
        <v>PURPOSE</v>
      </c>
    </row>
    <row r="86">
      <c r="A86" s="366">
        <v>11.3</v>
      </c>
      <c r="B86" s="432"/>
      <c r="C86" s="366" t="s">
        <v>3106</v>
      </c>
      <c r="D86" s="366" t="s">
        <v>3107</v>
      </c>
      <c r="E86" s="432" t="str">
        <f t="shared" si="4"/>
        <v>ADDING</v>
      </c>
    </row>
    <row r="87">
      <c r="A87" s="366">
        <v>11.4</v>
      </c>
      <c r="B87" s="432"/>
      <c r="C87" s="366" t="s">
        <v>3108</v>
      </c>
      <c r="D87" s="366" t="s">
        <v>3109</v>
      </c>
      <c r="E87" s="432" t="str">
        <f t="shared" si="4"/>
        <v>CHOICE</v>
      </c>
    </row>
    <row r="88">
      <c r="A88" s="366">
        <v>11.5</v>
      </c>
      <c r="B88" s="432"/>
      <c r="C88" s="366" t="s">
        <v>3110</v>
      </c>
      <c r="D88" s="366" t="s">
        <v>3111</v>
      </c>
      <c r="E88" s="432" t="str">
        <f t="shared" si="4"/>
        <v>EXPLAIN</v>
      </c>
    </row>
    <row r="90">
      <c r="A90" s="433">
        <v>12.0</v>
      </c>
      <c r="B90" s="433" t="s">
        <v>101</v>
      </c>
      <c r="C90" s="434"/>
      <c r="D90" s="434"/>
      <c r="E90" s="434"/>
    </row>
    <row r="91">
      <c r="A91" s="433">
        <v>12.1</v>
      </c>
      <c r="B91" s="434"/>
      <c r="C91" s="433" t="s">
        <v>3112</v>
      </c>
      <c r="D91" s="433" t="s">
        <v>3113</v>
      </c>
      <c r="E91" s="434" t="str">
        <f t="shared" ref="E91:E95" si="5">PROPER($C91)</f>
        <v>Business Analyst</v>
      </c>
    </row>
    <row r="92">
      <c r="A92" s="433">
        <v>12.2</v>
      </c>
      <c r="B92" s="434"/>
      <c r="C92" s="433" t="s">
        <v>3114</v>
      </c>
      <c r="D92" s="433" t="s">
        <v>3115</v>
      </c>
      <c r="E92" s="434" t="str">
        <f t="shared" si="5"/>
        <v>Demi Louise</v>
      </c>
    </row>
    <row r="93">
      <c r="A93" s="433">
        <v>12.3</v>
      </c>
      <c r="B93" s="434"/>
      <c r="C93" s="433" t="s">
        <v>3116</v>
      </c>
      <c r="D93" s="433" t="s">
        <v>3117</v>
      </c>
      <c r="E93" s="434" t="str">
        <f t="shared" si="5"/>
        <v>Lily May</v>
      </c>
    </row>
    <row r="94">
      <c r="A94" s="433">
        <v>12.4</v>
      </c>
      <c r="B94" s="434"/>
      <c r="C94" s="433" t="s">
        <v>3118</v>
      </c>
      <c r="D94" s="433" t="s">
        <v>3119</v>
      </c>
      <c r="E94" s="434" t="str">
        <f t="shared" si="5"/>
        <v>Isla Ann</v>
      </c>
    </row>
    <row r="95">
      <c r="A95" s="433">
        <v>12.5</v>
      </c>
      <c r="B95" s="434"/>
      <c r="C95" s="433" t="s">
        <v>3120</v>
      </c>
      <c r="D95" s="433" t="s">
        <v>3121</v>
      </c>
      <c r="E95" s="434" t="str">
        <f t="shared" si="5"/>
        <v>James Dean</v>
      </c>
    </row>
  </sheetData>
  <hyperlinks>
    <hyperlink r:id="rId1" ref="A2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12.0"/>
    <col customWidth="1" min="7" max="7" width="20.25"/>
    <col customWidth="1" min="8" max="8" width="16.75"/>
  </cols>
  <sheetData>
    <row r="3">
      <c r="C3" s="435" t="s">
        <v>146</v>
      </c>
      <c r="D3" s="435" t="s">
        <v>3122</v>
      </c>
      <c r="E3" s="436" t="s">
        <v>1138</v>
      </c>
      <c r="F3" s="199"/>
      <c r="G3" s="158" t="s">
        <v>231</v>
      </c>
      <c r="H3" s="140" t="s">
        <v>149</v>
      </c>
    </row>
    <row r="4">
      <c r="B4" s="437"/>
      <c r="C4" s="438"/>
      <c r="D4" s="439"/>
      <c r="E4" s="440"/>
      <c r="F4" s="178"/>
      <c r="G4" s="178"/>
      <c r="H4" s="178"/>
    </row>
    <row r="5">
      <c r="B5" s="441"/>
      <c r="C5" s="442" t="s">
        <v>17</v>
      </c>
      <c r="D5" s="443">
        <v>1.0</v>
      </c>
      <c r="E5" s="180" t="s">
        <v>3123</v>
      </c>
      <c r="F5" s="181" t="s">
        <v>3124</v>
      </c>
      <c r="G5" s="181" t="s">
        <v>1442</v>
      </c>
      <c r="H5" s="183" t="str">
        <f t="shared" ref="H5:H9" si="1">CONCAT(E5,F5)</f>
        <v>Microstip Antenna</v>
      </c>
    </row>
    <row r="6">
      <c r="B6" s="444"/>
      <c r="C6" s="438"/>
      <c r="D6" s="443">
        <v>2.0</v>
      </c>
      <c r="E6" s="180" t="s">
        <v>3125</v>
      </c>
      <c r="F6" s="181" t="s">
        <v>3126</v>
      </c>
      <c r="G6" s="181" t="s">
        <v>1444</v>
      </c>
      <c r="H6" s="183" t="str">
        <f t="shared" si="1"/>
        <v>ElectronicsTelecomm</v>
      </c>
    </row>
    <row r="7">
      <c r="B7" s="444"/>
      <c r="C7" s="438"/>
      <c r="D7" s="443">
        <v>3.0</v>
      </c>
      <c r="E7" s="180" t="s">
        <v>3127</v>
      </c>
      <c r="F7" s="181" t="s">
        <v>3128</v>
      </c>
      <c r="G7" s="181" t="s">
        <v>1447</v>
      </c>
      <c r="H7" s="183" t="str">
        <f t="shared" si="1"/>
        <v>NikeShoes</v>
      </c>
    </row>
    <row r="8">
      <c r="B8" s="444"/>
      <c r="C8" s="438"/>
      <c r="D8" s="443">
        <v>4.0</v>
      </c>
      <c r="E8" s="180" t="s">
        <v>3129</v>
      </c>
      <c r="F8" s="445">
        <v>-2010.0</v>
      </c>
      <c r="G8" s="181" t="s">
        <v>1450</v>
      </c>
      <c r="H8" s="183" t="str">
        <f t="shared" si="1"/>
        <v>Inception-2010</v>
      </c>
    </row>
    <row r="9">
      <c r="B9" s="444"/>
      <c r="C9" s="438"/>
      <c r="D9" s="443">
        <v>5.0</v>
      </c>
      <c r="E9" s="446">
        <v>32.0</v>
      </c>
      <c r="F9" s="181" t="s">
        <v>3130</v>
      </c>
      <c r="G9" s="181" t="s">
        <v>1558</v>
      </c>
      <c r="H9" s="183" t="str">
        <f t="shared" si="1"/>
        <v>32degrees</v>
      </c>
    </row>
    <row r="10">
      <c r="B10" s="444"/>
      <c r="C10" s="447"/>
      <c r="D10" s="448"/>
      <c r="E10" s="186"/>
      <c r="F10" s="188"/>
      <c r="G10" s="188"/>
      <c r="H10" s="188"/>
    </row>
    <row r="11">
      <c r="B11" s="441"/>
      <c r="C11" s="449" t="s">
        <v>6</v>
      </c>
      <c r="D11" s="450">
        <v>1.0</v>
      </c>
      <c r="E11" s="180" t="str">
        <f>"High" &amp; CHAR(10) &amp; "Score"</f>
        <v>High
Score</v>
      </c>
      <c r="F11" s="183"/>
      <c r="G11" s="176" t="s">
        <v>3131</v>
      </c>
      <c r="H11" s="178" t="str">
        <f t="shared" ref="H11:H15" si="2">CLEAN(E11)</f>
        <v>HighScore</v>
      </c>
    </row>
    <row r="12">
      <c r="B12" s="444"/>
      <c r="C12" s="438"/>
      <c r="D12" s="443">
        <v>2.0</v>
      </c>
      <c r="E12" s="191" t="str">
        <f>"User" &amp; CHAR(9) &amp; "Name"</f>
        <v>User	Name</v>
      </c>
      <c r="F12" s="183"/>
      <c r="G12" s="181" t="s">
        <v>1454</v>
      </c>
      <c r="H12" s="183" t="str">
        <f t="shared" si="2"/>
        <v>UserName</v>
      </c>
    </row>
    <row r="13">
      <c r="B13" s="444"/>
      <c r="C13" s="438"/>
      <c r="D13" s="443">
        <v>3.0</v>
      </c>
      <c r="E13" s="191" t="str">
        <f>"Error" &amp; CHAR(7)</f>
        <v>Error</v>
      </c>
      <c r="F13" s="183"/>
      <c r="G13" s="181" t="s">
        <v>1456</v>
      </c>
      <c r="H13" s="183" t="str">
        <f t="shared" si="2"/>
        <v>Error</v>
      </c>
    </row>
    <row r="14">
      <c r="B14" s="444"/>
      <c r="C14" s="438"/>
      <c r="D14" s="443">
        <v>4.0</v>
      </c>
      <c r="E14" s="191" t="str">
        <f>"Code" &amp; CHAR(13) &amp; "99"</f>
        <v>Code
99</v>
      </c>
      <c r="F14" s="183"/>
      <c r="G14" s="181" t="s">
        <v>1562</v>
      </c>
      <c r="H14" s="183" t="str">
        <f t="shared" si="2"/>
        <v>Code99</v>
      </c>
    </row>
    <row r="15">
      <c r="B15" s="444"/>
      <c r="C15" s="438"/>
      <c r="D15" s="443">
        <v>5.0</v>
      </c>
      <c r="E15" s="191" t="str">
        <f>"Data" &amp; CHAR(31)</f>
        <v>Data</v>
      </c>
      <c r="F15" s="183"/>
      <c r="G15" s="181" t="s">
        <v>1459</v>
      </c>
      <c r="H15" s="183" t="str">
        <f t="shared" si="2"/>
        <v>Data</v>
      </c>
    </row>
    <row r="16">
      <c r="B16" s="444"/>
      <c r="C16" s="447"/>
      <c r="D16" s="448"/>
      <c r="E16" s="186"/>
      <c r="F16" s="188"/>
      <c r="G16" s="188"/>
      <c r="H16" s="188"/>
    </row>
    <row r="17">
      <c r="B17" s="441"/>
      <c r="C17" s="449" t="s">
        <v>44</v>
      </c>
      <c r="D17" s="450">
        <v>1.0</v>
      </c>
      <c r="E17" s="180" t="s">
        <v>3132</v>
      </c>
      <c r="F17" s="451" t="s">
        <v>3133</v>
      </c>
      <c r="G17" s="176" t="s">
        <v>3134</v>
      </c>
      <c r="H17" s="452" t="b">
        <f t="shared" ref="H17:H21" si="3">EXACT(E17,F17)</f>
        <v>0</v>
      </c>
      <c r="I17" s="453"/>
      <c r="J17" s="453"/>
    </row>
    <row r="18">
      <c r="B18" s="444"/>
      <c r="C18" s="438"/>
      <c r="D18" s="443">
        <v>2.0</v>
      </c>
      <c r="E18" s="180" t="s">
        <v>3135</v>
      </c>
      <c r="F18" s="451" t="s">
        <v>3135</v>
      </c>
      <c r="G18" s="181" t="s">
        <v>3136</v>
      </c>
      <c r="H18" s="454" t="b">
        <f t="shared" si="3"/>
        <v>1</v>
      </c>
      <c r="I18" s="455"/>
      <c r="J18" s="453"/>
    </row>
    <row r="19">
      <c r="B19" s="444"/>
      <c r="C19" s="438"/>
      <c r="D19" s="443">
        <v>3.0</v>
      </c>
      <c r="E19" s="180" t="s">
        <v>259</v>
      </c>
      <c r="F19" s="451" t="s">
        <v>599</v>
      </c>
      <c r="G19" s="181" t="s">
        <v>3137</v>
      </c>
      <c r="H19" s="454" t="b">
        <f t="shared" si="3"/>
        <v>0</v>
      </c>
      <c r="I19" s="455"/>
      <c r="J19" s="453"/>
    </row>
    <row r="20">
      <c r="B20" s="444"/>
      <c r="C20" s="438"/>
      <c r="D20" s="443">
        <v>4.0</v>
      </c>
      <c r="E20" s="446">
        <v>500.0</v>
      </c>
      <c r="F20" s="456">
        <v>500.0</v>
      </c>
      <c r="G20" s="181" t="s">
        <v>3138</v>
      </c>
      <c r="H20" s="454" t="b">
        <f t="shared" si="3"/>
        <v>1</v>
      </c>
      <c r="I20" s="455"/>
      <c r="J20" s="453"/>
    </row>
    <row r="21">
      <c r="B21" s="444"/>
      <c r="C21" s="438"/>
      <c r="D21" s="443">
        <v>5.0</v>
      </c>
      <c r="E21" s="180" t="s">
        <v>3139</v>
      </c>
      <c r="F21" s="451" t="s">
        <v>3139</v>
      </c>
      <c r="G21" s="181" t="s">
        <v>3140</v>
      </c>
      <c r="H21" s="454" t="b">
        <f t="shared" si="3"/>
        <v>1</v>
      </c>
      <c r="I21" s="455"/>
      <c r="J21" s="453"/>
    </row>
    <row r="22">
      <c r="B22" s="444"/>
      <c r="C22" s="438"/>
      <c r="D22" s="165"/>
      <c r="E22" s="186"/>
      <c r="F22" s="188"/>
      <c r="G22" s="183"/>
      <c r="H22" s="183"/>
      <c r="I22" s="455"/>
      <c r="J22" s="453"/>
    </row>
    <row r="23">
      <c r="B23" s="441"/>
      <c r="C23" s="449" t="s">
        <v>33</v>
      </c>
      <c r="D23" s="457">
        <v>1.0</v>
      </c>
      <c r="E23" s="458" t="s">
        <v>1568</v>
      </c>
      <c r="F23" s="183"/>
      <c r="G23" s="176" t="s">
        <v>3141</v>
      </c>
      <c r="H23" s="452">
        <f>FIND("r",E23)</f>
        <v>3</v>
      </c>
    </row>
    <row r="24">
      <c r="B24" s="444"/>
      <c r="C24" s="438"/>
      <c r="D24" s="459">
        <v>2.0</v>
      </c>
      <c r="E24" s="458" t="s">
        <v>3142</v>
      </c>
      <c r="F24" s="183"/>
      <c r="G24" s="181" t="s">
        <v>3143</v>
      </c>
      <c r="H24" s="454">
        <f>FIND("fight",E24)</f>
        <v>5</v>
      </c>
    </row>
    <row r="25">
      <c r="B25" s="444"/>
      <c r="C25" s="438"/>
      <c r="D25" s="459">
        <v>3.0</v>
      </c>
      <c r="E25" s="458" t="s">
        <v>3144</v>
      </c>
      <c r="F25" s="183"/>
      <c r="G25" s="181" t="s">
        <v>3145</v>
      </c>
      <c r="H25" s="454">
        <f>FIND("P",E25)</f>
        <v>9</v>
      </c>
    </row>
    <row r="26">
      <c r="B26" s="444"/>
      <c r="C26" s="438"/>
      <c r="D26" s="459">
        <v>4.0</v>
      </c>
      <c r="E26" s="458" t="s">
        <v>3146</v>
      </c>
      <c r="F26" s="183"/>
      <c r="G26" s="181" t="s">
        <v>3147</v>
      </c>
      <c r="H26" s="454">
        <f>FIND("e",E26)</f>
        <v>5</v>
      </c>
    </row>
    <row r="27">
      <c r="B27" s="444"/>
      <c r="C27" s="438"/>
      <c r="D27" s="459">
        <v>5.0</v>
      </c>
      <c r="E27" s="458" t="s">
        <v>3148</v>
      </c>
      <c r="F27" s="183"/>
      <c r="G27" s="181" t="s">
        <v>3149</v>
      </c>
      <c r="H27" s="454">
        <f>FIND("-",E27)</f>
        <v>5</v>
      </c>
    </row>
    <row r="28">
      <c r="B28" s="444"/>
      <c r="C28" s="447"/>
      <c r="D28" s="448"/>
      <c r="E28" s="186"/>
      <c r="F28" s="188"/>
      <c r="G28" s="188"/>
      <c r="H28" s="188"/>
    </row>
    <row r="29">
      <c r="B29" s="441"/>
      <c r="C29" s="442" t="s">
        <v>57</v>
      </c>
      <c r="D29" s="459">
        <v>1.0</v>
      </c>
      <c r="E29" s="458" t="s">
        <v>3150</v>
      </c>
      <c r="F29" s="183"/>
      <c r="G29" s="181" t="s">
        <v>3151</v>
      </c>
      <c r="H29" s="183" t="str">
        <f>LEFT(E29,6)</f>
        <v>Basket</v>
      </c>
    </row>
    <row r="30">
      <c r="B30" s="444"/>
      <c r="C30" s="438"/>
      <c r="D30" s="459">
        <v>2.0</v>
      </c>
      <c r="E30" s="458" t="s">
        <v>3152</v>
      </c>
      <c r="F30" s="183"/>
      <c r="G30" s="181" t="s">
        <v>3153</v>
      </c>
      <c r="H30" s="183" t="str">
        <f>LEFT(E30,3)</f>
        <v>Sun</v>
      </c>
    </row>
    <row r="31">
      <c r="B31" s="444"/>
      <c r="C31" s="438"/>
      <c r="D31" s="459">
        <v>3.0</v>
      </c>
      <c r="E31" s="458" t="s">
        <v>3154</v>
      </c>
      <c r="F31" s="183"/>
      <c r="G31" s="181" t="s">
        <v>3155</v>
      </c>
      <c r="H31" s="183" t="str">
        <f>LEFT(E31,4)</f>
        <v>2026</v>
      </c>
    </row>
    <row r="32">
      <c r="B32" s="444"/>
      <c r="C32" s="438"/>
      <c r="D32" s="459">
        <v>4.0</v>
      </c>
      <c r="E32" s="458" t="s">
        <v>2355</v>
      </c>
      <c r="F32" s="183"/>
      <c r="G32" s="181" t="s">
        <v>3156</v>
      </c>
      <c r="H32" s="183" t="str">
        <f>LEFT(E32,6)</f>
        <v>Hello </v>
      </c>
    </row>
    <row r="33">
      <c r="B33" s="444"/>
      <c r="C33" s="438"/>
      <c r="D33" s="459">
        <v>5.0</v>
      </c>
      <c r="E33" s="460">
        <v>150.0</v>
      </c>
      <c r="F33" s="183"/>
      <c r="G33" s="181" t="s">
        <v>3157</v>
      </c>
      <c r="H33" s="183" t="str">
        <f>LEFT(E33,1)</f>
        <v>$</v>
      </c>
    </row>
    <row r="34">
      <c r="B34" s="444"/>
      <c r="C34" s="447"/>
      <c r="D34" s="448"/>
      <c r="E34" s="186"/>
      <c r="F34" s="188"/>
      <c r="G34" s="188"/>
      <c r="H34" s="188" t="str">
        <f>LEFT(E34,6)</f>
        <v/>
      </c>
    </row>
    <row r="35">
      <c r="B35" s="441"/>
      <c r="C35" s="449" t="s">
        <v>123</v>
      </c>
      <c r="D35" s="457">
        <v>1.0</v>
      </c>
      <c r="E35" s="458" t="s">
        <v>1568</v>
      </c>
      <c r="F35" s="183"/>
      <c r="G35" s="176" t="s">
        <v>3158</v>
      </c>
      <c r="H35" s="178" t="str">
        <f>RIGHT(E35,5)</f>
        <v>berry</v>
      </c>
    </row>
    <row r="36">
      <c r="B36" s="444"/>
      <c r="C36" s="438"/>
      <c r="D36" s="459">
        <v>2.0</v>
      </c>
      <c r="E36" s="458" t="s">
        <v>3142</v>
      </c>
      <c r="F36" s="183"/>
      <c r="G36" s="181" t="s">
        <v>3159</v>
      </c>
      <c r="H36" s="183" t="str">
        <f>RIGHT(E36,7)</f>
        <v>fighter</v>
      </c>
    </row>
    <row r="37">
      <c r="B37" s="444"/>
      <c r="C37" s="438"/>
      <c r="D37" s="459">
        <v>3.0</v>
      </c>
      <c r="E37" s="458" t="s">
        <v>3160</v>
      </c>
      <c r="F37" s="183"/>
      <c r="G37" s="181" t="s">
        <v>3161</v>
      </c>
      <c r="H37" s="183" t="str">
        <f>RIGHT(E37,4)</f>
        <v>2026</v>
      </c>
    </row>
    <row r="38">
      <c r="B38" s="444"/>
      <c r="C38" s="438"/>
      <c r="D38" s="459">
        <v>4.0</v>
      </c>
      <c r="E38" s="458" t="s">
        <v>3162</v>
      </c>
      <c r="F38" s="183"/>
      <c r="G38" s="181" t="s">
        <v>3163</v>
      </c>
      <c r="H38" s="181" t="str">
        <f>RIGHT(E38,3)</f>
        <v>Cup</v>
      </c>
    </row>
    <row r="39">
      <c r="B39" s="444"/>
      <c r="C39" s="438"/>
      <c r="D39" s="459">
        <v>5.0</v>
      </c>
      <c r="E39" s="458" t="s">
        <v>3164</v>
      </c>
      <c r="F39" s="183"/>
      <c r="G39" s="181" t="s">
        <v>3165</v>
      </c>
      <c r="H39" s="183" t="str">
        <f>RIGHT(E39,2)</f>
        <v>99</v>
      </c>
    </row>
    <row r="40">
      <c r="B40" s="444"/>
      <c r="C40" s="447"/>
      <c r="D40" s="448"/>
      <c r="E40" s="461"/>
      <c r="F40" s="188"/>
      <c r="G40" s="188"/>
      <c r="H40" s="188"/>
    </row>
    <row r="41">
      <c r="B41" s="441"/>
      <c r="C41" s="449" t="s">
        <v>90</v>
      </c>
      <c r="D41" s="457">
        <v>1.0</v>
      </c>
      <c r="E41" s="458" t="s">
        <v>1568</v>
      </c>
      <c r="F41" s="462"/>
      <c r="G41" s="176" t="s">
        <v>3166</v>
      </c>
      <c r="H41" s="178" t="str">
        <f>MID(E41,3,3)</f>
        <v>raw</v>
      </c>
    </row>
    <row r="42">
      <c r="B42" s="444"/>
      <c r="C42" s="438"/>
      <c r="D42" s="459">
        <v>2.0</v>
      </c>
      <c r="E42" s="458" t="s">
        <v>3125</v>
      </c>
      <c r="F42" s="462"/>
      <c r="G42" s="181" t="s">
        <v>3167</v>
      </c>
      <c r="H42" s="183" t="str">
        <f>MID(E42,1,5)</f>
        <v>Elect</v>
      </c>
    </row>
    <row r="43">
      <c r="B43" s="444"/>
      <c r="C43" s="438"/>
      <c r="D43" s="459">
        <v>3.0</v>
      </c>
      <c r="E43" s="458" t="s">
        <v>3168</v>
      </c>
      <c r="F43" s="462"/>
      <c r="G43" s="181" t="s">
        <v>3169</v>
      </c>
      <c r="H43" s="183" t="str">
        <f>MID(E43,4,2)</f>
        <v>99</v>
      </c>
    </row>
    <row r="44">
      <c r="B44" s="444"/>
      <c r="C44" s="438"/>
      <c r="D44" s="459">
        <v>4.0</v>
      </c>
      <c r="E44" s="458" t="s">
        <v>3170</v>
      </c>
      <c r="F44" s="462"/>
      <c r="G44" s="181" t="s">
        <v>3171</v>
      </c>
      <c r="H44" s="183" t="str">
        <f>MID(E44,4,4)</f>
        <v>zing</v>
      </c>
    </row>
    <row r="45">
      <c r="B45" s="444"/>
      <c r="C45" s="438"/>
      <c r="D45" s="459">
        <v>5.0</v>
      </c>
      <c r="E45" s="463">
        <v>9.87654321E9</v>
      </c>
      <c r="F45" s="462"/>
      <c r="G45" s="181" t="s">
        <v>3172</v>
      </c>
      <c r="H45" s="183" t="str">
        <f>MID(E45,3,3)</f>
        <v>765</v>
      </c>
    </row>
    <row r="46">
      <c r="B46" s="444"/>
      <c r="C46" s="447"/>
      <c r="D46" s="448"/>
      <c r="E46" s="461"/>
      <c r="F46" s="464"/>
      <c r="G46" s="188"/>
      <c r="H46" s="188"/>
    </row>
    <row r="47">
      <c r="B47" s="441"/>
      <c r="C47" s="449" t="s">
        <v>68</v>
      </c>
      <c r="D47" s="457">
        <v>1.0</v>
      </c>
      <c r="E47" s="458" t="s">
        <v>3173</v>
      </c>
      <c r="F47" s="451"/>
      <c r="G47" s="465" t="s">
        <v>74</v>
      </c>
      <c r="H47" s="466">
        <f t="shared" ref="H47:H51" si="4">LEN(E47)</f>
        <v>3</v>
      </c>
      <c r="I47" s="453"/>
    </row>
    <row r="48">
      <c r="B48" s="444"/>
      <c r="C48" s="438"/>
      <c r="D48" s="459">
        <v>2.0</v>
      </c>
      <c r="E48" s="458" t="s">
        <v>3174</v>
      </c>
      <c r="F48" s="451"/>
      <c r="G48" s="451" t="s">
        <v>76</v>
      </c>
      <c r="H48" s="456">
        <f t="shared" si="4"/>
        <v>9</v>
      </c>
      <c r="I48" s="455"/>
    </row>
    <row r="49">
      <c r="B49" s="444"/>
      <c r="C49" s="438"/>
      <c r="D49" s="459">
        <v>3.0</v>
      </c>
      <c r="E49" s="458" t="s">
        <v>3175</v>
      </c>
      <c r="F49" s="451"/>
      <c r="G49" s="451" t="s">
        <v>78</v>
      </c>
      <c r="H49" s="456">
        <f t="shared" si="4"/>
        <v>11</v>
      </c>
      <c r="I49" s="455"/>
    </row>
    <row r="50">
      <c r="B50" s="444"/>
      <c r="C50" s="438"/>
      <c r="D50" s="459">
        <v>4.0</v>
      </c>
      <c r="E50" s="458" t="s">
        <v>3176</v>
      </c>
      <c r="F50" s="451"/>
      <c r="G50" s="451" t="s">
        <v>2460</v>
      </c>
      <c r="H50" s="456">
        <f t="shared" si="4"/>
        <v>6</v>
      </c>
      <c r="I50" s="455"/>
    </row>
    <row r="51">
      <c r="B51" s="444"/>
      <c r="C51" s="438"/>
      <c r="D51" s="459">
        <v>5.0</v>
      </c>
      <c r="E51" s="458" t="s">
        <v>3177</v>
      </c>
      <c r="F51" s="451"/>
      <c r="G51" s="451" t="s">
        <v>1054</v>
      </c>
      <c r="H51" s="456">
        <f t="shared" si="4"/>
        <v>7</v>
      </c>
      <c r="I51" s="455"/>
    </row>
    <row r="52">
      <c r="B52" s="444"/>
      <c r="C52" s="447"/>
      <c r="D52" s="467"/>
      <c r="E52" s="461"/>
      <c r="F52" s="468"/>
      <c r="G52" s="468"/>
      <c r="H52" s="464"/>
      <c r="I52" s="455"/>
    </row>
    <row r="53">
      <c r="B53" s="441"/>
      <c r="C53" s="449" t="s">
        <v>112</v>
      </c>
      <c r="D53" s="457">
        <v>1.0</v>
      </c>
      <c r="E53" s="458" t="s">
        <v>3150</v>
      </c>
      <c r="F53" s="462"/>
      <c r="G53" s="465" t="s">
        <v>3178</v>
      </c>
      <c r="H53" s="178" t="str">
        <f>REPLACE(E53,1,6,"Soft")</f>
        <v>Softball</v>
      </c>
    </row>
    <row r="54">
      <c r="B54" s="444"/>
      <c r="C54" s="438"/>
      <c r="D54" s="459">
        <v>2.0</v>
      </c>
      <c r="E54" s="458" t="s">
        <v>3179</v>
      </c>
      <c r="F54" s="462"/>
      <c r="G54" s="451" t="s">
        <v>3180</v>
      </c>
      <c r="H54" s="183" t="str">
        <f>REPLACE(E54,7,4,"2026")</f>
        <v>Pizza-2026</v>
      </c>
    </row>
    <row r="55">
      <c r="B55" s="444"/>
      <c r="C55" s="438"/>
      <c r="D55" s="459">
        <v>3.0</v>
      </c>
      <c r="E55" s="458" t="s">
        <v>3181</v>
      </c>
      <c r="F55" s="462"/>
      <c r="G55" s="451" t="s">
        <v>3182</v>
      </c>
      <c r="H55" s="183" t="str">
        <f>REPLACE(E55,7,1,"V")</f>
        <v>Model-V</v>
      </c>
    </row>
    <row r="56">
      <c r="B56" s="444"/>
      <c r="C56" s="438"/>
      <c r="D56" s="459">
        <v>4.0</v>
      </c>
      <c r="E56" s="458" t="s">
        <v>3183</v>
      </c>
      <c r="F56" s="462"/>
      <c r="G56" s="451" t="s">
        <v>3184</v>
      </c>
      <c r="H56" s="183" t="str">
        <f>REPLACE(E56,1,3,"Rainy")</f>
        <v>Rainy Day</v>
      </c>
    </row>
    <row r="57">
      <c r="B57" s="444"/>
      <c r="C57" s="438"/>
      <c r="D57" s="459">
        <v>5.0</v>
      </c>
      <c r="E57" s="458" t="s">
        <v>3185</v>
      </c>
      <c r="F57" s="462"/>
      <c r="G57" s="451" t="s">
        <v>3186</v>
      </c>
      <c r="H57" s="183" t="str">
        <f>REPLACE(E57,4,3,"029")</f>
        <v>ID-029</v>
      </c>
    </row>
    <row r="58">
      <c r="B58" s="444"/>
      <c r="C58" s="447"/>
      <c r="D58" s="469"/>
      <c r="E58" s="461"/>
      <c r="F58" s="464"/>
      <c r="G58" s="468"/>
      <c r="H58" s="468"/>
      <c r="I58" s="453"/>
      <c r="J58" s="453"/>
    </row>
    <row r="59">
      <c r="F59" s="453"/>
      <c r="G59" s="453"/>
      <c r="H59" s="453"/>
      <c r="I59" s="470"/>
      <c r="J59" s="455"/>
    </row>
    <row r="60">
      <c r="F60" s="453"/>
      <c r="G60" s="453"/>
      <c r="H60" s="453"/>
      <c r="I60" s="470"/>
      <c r="J60" s="455"/>
    </row>
    <row r="61">
      <c r="F61" s="453"/>
      <c r="G61" s="453"/>
      <c r="H61" s="453"/>
      <c r="I61" s="470"/>
      <c r="J61" s="455"/>
    </row>
    <row r="62">
      <c r="F62" s="453"/>
      <c r="G62" s="453"/>
      <c r="H62" s="453"/>
      <c r="I62" s="470"/>
      <c r="J62" s="455"/>
    </row>
    <row r="63">
      <c r="F63" s="453"/>
      <c r="G63" s="453"/>
      <c r="H63" s="453"/>
      <c r="I63" s="470"/>
      <c r="J63" s="455"/>
    </row>
  </sheetData>
  <mergeCells count="1">
    <mergeCell ref="E3:F3"/>
  </mergeCells>
  <conditionalFormatting sqref="C3:E3 G3:H3">
    <cfRule type="notContainsBlanks" dxfId="0" priority="1">
      <formula>LEN(TRIM(C3))&gt;0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.75"/>
    <col customWidth="1" min="9" max="9" width="24.13"/>
    <col customWidth="1" min="10" max="10" width="7.75"/>
    <col customWidth="1" min="11" max="11" width="15.13"/>
  </cols>
  <sheetData>
    <row r="3">
      <c r="D3" s="471" t="s">
        <v>3187</v>
      </c>
      <c r="E3" s="471" t="s">
        <v>2</v>
      </c>
      <c r="F3" s="472" t="s">
        <v>233</v>
      </c>
      <c r="H3" s="473"/>
      <c r="I3" s="471" t="s">
        <v>4</v>
      </c>
      <c r="J3" s="473"/>
      <c r="K3" s="471" t="s">
        <v>2273</v>
      </c>
    </row>
    <row r="5">
      <c r="D5" s="160">
        <v>1.0</v>
      </c>
      <c r="E5" s="474" t="s">
        <v>3188</v>
      </c>
      <c r="F5" s="1" t="s">
        <v>3189</v>
      </c>
      <c r="I5" s="1" t="s">
        <v>3190</v>
      </c>
      <c r="K5" s="6" t="str">
        <f>TEXTJOIN(" ",0,F5,F6,F7)</f>
        <v>virat Run Machine</v>
      </c>
    </row>
    <row r="6">
      <c r="D6" s="14"/>
      <c r="F6" s="1" t="s">
        <v>3191</v>
      </c>
    </row>
    <row r="7">
      <c r="D7" s="14"/>
      <c r="F7" s="1" t="s">
        <v>784</v>
      </c>
    </row>
    <row r="8">
      <c r="D8" s="223"/>
      <c r="F8" s="1" t="s">
        <v>3192</v>
      </c>
      <c r="I8" s="1" t="s">
        <v>3193</v>
      </c>
      <c r="K8" s="6" t="str">
        <f>CONCAT(F8,F9)</f>
        <v>RohitHitman</v>
      </c>
      <c r="L8" s="6" t="str">
        <f>CONCATENATE(F8," ",F9)</f>
        <v>Rohit Hitman</v>
      </c>
    </row>
    <row r="9">
      <c r="D9" s="14"/>
      <c r="F9" s="1" t="s">
        <v>3194</v>
      </c>
    </row>
    <row r="10">
      <c r="D10" s="223"/>
      <c r="F10" s="1" t="s">
        <v>3195</v>
      </c>
      <c r="I10" s="1" t="s">
        <v>3196</v>
      </c>
      <c r="K10" s="6" t="str">
        <f>CONCAT(F10,F11)</f>
        <v>hardikcluch</v>
      </c>
    </row>
    <row r="11">
      <c r="D11" s="14"/>
      <c r="F11" s="1" t="s">
        <v>3197</v>
      </c>
    </row>
    <row r="12">
      <c r="D12" s="223"/>
      <c r="F12" s="1" t="s">
        <v>3198</v>
      </c>
      <c r="G12" s="1" t="s">
        <v>3199</v>
      </c>
      <c r="I12" s="1" t="s">
        <v>3200</v>
      </c>
      <c r="K12" s="6" t="str">
        <f t="shared" ref="K12:K13" si="1">CONCAT(F12,G12)</f>
        <v>abhisheksharma</v>
      </c>
    </row>
    <row r="13">
      <c r="D13" s="223"/>
      <c r="F13" s="1" t="s">
        <v>3201</v>
      </c>
      <c r="G13" s="1" t="s">
        <v>3202</v>
      </c>
      <c r="I13" s="1" t="s">
        <v>3203</v>
      </c>
      <c r="K13" s="6" t="str">
        <f t="shared" si="1"/>
        <v>hardsanju</v>
      </c>
    </row>
    <row r="15">
      <c r="D15" s="160">
        <v>2.0</v>
      </c>
      <c r="E15" s="474" t="s">
        <v>250</v>
      </c>
      <c r="F15" s="1" t="s">
        <v>3204</v>
      </c>
      <c r="I15" s="1" t="s">
        <v>1201</v>
      </c>
      <c r="K15" s="6" t="str">
        <f t="shared" ref="K15:K19" si="2">CLEAN(F15)</f>
        <v>Sheet 1</v>
      </c>
    </row>
    <row r="16">
      <c r="F16" s="1" t="s">
        <v>3205</v>
      </c>
      <c r="I16" s="1" t="s">
        <v>1203</v>
      </c>
      <c r="K16" s="6" t="str">
        <f t="shared" si="2"/>
        <v>Sheet 2</v>
      </c>
    </row>
    <row r="17">
      <c r="F17" s="1" t="s">
        <v>3206</v>
      </c>
      <c r="I17" s="1" t="s">
        <v>1330</v>
      </c>
      <c r="K17" s="6" t="str">
        <f t="shared" si="2"/>
        <v>Sheet 3</v>
      </c>
    </row>
    <row r="18">
      <c r="F18" s="1" t="s">
        <v>3207</v>
      </c>
      <c r="I18" s="1" t="s">
        <v>1332</v>
      </c>
      <c r="K18" s="6" t="str">
        <f t="shared" si="2"/>
        <v>Sheet 4</v>
      </c>
    </row>
    <row r="19">
      <c r="F19" s="1" t="s">
        <v>3208</v>
      </c>
      <c r="I19" s="1" t="s">
        <v>1334</v>
      </c>
      <c r="K19" s="6" t="str">
        <f t="shared" si="2"/>
        <v>Sheet 5</v>
      </c>
    </row>
    <row r="21">
      <c r="D21" s="475">
        <v>3.0</v>
      </c>
      <c r="E21" s="474" t="s">
        <v>261</v>
      </c>
      <c r="F21" s="1" t="s">
        <v>3209</v>
      </c>
      <c r="G21" s="1" t="s">
        <v>3210</v>
      </c>
      <c r="I21" s="1" t="s">
        <v>3211</v>
      </c>
      <c r="K21" s="6" t="b">
        <f t="shared" ref="K21:K25" si="3">EXACT(F21,G21)</f>
        <v>0</v>
      </c>
    </row>
    <row r="22">
      <c r="F22" s="1" t="s">
        <v>3209</v>
      </c>
      <c r="G22" s="1" t="s">
        <v>3209</v>
      </c>
      <c r="I22" s="1" t="s">
        <v>1217</v>
      </c>
      <c r="K22" s="6" t="b">
        <f t="shared" si="3"/>
        <v>1</v>
      </c>
    </row>
    <row r="23">
      <c r="F23" s="1" t="s">
        <v>3212</v>
      </c>
      <c r="G23" s="1" t="s">
        <v>3212</v>
      </c>
      <c r="I23" s="1" t="s">
        <v>3213</v>
      </c>
      <c r="K23" s="6" t="b">
        <f t="shared" si="3"/>
        <v>1</v>
      </c>
    </row>
    <row r="24">
      <c r="F24" s="1" t="s">
        <v>3209</v>
      </c>
      <c r="G24" s="1" t="s">
        <v>3214</v>
      </c>
      <c r="I24" s="1" t="s">
        <v>3215</v>
      </c>
      <c r="K24" s="6" t="b">
        <f t="shared" si="3"/>
        <v>0</v>
      </c>
    </row>
    <row r="25">
      <c r="F25" s="1" t="s">
        <v>3216</v>
      </c>
      <c r="G25" s="1" t="s">
        <v>3214</v>
      </c>
      <c r="I25" s="1" t="s">
        <v>1340</v>
      </c>
      <c r="K25" s="6" t="b">
        <f t="shared" si="3"/>
        <v>0</v>
      </c>
    </row>
    <row r="27">
      <c r="D27" s="160">
        <v>4.0</v>
      </c>
      <c r="E27" s="474" t="s">
        <v>270</v>
      </c>
      <c r="F27" s="1" t="s">
        <v>905</v>
      </c>
      <c r="I27" s="1" t="s">
        <v>3217</v>
      </c>
      <c r="K27" s="6">
        <f>FIND("a",F27)</f>
        <v>5</v>
      </c>
    </row>
    <row r="28">
      <c r="F28" s="1" t="s">
        <v>3218</v>
      </c>
      <c r="I28" s="1" t="s">
        <v>3219</v>
      </c>
      <c r="K28" s="6">
        <f>FIND("n",F28,5)</f>
        <v>5</v>
      </c>
    </row>
    <row r="29">
      <c r="F29" s="1" t="s">
        <v>3220</v>
      </c>
      <c r="I29" s="1" t="s">
        <v>3221</v>
      </c>
      <c r="K29" s="6">
        <f>FIND("l",F29,3)</f>
        <v>6</v>
      </c>
    </row>
    <row r="30">
      <c r="F30" s="1" t="s">
        <v>3222</v>
      </c>
      <c r="I30" s="1" t="s">
        <v>3223</v>
      </c>
      <c r="K30" s="6">
        <f>FIND("a",F30)</f>
        <v>5</v>
      </c>
    </row>
    <row r="31">
      <c r="F31" s="1" t="s">
        <v>3222</v>
      </c>
      <c r="I31" s="1" t="s">
        <v>3223</v>
      </c>
      <c r="K31" s="6">
        <f>FIND("a",F31,6)</f>
        <v>7</v>
      </c>
    </row>
    <row r="33">
      <c r="D33" s="160">
        <v>5.0</v>
      </c>
      <c r="E33" s="474" t="s">
        <v>279</v>
      </c>
      <c r="F33" s="476" t="s">
        <v>390</v>
      </c>
      <c r="I33" s="1" t="s">
        <v>3224</v>
      </c>
      <c r="K33" s="6" t="str">
        <f>LEFT(F33,6)</f>
        <v>Mumbai</v>
      </c>
    </row>
    <row r="34">
      <c r="F34" s="1" t="s">
        <v>403</v>
      </c>
      <c r="I34" s="1" t="s">
        <v>3225</v>
      </c>
      <c r="K34" s="6" t="str">
        <f>LEFT(F34,5)</f>
        <v>Royal</v>
      </c>
    </row>
    <row r="35">
      <c r="F35" s="477" t="s">
        <v>3226</v>
      </c>
      <c r="I35" s="1" t="s">
        <v>3227</v>
      </c>
      <c r="K35" s="6" t="str">
        <f>LEFT(F35,6)</f>
        <v>Chenna</v>
      </c>
    </row>
    <row r="36">
      <c r="F36" s="478" t="s">
        <v>3228</v>
      </c>
      <c r="I36" s="1" t="s">
        <v>3229</v>
      </c>
      <c r="K36" s="6" t="str">
        <f>LEFT(F36,9)</f>
        <v>Sunrisers</v>
      </c>
    </row>
    <row r="37">
      <c r="F37" s="476" t="s">
        <v>3230</v>
      </c>
      <c r="I37" s="1" t="s">
        <v>3231</v>
      </c>
      <c r="K37" s="6" t="str">
        <f>LEFT(F37,5)</f>
        <v>Rajas</v>
      </c>
    </row>
    <row r="39">
      <c r="D39" s="160">
        <v>6.0</v>
      </c>
      <c r="E39" s="474" t="s">
        <v>285</v>
      </c>
      <c r="F39" s="476" t="s">
        <v>390</v>
      </c>
      <c r="I39" s="1" t="s">
        <v>3232</v>
      </c>
      <c r="K39" s="6" t="str">
        <f t="shared" ref="K39:K43" si="4">RIGHT(F39,5)</f>
        <v>dians</v>
      </c>
    </row>
    <row r="40">
      <c r="D40" s="479"/>
      <c r="F40" s="1" t="s">
        <v>403</v>
      </c>
      <c r="I40" s="1" t="s">
        <v>197</v>
      </c>
      <c r="K40" s="6" t="str">
        <f t="shared" si="4"/>
        <v>aluru</v>
      </c>
    </row>
    <row r="41">
      <c r="D41" s="479"/>
      <c r="F41" s="477" t="s">
        <v>3226</v>
      </c>
      <c r="I41" s="1" t="s">
        <v>3233</v>
      </c>
      <c r="K41" s="6" t="str">
        <f t="shared" si="4"/>
        <v>Kings</v>
      </c>
    </row>
    <row r="42">
      <c r="D42" s="479"/>
      <c r="F42" s="478" t="s">
        <v>3228</v>
      </c>
      <c r="I42" s="1" t="s">
        <v>3234</v>
      </c>
      <c r="K42" s="6" t="str">
        <f t="shared" si="4"/>
        <v>rabad</v>
      </c>
    </row>
    <row r="43">
      <c r="D43" s="479"/>
      <c r="F43" s="476" t="s">
        <v>3230</v>
      </c>
      <c r="I43" s="1" t="s">
        <v>3235</v>
      </c>
      <c r="K43" s="6" t="str">
        <f t="shared" si="4"/>
        <v>oyals</v>
      </c>
    </row>
    <row r="44">
      <c r="D44" s="479"/>
    </row>
    <row r="45">
      <c r="D45" s="160">
        <v>7.0</v>
      </c>
      <c r="E45" s="474" t="s">
        <v>332</v>
      </c>
      <c r="F45" s="476" t="s">
        <v>390</v>
      </c>
      <c r="K45" s="6" t="str">
        <f t="shared" ref="K45:K49" si="5">PROPER(F45)</f>
        <v>Mumbai Indians</v>
      </c>
    </row>
    <row r="46">
      <c r="D46" s="479"/>
      <c r="F46" s="1" t="s">
        <v>403</v>
      </c>
      <c r="K46" s="6" t="str">
        <f t="shared" si="5"/>
        <v>Royal Challengers Bengaluru</v>
      </c>
    </row>
    <row r="47">
      <c r="D47" s="479"/>
      <c r="F47" s="477" t="s">
        <v>3226</v>
      </c>
      <c r="K47" s="6" t="str">
        <f t="shared" si="5"/>
        <v>Chennai Super Kings</v>
      </c>
    </row>
    <row r="48">
      <c r="D48" s="479"/>
      <c r="F48" s="478" t="s">
        <v>3228</v>
      </c>
      <c r="K48" s="6" t="str">
        <f t="shared" si="5"/>
        <v>Sunrisers Hyderabad</v>
      </c>
    </row>
    <row r="49">
      <c r="D49" s="479"/>
      <c r="F49" s="476" t="s">
        <v>3230</v>
      </c>
      <c r="K49" s="6" t="str">
        <f t="shared" si="5"/>
        <v>Rajasthan Royals</v>
      </c>
    </row>
    <row r="50">
      <c r="D50" s="479"/>
    </row>
    <row r="51">
      <c r="D51" s="160">
        <v>8.0</v>
      </c>
      <c r="E51" s="474" t="s">
        <v>3236</v>
      </c>
      <c r="F51" s="476" t="s">
        <v>390</v>
      </c>
      <c r="I51" s="1" t="s">
        <v>3237</v>
      </c>
      <c r="K51" s="6" t="str">
        <f t="shared" ref="K51:K55" si="6">LOWER(F51)</f>
        <v>mumbai indians</v>
      </c>
    </row>
    <row r="52">
      <c r="D52" s="479"/>
      <c r="F52" s="1" t="s">
        <v>403</v>
      </c>
      <c r="K52" s="6" t="str">
        <f t="shared" si="6"/>
        <v>royal challengers bengaluru</v>
      </c>
    </row>
    <row r="53">
      <c r="D53" s="479"/>
      <c r="F53" s="477" t="s">
        <v>3226</v>
      </c>
      <c r="K53" s="6" t="str">
        <f t="shared" si="6"/>
        <v>chennai super kings</v>
      </c>
    </row>
    <row r="54">
      <c r="D54" s="479"/>
      <c r="F54" s="478" t="s">
        <v>3228</v>
      </c>
      <c r="K54" s="6" t="str">
        <f t="shared" si="6"/>
        <v>sunrisers hyderabad</v>
      </c>
    </row>
    <row r="55">
      <c r="D55" s="479"/>
      <c r="F55" s="476" t="s">
        <v>3230</v>
      </c>
      <c r="K55" s="6" t="str">
        <f t="shared" si="6"/>
        <v>rajasthan royals</v>
      </c>
    </row>
    <row r="56">
      <c r="D56" s="479"/>
    </row>
    <row r="57">
      <c r="D57" s="160">
        <v>9.0</v>
      </c>
      <c r="E57" s="474" t="s">
        <v>3238</v>
      </c>
      <c r="F57" s="476" t="s">
        <v>390</v>
      </c>
      <c r="I57" s="1" t="s">
        <v>219</v>
      </c>
      <c r="K57" s="6" t="str">
        <f t="shared" ref="K57:K61" si="7">UPPER(F57)</f>
        <v>MUMBAI INDIANS</v>
      </c>
    </row>
    <row r="58">
      <c r="D58" s="479"/>
      <c r="F58" s="1" t="s">
        <v>403</v>
      </c>
      <c r="K58" s="6" t="str">
        <f t="shared" si="7"/>
        <v>ROYAL CHALLENGERS BENGALURU</v>
      </c>
    </row>
    <row r="59">
      <c r="D59" s="479"/>
      <c r="F59" s="477" t="s">
        <v>3226</v>
      </c>
      <c r="K59" s="6" t="str">
        <f t="shared" si="7"/>
        <v>CHENNAI SUPER KINGS</v>
      </c>
    </row>
    <row r="60">
      <c r="D60" s="479"/>
      <c r="F60" s="478" t="s">
        <v>3228</v>
      </c>
      <c r="K60" s="6" t="str">
        <f t="shared" si="7"/>
        <v>SUNRISERS HYDERABAD</v>
      </c>
    </row>
    <row r="61">
      <c r="D61" s="479"/>
      <c r="F61" s="476" t="s">
        <v>3230</v>
      </c>
      <c r="K61" s="6" t="str">
        <f t="shared" si="7"/>
        <v>RAJASTHAN ROYALS</v>
      </c>
    </row>
    <row r="62">
      <c r="D62" s="479"/>
    </row>
    <row r="63">
      <c r="D63" s="160">
        <v>10.0</v>
      </c>
      <c r="E63" s="474" t="s">
        <v>3239</v>
      </c>
      <c r="F63" s="476" t="s">
        <v>390</v>
      </c>
      <c r="I63" s="1" t="s">
        <v>3240</v>
      </c>
      <c r="K63" s="6">
        <f t="shared" ref="K63:K67" si="8">LEN(F63)</f>
        <v>14</v>
      </c>
    </row>
    <row r="64">
      <c r="D64" s="479"/>
      <c r="F64" s="1" t="s">
        <v>403</v>
      </c>
      <c r="K64" s="6">
        <f t="shared" si="8"/>
        <v>27</v>
      </c>
    </row>
    <row r="65">
      <c r="D65" s="479"/>
      <c r="F65" s="477" t="s">
        <v>3226</v>
      </c>
      <c r="K65" s="6">
        <f t="shared" si="8"/>
        <v>19</v>
      </c>
    </row>
    <row r="66">
      <c r="D66" s="479"/>
      <c r="F66" s="478" t="s">
        <v>3228</v>
      </c>
      <c r="K66" s="6">
        <f t="shared" si="8"/>
        <v>19</v>
      </c>
    </row>
    <row r="67">
      <c r="D67" s="479"/>
      <c r="F67" s="476" t="s">
        <v>3230</v>
      </c>
      <c r="K67" s="6">
        <f t="shared" si="8"/>
        <v>16</v>
      </c>
    </row>
    <row r="68">
      <c r="D68" s="479"/>
    </row>
    <row r="69">
      <c r="D69" s="160">
        <v>11.0</v>
      </c>
      <c r="E69" s="474" t="s">
        <v>3241</v>
      </c>
      <c r="F69" s="476" t="s">
        <v>390</v>
      </c>
      <c r="I69" s="1" t="s">
        <v>3242</v>
      </c>
      <c r="K69" s="6" t="str">
        <f>MID(F69,8,3)</f>
        <v>Ind</v>
      </c>
    </row>
    <row r="70">
      <c r="D70" s="479"/>
      <c r="F70" s="1" t="s">
        <v>403</v>
      </c>
      <c r="K70" s="6" t="str">
        <f>MID(F70,9,5)</f>
        <v>allen</v>
      </c>
    </row>
    <row r="71">
      <c r="D71" s="479"/>
      <c r="F71" s="477" t="s">
        <v>3226</v>
      </c>
      <c r="K71" s="6" t="str">
        <f>MID(F71,5,8)</f>
        <v>nai Supe</v>
      </c>
    </row>
    <row r="72">
      <c r="D72" s="479"/>
      <c r="F72" s="478" t="s">
        <v>3228</v>
      </c>
      <c r="K72" s="6" t="str">
        <f>MID(F72,5,5)</f>
        <v>isers</v>
      </c>
    </row>
    <row r="73">
      <c r="D73" s="479"/>
      <c r="F73" s="476" t="s">
        <v>3230</v>
      </c>
      <c r="K73" s="6" t="str">
        <f>MID(F73,6,4)</f>
        <v>than</v>
      </c>
    </row>
    <row r="74">
      <c r="D74" s="479"/>
    </row>
    <row r="75">
      <c r="D75" s="160">
        <v>12.0</v>
      </c>
      <c r="E75" s="474" t="s">
        <v>343</v>
      </c>
      <c r="F75" s="476" t="s">
        <v>390</v>
      </c>
      <c r="I75" s="1" t="s">
        <v>3243</v>
      </c>
      <c r="K75" s="6" t="str">
        <f>REPLACE(F75,8,7,"wankade")</f>
        <v>Mumbai wankade</v>
      </c>
    </row>
    <row r="76">
      <c r="D76" s="479"/>
      <c r="F76" s="1" t="s">
        <v>403</v>
      </c>
      <c r="I76" s="1" t="s">
        <v>3244</v>
      </c>
      <c r="K76" s="6" t="str">
        <f>REPLACE(F76,7,11,"virat")</f>
        <v>Royal virat Bengaluru</v>
      </c>
    </row>
    <row r="77">
      <c r="D77" s="479"/>
      <c r="F77" s="477" t="s">
        <v>3226</v>
      </c>
      <c r="I77" s="1" t="s">
        <v>3245</v>
      </c>
      <c r="K77" s="6" t="str">
        <f>REPLACE(F77,9,5,"MS")</f>
        <v>Chennai MS Kings</v>
      </c>
    </row>
    <row r="78">
      <c r="D78" s="479"/>
      <c r="F78" s="478" t="s">
        <v>3228</v>
      </c>
      <c r="I78" s="1" t="s">
        <v>3246</v>
      </c>
      <c r="K78" s="6" t="str">
        <f>REPLACE(F78,11,9,"kings")</f>
        <v>Sunrisers kings</v>
      </c>
    </row>
    <row r="79">
      <c r="F79" s="476" t="s">
        <v>3230</v>
      </c>
      <c r="I79" s="1" t="s">
        <v>3247</v>
      </c>
      <c r="K79" s="6" t="str">
        <f>REPLACE(F79,1,10,"jos")</f>
        <v>josRoyals</v>
      </c>
    </row>
  </sheetData>
  <mergeCells count="1">
    <mergeCell ref="F3:G3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1.88"/>
    <col customWidth="1" min="3" max="3" width="5.5"/>
    <col customWidth="1" min="4" max="4" width="8.63"/>
    <col customWidth="1" min="5" max="5" width="4.38"/>
    <col customWidth="1" min="6" max="6" width="13.75"/>
    <col customWidth="1" min="7" max="7" width="4.38"/>
    <col customWidth="1" min="8" max="8" width="64.88"/>
    <col customWidth="1" min="9" max="9" width="4.38"/>
    <col customWidth="1" min="10" max="10" width="16.5"/>
    <col customWidth="1" min="11" max="11" width="4.38"/>
    <col customWidth="1" min="12" max="12" width="29.63"/>
    <col customWidth="1" min="13" max="13" width="4.38"/>
    <col customWidth="1" min="14" max="14" width="18.75"/>
    <col customWidth="1" min="15" max="15" width="5.5"/>
  </cols>
  <sheetData>
    <row r="1">
      <c r="A1" s="480" t="s">
        <v>3248</v>
      </c>
    </row>
    <row r="2">
      <c r="A2" s="232"/>
    </row>
    <row r="3">
      <c r="A3" s="480" t="s">
        <v>3249</v>
      </c>
    </row>
    <row r="6">
      <c r="C6" s="139"/>
      <c r="D6" s="481"/>
      <c r="E6" s="481"/>
      <c r="F6" s="481"/>
      <c r="G6" s="481"/>
      <c r="H6" s="481"/>
      <c r="I6" s="481"/>
      <c r="J6" s="481"/>
      <c r="K6" s="481"/>
      <c r="L6" s="481"/>
      <c r="M6" s="481"/>
      <c r="N6" s="481"/>
      <c r="O6" s="139"/>
    </row>
    <row r="7">
      <c r="C7" s="482"/>
      <c r="D7" s="483" t="s">
        <v>3250</v>
      </c>
      <c r="E7" s="484"/>
      <c r="F7" s="485" t="s">
        <v>2</v>
      </c>
      <c r="G7" s="484"/>
      <c r="H7" s="485" t="s">
        <v>3251</v>
      </c>
      <c r="I7" s="484"/>
      <c r="J7" s="485" t="s">
        <v>3</v>
      </c>
      <c r="K7" s="484"/>
      <c r="L7" s="485" t="s">
        <v>4</v>
      </c>
      <c r="M7" s="484"/>
      <c r="N7" s="486" t="s">
        <v>5</v>
      </c>
      <c r="O7" s="487"/>
    </row>
    <row r="8">
      <c r="C8" s="139"/>
      <c r="D8" s="488"/>
      <c r="E8" s="488"/>
      <c r="F8" s="488"/>
      <c r="G8" s="488"/>
      <c r="H8" s="488"/>
      <c r="I8" s="488"/>
      <c r="J8" s="488"/>
      <c r="K8" s="488"/>
      <c r="L8" s="488"/>
      <c r="M8" s="488"/>
      <c r="N8" s="488"/>
      <c r="O8" s="139"/>
    </row>
    <row r="9">
      <c r="C9" s="482"/>
      <c r="D9" s="489">
        <v>1.1</v>
      </c>
      <c r="E9" s="490"/>
      <c r="F9" s="491" t="s">
        <v>1311</v>
      </c>
      <c r="G9" s="492"/>
      <c r="H9" s="493" t="s">
        <v>3252</v>
      </c>
      <c r="I9" s="490"/>
      <c r="J9" s="494">
        <v>97.0</v>
      </c>
      <c r="K9" s="490"/>
      <c r="L9" s="494" t="s">
        <v>2875</v>
      </c>
      <c r="M9" s="490"/>
      <c r="N9" s="495" t="str">
        <f>CHAR(97)</f>
        <v>a</v>
      </c>
      <c r="O9" s="487"/>
    </row>
    <row r="10">
      <c r="C10" s="482"/>
      <c r="D10" s="496">
        <v>1.2</v>
      </c>
      <c r="E10" s="497"/>
      <c r="F10" s="207"/>
      <c r="G10" s="498"/>
      <c r="H10" s="207"/>
      <c r="I10" s="497"/>
      <c r="J10" s="499">
        <v>121.0</v>
      </c>
      <c r="K10" s="497"/>
      <c r="L10" s="499" t="s">
        <v>3253</v>
      </c>
      <c r="M10" s="497"/>
      <c r="N10" s="500" t="str">
        <f>CHAR(121)</f>
        <v>y</v>
      </c>
      <c r="O10" s="487"/>
    </row>
    <row r="11">
      <c r="C11" s="482"/>
      <c r="D11" s="496">
        <v>1.3</v>
      </c>
      <c r="E11" s="497"/>
      <c r="F11" s="207"/>
      <c r="G11" s="498"/>
      <c r="H11" s="207"/>
      <c r="I11" s="497"/>
      <c r="J11" s="499">
        <v>117.0</v>
      </c>
      <c r="K11" s="497"/>
      <c r="L11" s="499" t="s">
        <v>2873</v>
      </c>
      <c r="M11" s="497"/>
      <c r="N11" s="500" t="str">
        <f>CHAR(117)</f>
        <v>u</v>
      </c>
      <c r="O11" s="487"/>
    </row>
    <row r="12">
      <c r="C12" s="482"/>
      <c r="D12" s="496">
        <v>1.4</v>
      </c>
      <c r="E12" s="497"/>
      <c r="F12" s="207"/>
      <c r="G12" s="498"/>
      <c r="H12" s="207"/>
      <c r="I12" s="497"/>
      <c r="J12" s="499">
        <v>115.0</v>
      </c>
      <c r="K12" s="497"/>
      <c r="L12" s="499" t="s">
        <v>3254</v>
      </c>
      <c r="M12" s="497"/>
      <c r="N12" s="500" t="str">
        <f>CHAR(115)</f>
        <v>s</v>
      </c>
      <c r="O12" s="487"/>
    </row>
    <row r="13">
      <c r="C13" s="482"/>
      <c r="D13" s="501">
        <v>1.5</v>
      </c>
      <c r="E13" s="502"/>
      <c r="F13" s="318"/>
      <c r="G13" s="503"/>
      <c r="H13" s="318"/>
      <c r="I13" s="502"/>
      <c r="J13" s="504">
        <v>104.0</v>
      </c>
      <c r="K13" s="502"/>
      <c r="L13" s="504" t="s">
        <v>3255</v>
      </c>
      <c r="M13" s="502"/>
      <c r="N13" s="505" t="str">
        <f>CHAR(104)</f>
        <v>h</v>
      </c>
      <c r="O13" s="487"/>
    </row>
    <row r="14">
      <c r="C14" s="482"/>
      <c r="D14" s="506"/>
      <c r="E14" s="232"/>
      <c r="F14" s="507"/>
      <c r="G14" s="508"/>
      <c r="H14" s="508"/>
      <c r="I14" s="232"/>
      <c r="J14" s="232"/>
      <c r="K14" s="232"/>
      <c r="L14" s="232"/>
      <c r="M14" s="232"/>
      <c r="N14" s="509"/>
      <c r="O14" s="487"/>
    </row>
    <row r="15">
      <c r="C15" s="482"/>
      <c r="D15" s="489">
        <v>2.1</v>
      </c>
      <c r="E15" s="490"/>
      <c r="F15" s="491" t="s">
        <v>1549</v>
      </c>
      <c r="G15" s="492"/>
      <c r="H15" s="510" t="s">
        <v>3256</v>
      </c>
      <c r="I15" s="490"/>
      <c r="J15" s="494" t="s">
        <v>3257</v>
      </c>
      <c r="K15" s="490"/>
      <c r="L15" s="494" t="s">
        <v>3258</v>
      </c>
      <c r="M15" s="490"/>
      <c r="N15" s="495" t="str">
        <f>CONCAT(J15,J19)</f>
        <v> XYZ</v>
      </c>
      <c r="O15" s="487"/>
    </row>
    <row r="16">
      <c r="C16" s="482"/>
      <c r="D16" s="496">
        <v>2.2</v>
      </c>
      <c r="E16" s="497"/>
      <c r="F16" s="207"/>
      <c r="G16" s="498"/>
      <c r="H16" s="511" t="s">
        <v>3259</v>
      </c>
      <c r="I16" s="497"/>
      <c r="J16" s="499" t="s">
        <v>238</v>
      </c>
      <c r="K16" s="497"/>
      <c r="L16" s="499" t="s">
        <v>3260</v>
      </c>
      <c r="M16" s="497"/>
      <c r="N16" s="500" t="str">
        <f>IFERROR(__xludf.DUMMYFUNCTION("JOIN(""-"",J16,J17,J18)"),"ARC-Nagpur-DA30")</f>
        <v>ARC-Nagpur-DA30</v>
      </c>
      <c r="O16" s="487"/>
    </row>
    <row r="17">
      <c r="C17" s="482"/>
      <c r="D17" s="496">
        <v>2.3</v>
      </c>
      <c r="E17" s="497"/>
      <c r="F17" s="207"/>
      <c r="G17" s="498"/>
      <c r="H17" s="207"/>
      <c r="I17" s="497"/>
      <c r="J17" s="499" t="s">
        <v>566</v>
      </c>
      <c r="K17" s="497"/>
      <c r="L17" s="499" t="s">
        <v>3261</v>
      </c>
      <c r="M17" s="497"/>
      <c r="N17" s="500" t="str">
        <f>IFERROR(__xludf.DUMMYFUNCTION("JOIN(""_"",J15,J19,J18)")," _XYZ_DA30")</f>
        <v> _XYZ_DA30</v>
      </c>
      <c r="O17" s="487"/>
    </row>
    <row r="18">
      <c r="C18" s="482"/>
      <c r="D18" s="496">
        <v>2.4</v>
      </c>
      <c r="E18" s="497"/>
      <c r="F18" s="207"/>
      <c r="G18" s="498"/>
      <c r="H18" s="207"/>
      <c r="I18" s="497"/>
      <c r="J18" s="499" t="s">
        <v>3262</v>
      </c>
      <c r="K18" s="497"/>
      <c r="L18" s="499" t="s">
        <v>3263</v>
      </c>
      <c r="M18" s="497"/>
      <c r="N18" s="500" t="str">
        <f>IFERROR(__xludf.DUMMYFUNCTION("JOIN("""",J15,J19,J17)")," XYZNagpur")</f>
        <v> XYZNagpur</v>
      </c>
      <c r="O18" s="487"/>
    </row>
    <row r="19">
      <c r="C19" s="482"/>
      <c r="D19" s="501">
        <v>2.5</v>
      </c>
      <c r="E19" s="502"/>
      <c r="F19" s="318"/>
      <c r="G19" s="503"/>
      <c r="H19" s="318"/>
      <c r="I19" s="502"/>
      <c r="J19" s="504" t="s">
        <v>2884</v>
      </c>
      <c r="K19" s="502"/>
      <c r="L19" s="504" t="s">
        <v>3264</v>
      </c>
      <c r="M19" s="502"/>
      <c r="N19" s="505" t="str">
        <f>IFERROR(__xludf.DUMMYFUNCTION("JOIN("" "",J15,J16,J18)"),"  ARC DA30")</f>
        <v>  ARC DA30</v>
      </c>
      <c r="O19" s="487"/>
    </row>
    <row r="20">
      <c r="C20" s="482"/>
      <c r="D20" s="506"/>
      <c r="E20" s="232"/>
      <c r="F20" s="507"/>
      <c r="G20" s="508"/>
      <c r="H20" s="508"/>
      <c r="I20" s="232"/>
      <c r="J20" s="232"/>
      <c r="K20" s="232"/>
      <c r="L20" s="232"/>
      <c r="M20" s="232"/>
      <c r="N20" s="509"/>
      <c r="O20" s="487"/>
    </row>
    <row r="21">
      <c r="C21" s="482"/>
      <c r="D21" s="489">
        <v>3.1</v>
      </c>
      <c r="E21" s="490"/>
      <c r="F21" s="512" t="s">
        <v>2231</v>
      </c>
      <c r="G21" s="492"/>
      <c r="H21" s="493" t="s">
        <v>3265</v>
      </c>
      <c r="I21" s="490"/>
      <c r="J21" s="494" t="s">
        <v>3257</v>
      </c>
      <c r="K21" s="490"/>
      <c r="L21" s="494" t="s">
        <v>3266</v>
      </c>
      <c r="M21" s="490"/>
      <c r="N21" s="495" t="str">
        <f>TEXTJOIN("-",,J21,J25,J24)</f>
        <v> -XYZ-DA30</v>
      </c>
      <c r="O21" s="487"/>
    </row>
    <row r="22">
      <c r="C22" s="482"/>
      <c r="D22" s="496">
        <v>3.2</v>
      </c>
      <c r="E22" s="497"/>
      <c r="F22" s="207"/>
      <c r="G22" s="498"/>
      <c r="H22" s="207"/>
      <c r="I22" s="497"/>
      <c r="J22" s="499" t="s">
        <v>238</v>
      </c>
      <c r="K22" s="497"/>
      <c r="L22" s="499" t="s">
        <v>3267</v>
      </c>
      <c r="M22" s="497"/>
      <c r="N22" s="500" t="str">
        <f>TEXTJOIN("_",0,J22,J23,J24)</f>
        <v>ARC_Nagpur_DA30</v>
      </c>
      <c r="O22" s="487"/>
    </row>
    <row r="23">
      <c r="C23" s="482"/>
      <c r="D23" s="496">
        <v>3.3</v>
      </c>
      <c r="E23" s="497"/>
      <c r="F23" s="207"/>
      <c r="G23" s="498"/>
      <c r="H23" s="207"/>
      <c r="I23" s="497"/>
      <c r="J23" s="499" t="s">
        <v>566</v>
      </c>
      <c r="K23" s="497"/>
      <c r="L23" s="499" t="s">
        <v>3268</v>
      </c>
      <c r="M23" s="497"/>
      <c r="N23" s="500" t="str">
        <f>TEXTJOIN(" ",1,J22,J21,J23)</f>
        <v>ARC   Nagpur</v>
      </c>
      <c r="O23" s="487"/>
    </row>
    <row r="24">
      <c r="C24" s="482"/>
      <c r="D24" s="496">
        <v>3.4</v>
      </c>
      <c r="E24" s="497"/>
      <c r="F24" s="207"/>
      <c r="G24" s="498"/>
      <c r="H24" s="207"/>
      <c r="I24" s="497"/>
      <c r="J24" s="499" t="s">
        <v>3262</v>
      </c>
      <c r="K24" s="497"/>
      <c r="L24" s="499" t="s">
        <v>3269</v>
      </c>
      <c r="M24" s="497"/>
      <c r="N24" s="500" t="str">
        <f>TEXTJOIN("-",0,J22,J23,J21,J24)</f>
        <v>ARC-Nagpur- -DA30</v>
      </c>
      <c r="O24" s="487"/>
    </row>
    <row r="25">
      <c r="C25" s="482"/>
      <c r="D25" s="501">
        <v>3.5</v>
      </c>
      <c r="E25" s="502"/>
      <c r="F25" s="318"/>
      <c r="G25" s="503"/>
      <c r="H25" s="318"/>
      <c r="I25" s="502"/>
      <c r="J25" s="504" t="s">
        <v>2884</v>
      </c>
      <c r="K25" s="502"/>
      <c r="L25" s="504" t="s">
        <v>3270</v>
      </c>
      <c r="M25" s="502"/>
      <c r="N25" s="505" t="str">
        <f>TEXTJOIN("_",0,J22,J23,J21,J24)</f>
        <v>ARC_Nagpur_ _DA30</v>
      </c>
      <c r="O25" s="487"/>
    </row>
    <row r="26">
      <c r="C26" s="482"/>
      <c r="D26" s="506"/>
      <c r="E26" s="232"/>
      <c r="F26" s="507"/>
      <c r="G26" s="508"/>
      <c r="H26" s="508"/>
      <c r="I26" s="232"/>
      <c r="J26" s="232"/>
      <c r="K26" s="232"/>
      <c r="L26" s="232"/>
      <c r="M26" s="232"/>
      <c r="N26" s="509"/>
      <c r="O26" s="487"/>
    </row>
    <row r="27">
      <c r="C27" s="482"/>
      <c r="D27" s="489">
        <v>4.1</v>
      </c>
      <c r="E27" s="490"/>
      <c r="F27" s="513" t="s">
        <v>6</v>
      </c>
      <c r="G27" s="492"/>
      <c r="H27" s="493" t="s">
        <v>3271</v>
      </c>
      <c r="I27" s="490"/>
      <c r="J27" s="490" t="str">
        <f>"Ayush" &amp; CHAR(10) &amp; "Mendhe"</f>
        <v>Ayush
Mendhe</v>
      </c>
      <c r="K27" s="490"/>
      <c r="L27" s="494" t="s">
        <v>3272</v>
      </c>
      <c r="M27" s="490"/>
      <c r="N27" s="495" t="str">
        <f t="shared" ref="N27:N31" si="1">CLEAN(J27)</f>
        <v>AyushMendhe</v>
      </c>
      <c r="O27" s="487"/>
    </row>
    <row r="28">
      <c r="C28" s="482"/>
      <c r="D28" s="496">
        <v>4.2</v>
      </c>
      <c r="E28" s="497"/>
      <c r="F28" s="207"/>
      <c r="G28" s="498"/>
      <c r="H28" s="207"/>
      <c r="I28" s="497"/>
      <c r="J28" s="497" t="str">
        <f>CHAR(10)&amp;"Ayush"&amp;CHAR(10)</f>
        <v>
Ayush
</v>
      </c>
      <c r="K28" s="497"/>
      <c r="L28" s="499" t="s">
        <v>3273</v>
      </c>
      <c r="M28" s="497"/>
      <c r="N28" s="500" t="str">
        <f t="shared" si="1"/>
        <v>Ayush</v>
      </c>
      <c r="O28" s="487"/>
    </row>
    <row r="29">
      <c r="C29" s="482"/>
      <c r="D29" s="496">
        <v>4.3</v>
      </c>
      <c r="E29" s="497"/>
      <c r="F29" s="207"/>
      <c r="G29" s="498"/>
      <c r="H29" s="207"/>
      <c r="I29" s="497"/>
      <c r="J29" s="497" t="str">
        <f>CHAR(10)&amp;"ARC"&amp;"Nagpur"&amp;CHAR(10)&amp;"DA30"</f>
        <v>
ARCNagpur
DA30</v>
      </c>
      <c r="K29" s="497"/>
      <c r="L29" s="499" t="s">
        <v>3274</v>
      </c>
      <c r="M29" s="497"/>
      <c r="N29" s="500" t="str">
        <f t="shared" si="1"/>
        <v>ARCNagpurDA30</v>
      </c>
      <c r="O29" s="487"/>
    </row>
    <row r="30">
      <c r="C30" s="482"/>
      <c r="D30" s="496">
        <v>4.4</v>
      </c>
      <c r="E30" s="497"/>
      <c r="F30" s="207"/>
      <c r="G30" s="498"/>
      <c r="H30" s="207"/>
      <c r="I30" s="497"/>
      <c r="J30" s="497" t="str">
        <f>CHAR(10)&amp;"ARC"&amp;CHAR(10)&amp;"Nagpur"&amp;"DA30"</f>
        <v>
ARC
NagpurDA30</v>
      </c>
      <c r="K30" s="497"/>
      <c r="L30" s="499" t="s">
        <v>3275</v>
      </c>
      <c r="M30" s="497"/>
      <c r="N30" s="500" t="str">
        <f t="shared" si="1"/>
        <v>ARCNagpurDA30</v>
      </c>
      <c r="O30" s="487"/>
    </row>
    <row r="31">
      <c r="C31" s="482"/>
      <c r="D31" s="501">
        <v>4.5</v>
      </c>
      <c r="E31" s="502"/>
      <c r="F31" s="318"/>
      <c r="G31" s="503"/>
      <c r="H31" s="318"/>
      <c r="I31" s="502"/>
      <c r="J31" s="502" t="str">
        <f>"ARC"&amp;CHAR(10)&amp;"Nagpur"&amp;"DA30"</f>
        <v>ARC
NagpurDA30</v>
      </c>
      <c r="K31" s="502"/>
      <c r="L31" s="504" t="s">
        <v>3276</v>
      </c>
      <c r="M31" s="502"/>
      <c r="N31" s="505" t="str">
        <f t="shared" si="1"/>
        <v>ARCNagpurDA30</v>
      </c>
      <c r="O31" s="487"/>
    </row>
    <row r="32">
      <c r="C32" s="482"/>
      <c r="D32" s="506"/>
      <c r="E32" s="232"/>
      <c r="F32" s="507"/>
      <c r="G32" s="508"/>
      <c r="H32" s="508"/>
      <c r="I32" s="232"/>
      <c r="J32" s="232"/>
      <c r="K32" s="232"/>
      <c r="L32" s="232"/>
      <c r="M32" s="232"/>
      <c r="N32" s="509"/>
      <c r="O32" s="487"/>
    </row>
    <row r="33">
      <c r="C33" s="482"/>
      <c r="D33" s="489">
        <v>5.1</v>
      </c>
      <c r="E33" s="490"/>
      <c r="F33" s="513" t="s">
        <v>1994</v>
      </c>
      <c r="G33" s="492"/>
      <c r="H33" s="493" t="s">
        <v>3277</v>
      </c>
      <c r="I33" s="490"/>
      <c r="J33" s="494" t="s">
        <v>3278</v>
      </c>
      <c r="K33" s="490"/>
      <c r="L33" s="494" t="s">
        <v>3279</v>
      </c>
      <c r="M33" s="490"/>
      <c r="N33" s="495" t="str">
        <f t="shared" ref="N33:N37" si="2">TRIM(J33)</f>
        <v>Ayush Mendhe</v>
      </c>
      <c r="O33" s="487"/>
    </row>
    <row r="34">
      <c r="C34" s="482"/>
      <c r="D34" s="496">
        <v>5.2</v>
      </c>
      <c r="E34" s="497"/>
      <c r="F34" s="207"/>
      <c r="G34" s="498"/>
      <c r="H34" s="207"/>
      <c r="I34" s="497"/>
      <c r="J34" s="499" t="s">
        <v>3280</v>
      </c>
      <c r="K34" s="497"/>
      <c r="L34" s="499" t="s">
        <v>3281</v>
      </c>
      <c r="M34" s="497"/>
      <c r="N34" s="500" t="str">
        <f t="shared" si="2"/>
        <v>Data Analytics</v>
      </c>
      <c r="O34" s="487"/>
    </row>
    <row r="35">
      <c r="C35" s="482"/>
      <c r="D35" s="496">
        <v>5.3</v>
      </c>
      <c r="E35" s="497"/>
      <c r="F35" s="207"/>
      <c r="G35" s="498"/>
      <c r="H35" s="207"/>
      <c r="I35" s="497"/>
      <c r="J35" s="499" t="s">
        <v>3282</v>
      </c>
      <c r="K35" s="497"/>
      <c r="L35" s="499" t="s">
        <v>3283</v>
      </c>
      <c r="M35" s="497"/>
      <c r="N35" s="500" t="str">
        <f t="shared" si="2"/>
        <v>ARC Nagpur</v>
      </c>
      <c r="O35" s="487"/>
    </row>
    <row r="36">
      <c r="C36" s="482"/>
      <c r="D36" s="496">
        <v>5.4</v>
      </c>
      <c r="E36" s="497"/>
      <c r="F36" s="207"/>
      <c r="G36" s="498"/>
      <c r="H36" s="207"/>
      <c r="I36" s="497"/>
      <c r="J36" s="499" t="s">
        <v>3284</v>
      </c>
      <c r="K36" s="497"/>
      <c r="L36" s="499" t="s">
        <v>3285</v>
      </c>
      <c r="M36" s="497"/>
      <c r="N36" s="500" t="str">
        <f t="shared" si="2"/>
        <v>DA 30</v>
      </c>
      <c r="O36" s="487"/>
    </row>
    <row r="37">
      <c r="C37" s="482"/>
      <c r="D37" s="501">
        <v>5.5</v>
      </c>
      <c r="E37" s="502"/>
      <c r="F37" s="318"/>
      <c r="G37" s="503"/>
      <c r="H37" s="318"/>
      <c r="I37" s="502"/>
      <c r="J37" s="504" t="s">
        <v>3286</v>
      </c>
      <c r="K37" s="502"/>
      <c r="L37" s="504" t="s">
        <v>3287</v>
      </c>
      <c r="M37" s="502"/>
      <c r="N37" s="505" t="str">
        <f t="shared" si="2"/>
        <v>Abc Xyz</v>
      </c>
      <c r="O37" s="487"/>
    </row>
    <row r="38">
      <c r="C38" s="482"/>
      <c r="D38" s="506"/>
      <c r="E38" s="232"/>
      <c r="F38" s="507"/>
      <c r="G38" s="508"/>
      <c r="H38" s="508"/>
      <c r="I38" s="232"/>
      <c r="J38" s="232"/>
      <c r="K38" s="232"/>
      <c r="L38" s="232"/>
      <c r="M38" s="232"/>
      <c r="N38" s="509"/>
      <c r="O38" s="487"/>
    </row>
    <row r="39">
      <c r="C39" s="482"/>
      <c r="D39" s="489">
        <v>6.1</v>
      </c>
      <c r="E39" s="490"/>
      <c r="F39" s="513" t="s">
        <v>33</v>
      </c>
      <c r="G39" s="492"/>
      <c r="H39" s="493" t="s">
        <v>3288</v>
      </c>
      <c r="I39" s="490"/>
      <c r="J39" s="494" t="s">
        <v>60</v>
      </c>
      <c r="K39" s="490"/>
      <c r="L39" s="494" t="s">
        <v>3289</v>
      </c>
      <c r="M39" s="490"/>
      <c r="N39" s="495">
        <f>FIND("a",J39,4)</f>
        <v>7</v>
      </c>
      <c r="O39" s="487"/>
    </row>
    <row r="40">
      <c r="C40" s="482"/>
      <c r="D40" s="496">
        <v>6.2</v>
      </c>
      <c r="E40" s="497"/>
      <c r="F40" s="207"/>
      <c r="G40" s="498"/>
      <c r="H40" s="207"/>
      <c r="I40" s="497"/>
      <c r="J40" s="499" t="s">
        <v>60</v>
      </c>
      <c r="K40" s="497"/>
      <c r="L40" s="499" t="s">
        <v>3290</v>
      </c>
      <c r="M40" s="497"/>
      <c r="N40" s="500">
        <f>FIND("a",J40,1)</f>
        <v>2</v>
      </c>
      <c r="O40" s="487"/>
    </row>
    <row r="41">
      <c r="C41" s="482"/>
      <c r="D41" s="496">
        <v>6.3</v>
      </c>
      <c r="E41" s="497"/>
      <c r="F41" s="207"/>
      <c r="G41" s="498"/>
      <c r="H41" s="207"/>
      <c r="I41" s="497"/>
      <c r="J41" s="499" t="s">
        <v>2073</v>
      </c>
      <c r="K41" s="497"/>
      <c r="L41" s="499" t="s">
        <v>3291</v>
      </c>
      <c r="M41" s="497"/>
      <c r="N41" s="500" t="str">
        <f t="shared" ref="N41:N42" si="3">FIND("go",J41,1)</f>
        <v>#VALUE!</v>
      </c>
      <c r="O41" s="487"/>
    </row>
    <row r="42">
      <c r="C42" s="482"/>
      <c r="D42" s="496">
        <v>6.4</v>
      </c>
      <c r="E42" s="497"/>
      <c r="F42" s="207"/>
      <c r="G42" s="498"/>
      <c r="H42" s="207"/>
      <c r="I42" s="497"/>
      <c r="J42" s="499" t="s">
        <v>2956</v>
      </c>
      <c r="K42" s="497"/>
      <c r="L42" s="499" t="s">
        <v>3292</v>
      </c>
      <c r="M42" s="497"/>
      <c r="N42" s="500">
        <f t="shared" si="3"/>
        <v>1</v>
      </c>
      <c r="O42" s="487"/>
    </row>
    <row r="43">
      <c r="C43" s="482"/>
      <c r="D43" s="501">
        <v>6.5</v>
      </c>
      <c r="E43" s="502"/>
      <c r="F43" s="318"/>
      <c r="G43" s="503"/>
      <c r="H43" s="318"/>
      <c r="I43" s="502"/>
      <c r="J43" s="504" t="s">
        <v>3293</v>
      </c>
      <c r="K43" s="502"/>
      <c r="L43" s="504" t="s">
        <v>3294</v>
      </c>
      <c r="M43" s="502"/>
      <c r="N43" s="505">
        <f>FIND("ta",J43,2)</f>
        <v>3</v>
      </c>
      <c r="O43" s="487"/>
    </row>
    <row r="44">
      <c r="C44" s="482"/>
      <c r="D44" s="506"/>
      <c r="E44" s="232"/>
      <c r="F44" s="507"/>
      <c r="G44" s="508"/>
      <c r="H44" s="508"/>
      <c r="I44" s="232"/>
      <c r="J44" s="232"/>
      <c r="K44" s="232"/>
      <c r="L44" s="232"/>
      <c r="M44" s="232"/>
      <c r="N44" s="509"/>
      <c r="O44" s="487"/>
    </row>
    <row r="45">
      <c r="C45" s="482"/>
      <c r="D45" s="489">
        <v>7.1</v>
      </c>
      <c r="E45" s="490"/>
      <c r="F45" s="513" t="s">
        <v>873</v>
      </c>
      <c r="G45" s="492"/>
      <c r="H45" s="493" t="s">
        <v>3295</v>
      </c>
      <c r="I45" s="490"/>
      <c r="J45" s="494" t="s">
        <v>2073</v>
      </c>
      <c r="K45" s="490"/>
      <c r="L45" s="494" t="s">
        <v>3296</v>
      </c>
      <c r="M45" s="490"/>
      <c r="N45" s="495">
        <f t="shared" ref="N45:N46" si="4">SEARCH("go",J45,1)</f>
        <v>1</v>
      </c>
      <c r="O45" s="487"/>
    </row>
    <row r="46">
      <c r="C46" s="482"/>
      <c r="D46" s="496">
        <v>7.2</v>
      </c>
      <c r="E46" s="497"/>
      <c r="F46" s="207"/>
      <c r="G46" s="498"/>
      <c r="H46" s="207"/>
      <c r="I46" s="497"/>
      <c r="J46" s="499" t="s">
        <v>2956</v>
      </c>
      <c r="K46" s="497"/>
      <c r="L46" s="499" t="s">
        <v>3297</v>
      </c>
      <c r="M46" s="497"/>
      <c r="N46" s="500">
        <f t="shared" si="4"/>
        <v>1</v>
      </c>
      <c r="O46" s="487"/>
    </row>
    <row r="47">
      <c r="C47" s="482"/>
      <c r="D47" s="496">
        <v>7.3</v>
      </c>
      <c r="E47" s="497"/>
      <c r="F47" s="207"/>
      <c r="G47" s="498"/>
      <c r="H47" s="207"/>
      <c r="I47" s="497"/>
      <c r="J47" s="499" t="s">
        <v>3298</v>
      </c>
      <c r="K47" s="497"/>
      <c r="L47" s="499" t="s">
        <v>3299</v>
      </c>
      <c r="M47" s="497"/>
      <c r="N47" s="500" t="str">
        <f>SEARCH("go",J47,2)</f>
        <v>#VALUE!</v>
      </c>
      <c r="O47" s="487"/>
    </row>
    <row r="48">
      <c r="C48" s="482"/>
      <c r="D48" s="496">
        <v>7.4</v>
      </c>
      <c r="E48" s="497"/>
      <c r="F48" s="207"/>
      <c r="G48" s="498"/>
      <c r="H48" s="207"/>
      <c r="I48" s="497"/>
      <c r="J48" s="499" t="s">
        <v>3300</v>
      </c>
      <c r="K48" s="497"/>
      <c r="L48" s="499" t="s">
        <v>3301</v>
      </c>
      <c r="M48" s="497"/>
      <c r="N48" s="500">
        <f>SEARCH("ro",J48,3)</f>
        <v>4</v>
      </c>
      <c r="O48" s="487"/>
    </row>
    <row r="49">
      <c r="C49" s="482"/>
      <c r="D49" s="501">
        <v>7.5</v>
      </c>
      <c r="E49" s="502"/>
      <c r="F49" s="318"/>
      <c r="G49" s="503"/>
      <c r="H49" s="318"/>
      <c r="I49" s="502"/>
      <c r="J49" s="504" t="s">
        <v>3300</v>
      </c>
      <c r="K49" s="502"/>
      <c r="L49" s="504" t="s">
        <v>3302</v>
      </c>
      <c r="M49" s="502"/>
      <c r="N49" s="505">
        <f>SEARCH("ro",J49,5)</f>
        <v>7</v>
      </c>
      <c r="O49" s="487"/>
    </row>
    <row r="50">
      <c r="C50" s="482"/>
      <c r="D50" s="506"/>
      <c r="E50" s="232"/>
      <c r="F50" s="507"/>
      <c r="G50" s="508"/>
      <c r="H50" s="508"/>
      <c r="I50" s="232"/>
      <c r="J50" s="232"/>
      <c r="K50" s="232"/>
      <c r="L50" s="232"/>
      <c r="M50" s="232"/>
      <c r="N50" s="509"/>
      <c r="O50" s="487"/>
    </row>
    <row r="51">
      <c r="C51" s="482"/>
      <c r="D51" s="489">
        <v>8.1</v>
      </c>
      <c r="E51" s="490"/>
      <c r="F51" s="513" t="s">
        <v>112</v>
      </c>
      <c r="G51" s="492"/>
      <c r="H51" s="493" t="s">
        <v>3303</v>
      </c>
      <c r="I51" s="490"/>
      <c r="J51" s="494" t="s">
        <v>3304</v>
      </c>
      <c r="K51" s="490"/>
      <c r="L51" s="494" t="s">
        <v>3305</v>
      </c>
      <c r="M51" s="490"/>
      <c r="N51" s="495" t="str">
        <f>REPLACE(J51,2,4,"a")</f>
        <v>Aa-ARC1</v>
      </c>
      <c r="O51" s="487"/>
    </row>
    <row r="52">
      <c r="C52" s="482"/>
      <c r="D52" s="496">
        <v>8.2</v>
      </c>
      <c r="E52" s="497"/>
      <c r="F52" s="207"/>
      <c r="G52" s="498"/>
      <c r="H52" s="207"/>
      <c r="I52" s="497"/>
      <c r="J52" s="499" t="s">
        <v>712</v>
      </c>
      <c r="K52" s="497"/>
      <c r="L52" s="499" t="s">
        <v>3306</v>
      </c>
      <c r="M52" s="497"/>
      <c r="N52" s="500" t="str">
        <f>REPLACE(J52,2,4,"ta")</f>
        <v>Btaa</v>
      </c>
      <c r="O52" s="487"/>
    </row>
    <row r="53">
      <c r="C53" s="482"/>
      <c r="D53" s="496">
        <v>8.3</v>
      </c>
      <c r="E53" s="497"/>
      <c r="F53" s="207"/>
      <c r="G53" s="498"/>
      <c r="H53" s="207"/>
      <c r="I53" s="497"/>
      <c r="J53" s="499" t="s">
        <v>712</v>
      </c>
      <c r="K53" s="497"/>
      <c r="L53" s="499" t="s">
        <v>3307</v>
      </c>
      <c r="M53" s="497"/>
      <c r="N53" s="500" t="str">
        <f>REPLACE(J53,3,4,"ta")</f>
        <v>Bata</v>
      </c>
      <c r="O53" s="487"/>
    </row>
    <row r="54">
      <c r="C54" s="482"/>
      <c r="D54" s="496">
        <v>8.4</v>
      </c>
      <c r="E54" s="497"/>
      <c r="F54" s="207"/>
      <c r="G54" s="498"/>
      <c r="H54" s="207"/>
      <c r="I54" s="497"/>
      <c r="J54" s="499" t="s">
        <v>712</v>
      </c>
      <c r="K54" s="497"/>
      <c r="L54" s="499" t="s">
        <v>3308</v>
      </c>
      <c r="M54" s="497"/>
      <c r="N54" s="500" t="str">
        <f>REPLACE(J54,3,2,"ta")</f>
        <v>Batana</v>
      </c>
      <c r="O54" s="487"/>
    </row>
    <row r="55">
      <c r="C55" s="482"/>
      <c r="D55" s="501">
        <v>8.5</v>
      </c>
      <c r="E55" s="502"/>
      <c r="F55" s="318"/>
      <c r="G55" s="503"/>
      <c r="H55" s="318"/>
      <c r="I55" s="502"/>
      <c r="J55" s="502"/>
      <c r="K55" s="502"/>
      <c r="L55" s="502"/>
      <c r="M55" s="502"/>
      <c r="N55" s="505"/>
      <c r="O55" s="487"/>
    </row>
    <row r="56">
      <c r="C56" s="482"/>
      <c r="D56" s="506"/>
      <c r="E56" s="232"/>
      <c r="F56" s="507"/>
      <c r="G56" s="508"/>
      <c r="H56" s="508"/>
      <c r="I56" s="232"/>
      <c r="J56" s="232"/>
      <c r="K56" s="232"/>
      <c r="L56" s="232"/>
      <c r="M56" s="232"/>
      <c r="N56" s="509"/>
      <c r="O56" s="487"/>
    </row>
    <row r="57">
      <c r="C57" s="482"/>
      <c r="D57" s="489">
        <v>9.1</v>
      </c>
      <c r="E57" s="490"/>
      <c r="F57" s="513" t="s">
        <v>2186</v>
      </c>
      <c r="G57" s="492"/>
      <c r="H57" s="493" t="s">
        <v>3309</v>
      </c>
      <c r="I57" s="490"/>
      <c r="J57" s="494" t="s">
        <v>3304</v>
      </c>
      <c r="K57" s="490"/>
      <c r="L57" s="494" t="s">
        <v>3310</v>
      </c>
      <c r="M57" s="490"/>
      <c r="N57" s="495" t="str">
        <f>SUBSTITUTE(J57,"ARC","Arc")</f>
        <v>Ayush-Arc1</v>
      </c>
      <c r="O57" s="487"/>
    </row>
    <row r="58">
      <c r="C58" s="482"/>
      <c r="D58" s="496">
        <v>9.2</v>
      </c>
      <c r="E58" s="497"/>
      <c r="F58" s="207"/>
      <c r="G58" s="498"/>
      <c r="H58" s="207"/>
      <c r="I58" s="497"/>
      <c r="J58" s="499" t="s">
        <v>712</v>
      </c>
      <c r="K58" s="497"/>
      <c r="L58" s="499" t="s">
        <v>3311</v>
      </c>
      <c r="M58" s="497"/>
      <c r="N58" s="500" t="str">
        <f>SUBSTITUTE(J58,"na","ta")</f>
        <v>Batata</v>
      </c>
      <c r="O58" s="487"/>
    </row>
    <row r="59">
      <c r="C59" s="482"/>
      <c r="D59" s="496">
        <v>9.3</v>
      </c>
      <c r="E59" s="497"/>
      <c r="F59" s="207"/>
      <c r="G59" s="498"/>
      <c r="H59" s="207"/>
      <c r="I59" s="497"/>
      <c r="J59" s="499" t="s">
        <v>712</v>
      </c>
      <c r="K59" s="497"/>
      <c r="L59" s="499" t="s">
        <v>3312</v>
      </c>
      <c r="M59" s="497"/>
      <c r="N59" s="500" t="str">
        <f>SUBSTITUTE(J59,"na","ta",1)</f>
        <v>Batana</v>
      </c>
      <c r="O59" s="487"/>
    </row>
    <row r="60">
      <c r="C60" s="482"/>
      <c r="D60" s="496">
        <v>9.4</v>
      </c>
      <c r="E60" s="497"/>
      <c r="F60" s="207"/>
      <c r="G60" s="498"/>
      <c r="H60" s="207"/>
      <c r="I60" s="497"/>
      <c r="J60" s="499" t="s">
        <v>712</v>
      </c>
      <c r="K60" s="497"/>
      <c r="L60" s="499" t="s">
        <v>3313</v>
      </c>
      <c r="M60" s="497"/>
      <c r="N60" s="500" t="str">
        <f>SUBSTITUTE(J60,"na","ta",2)</f>
        <v>Banata</v>
      </c>
      <c r="O60" s="487"/>
    </row>
    <row r="61">
      <c r="C61" s="482"/>
      <c r="D61" s="501">
        <v>9.5</v>
      </c>
      <c r="E61" s="502"/>
      <c r="F61" s="318"/>
      <c r="G61" s="503"/>
      <c r="H61" s="318"/>
      <c r="I61" s="502"/>
      <c r="J61" s="502"/>
      <c r="K61" s="502"/>
      <c r="L61" s="502"/>
      <c r="M61" s="502"/>
      <c r="N61" s="505"/>
      <c r="O61" s="487"/>
    </row>
    <row r="62">
      <c r="C62" s="482"/>
      <c r="D62" s="506"/>
      <c r="E62" s="232"/>
      <c r="F62" s="507"/>
      <c r="G62" s="508"/>
      <c r="H62" s="508"/>
      <c r="I62" s="232"/>
      <c r="J62" s="232"/>
      <c r="K62" s="232"/>
      <c r="L62" s="232"/>
      <c r="M62" s="232"/>
      <c r="N62" s="509"/>
      <c r="O62" s="487"/>
    </row>
    <row r="63">
      <c r="C63" s="482"/>
      <c r="D63" s="489">
        <v>10.1</v>
      </c>
      <c r="E63" s="490"/>
      <c r="F63" s="513" t="s">
        <v>44</v>
      </c>
      <c r="G63" s="492"/>
      <c r="H63" s="493" t="s">
        <v>3314</v>
      </c>
      <c r="I63" s="490"/>
      <c r="J63" s="494" t="s">
        <v>1693</v>
      </c>
      <c r="K63" s="490"/>
      <c r="L63" s="494" t="s">
        <v>3315</v>
      </c>
      <c r="M63" s="490"/>
      <c r="N63" s="495" t="b">
        <f>EXACT(J63,J65)</f>
        <v>1</v>
      </c>
      <c r="O63" s="487"/>
    </row>
    <row r="64">
      <c r="C64" s="482"/>
      <c r="D64" s="496">
        <v>10.2</v>
      </c>
      <c r="E64" s="497"/>
      <c r="F64" s="207"/>
      <c r="G64" s="498"/>
      <c r="H64" s="207"/>
      <c r="I64" s="497"/>
      <c r="J64" s="499" t="s">
        <v>3316</v>
      </c>
      <c r="K64" s="497"/>
      <c r="L64" s="499" t="s">
        <v>3317</v>
      </c>
      <c r="M64" s="497"/>
      <c r="N64" s="500" t="b">
        <f>EXACT(J64,J67)</f>
        <v>0</v>
      </c>
      <c r="O64" s="487"/>
    </row>
    <row r="65">
      <c r="C65" s="482"/>
      <c r="D65" s="496">
        <v>10.3</v>
      </c>
      <c r="E65" s="497"/>
      <c r="F65" s="207"/>
      <c r="G65" s="498"/>
      <c r="H65" s="207"/>
      <c r="I65" s="497"/>
      <c r="J65" s="499" t="s">
        <v>1693</v>
      </c>
      <c r="K65" s="497"/>
      <c r="L65" s="499" t="s">
        <v>3318</v>
      </c>
      <c r="M65" s="497"/>
      <c r="N65" s="500" t="b">
        <f>EXACT(J65,J66)</f>
        <v>0</v>
      </c>
      <c r="O65" s="487"/>
    </row>
    <row r="66">
      <c r="C66" s="482"/>
      <c r="D66" s="496">
        <v>10.4</v>
      </c>
      <c r="E66" s="497"/>
      <c r="F66" s="207"/>
      <c r="G66" s="498"/>
      <c r="H66" s="207"/>
      <c r="I66" s="497"/>
      <c r="J66" s="499" t="s">
        <v>3319</v>
      </c>
      <c r="K66" s="497"/>
      <c r="L66" s="499" t="s">
        <v>3320</v>
      </c>
      <c r="M66" s="497"/>
      <c r="N66" s="500" t="b">
        <f>EXACT(J66,J63)</f>
        <v>0</v>
      </c>
      <c r="O66" s="487"/>
    </row>
    <row r="67">
      <c r="C67" s="482"/>
      <c r="D67" s="501">
        <v>10.5</v>
      </c>
      <c r="E67" s="502"/>
      <c r="F67" s="318"/>
      <c r="G67" s="503"/>
      <c r="H67" s="318"/>
      <c r="I67" s="502"/>
      <c r="J67" s="504" t="s">
        <v>3321</v>
      </c>
      <c r="K67" s="502"/>
      <c r="L67" s="504" t="s">
        <v>3317</v>
      </c>
      <c r="M67" s="502"/>
      <c r="N67" s="505" t="b">
        <f>EXACT(J64,J67)</f>
        <v>0</v>
      </c>
      <c r="O67" s="487"/>
    </row>
    <row r="68">
      <c r="C68" s="482"/>
      <c r="D68" s="506"/>
      <c r="E68" s="232"/>
      <c r="F68" s="507"/>
      <c r="G68" s="508"/>
      <c r="H68" s="508"/>
      <c r="I68" s="232"/>
      <c r="J68" s="232"/>
      <c r="K68" s="232"/>
      <c r="L68" s="232"/>
      <c r="M68" s="232"/>
      <c r="N68" s="509"/>
      <c r="O68" s="487"/>
    </row>
    <row r="69">
      <c r="C69" s="482"/>
      <c r="D69" s="489">
        <v>11.1</v>
      </c>
      <c r="E69" s="490"/>
      <c r="F69" s="513" t="s">
        <v>57</v>
      </c>
      <c r="G69" s="492"/>
      <c r="H69" s="493" t="s">
        <v>3322</v>
      </c>
      <c r="I69" s="490"/>
      <c r="J69" s="494" t="s">
        <v>2073</v>
      </c>
      <c r="K69" s="490"/>
      <c r="L69" s="494" t="s">
        <v>3323</v>
      </c>
      <c r="M69" s="490"/>
      <c r="N69" s="495" t="str">
        <f>LEFT(J69,2)</f>
        <v>Go</v>
      </c>
      <c r="O69" s="487"/>
    </row>
    <row r="70">
      <c r="C70" s="482"/>
      <c r="D70" s="496">
        <v>11.2</v>
      </c>
      <c r="E70" s="497"/>
      <c r="F70" s="207"/>
      <c r="G70" s="498"/>
      <c r="H70" s="207"/>
      <c r="I70" s="497"/>
      <c r="J70" s="499" t="s">
        <v>3300</v>
      </c>
      <c r="K70" s="497"/>
      <c r="L70" s="499" t="s">
        <v>3324</v>
      </c>
      <c r="M70" s="497"/>
      <c r="N70" s="500" t="str">
        <f>LEFT(J70,5)</f>
        <v>Micro</v>
      </c>
      <c r="O70" s="487"/>
    </row>
    <row r="71">
      <c r="C71" s="482"/>
      <c r="D71" s="496">
        <v>11.3</v>
      </c>
      <c r="E71" s="497"/>
      <c r="F71" s="207"/>
      <c r="G71" s="498"/>
      <c r="H71" s="207"/>
      <c r="I71" s="497"/>
      <c r="J71" s="499" t="s">
        <v>3325</v>
      </c>
      <c r="K71" s="497"/>
      <c r="L71" s="499" t="s">
        <v>3326</v>
      </c>
      <c r="M71" s="497"/>
      <c r="N71" s="500" t="str">
        <f>LEFT(J71)</f>
        <v>A</v>
      </c>
      <c r="O71" s="487"/>
    </row>
    <row r="72">
      <c r="C72" s="482"/>
      <c r="D72" s="496">
        <v>11.4</v>
      </c>
      <c r="E72" s="497"/>
      <c r="F72" s="207"/>
      <c r="G72" s="498"/>
      <c r="H72" s="207"/>
      <c r="I72" s="497"/>
      <c r="J72" s="499" t="s">
        <v>3327</v>
      </c>
      <c r="K72" s="497"/>
      <c r="L72" s="499" t="s">
        <v>3328</v>
      </c>
      <c r="M72" s="497"/>
      <c r="N72" s="500" t="str">
        <f>LEFT(J72,6)</f>
        <v>Aayush</v>
      </c>
      <c r="O72" s="487"/>
    </row>
    <row r="73">
      <c r="C73" s="482"/>
      <c r="D73" s="501">
        <v>11.5</v>
      </c>
      <c r="E73" s="502"/>
      <c r="F73" s="318"/>
      <c r="G73" s="503"/>
      <c r="H73" s="318"/>
      <c r="I73" s="502"/>
      <c r="J73" s="504" t="s">
        <v>3329</v>
      </c>
      <c r="K73" s="502"/>
      <c r="L73" s="504" t="s">
        <v>3330</v>
      </c>
      <c r="M73" s="502"/>
      <c r="N73" s="505" t="str">
        <f>LEFT(J73,5)</f>
        <v>Multi</v>
      </c>
      <c r="O73" s="487"/>
    </row>
    <row r="74">
      <c r="C74" s="482"/>
      <c r="D74" s="506"/>
      <c r="E74" s="232"/>
      <c r="F74" s="507"/>
      <c r="G74" s="508"/>
      <c r="H74" s="508"/>
      <c r="I74" s="232"/>
      <c r="J74" s="232"/>
      <c r="K74" s="232"/>
      <c r="L74" s="232"/>
      <c r="M74" s="232"/>
      <c r="N74" s="509"/>
      <c r="O74" s="487"/>
    </row>
    <row r="75">
      <c r="C75" s="482"/>
      <c r="D75" s="489">
        <v>12.1</v>
      </c>
      <c r="E75" s="490"/>
      <c r="F75" s="513" t="s">
        <v>123</v>
      </c>
      <c r="G75" s="492"/>
      <c r="H75" s="493" t="s">
        <v>3331</v>
      </c>
      <c r="I75" s="490"/>
      <c r="J75" s="494" t="s">
        <v>3329</v>
      </c>
      <c r="K75" s="490"/>
      <c r="L75" s="494" t="s">
        <v>3332</v>
      </c>
      <c r="M75" s="490"/>
      <c r="N75" s="495" t="str">
        <f>RIGHT(J75,10)</f>
        <v>processsor</v>
      </c>
      <c r="O75" s="487"/>
    </row>
    <row r="76">
      <c r="C76" s="482"/>
      <c r="D76" s="496">
        <v>12.2</v>
      </c>
      <c r="E76" s="497"/>
      <c r="F76" s="207"/>
      <c r="G76" s="498"/>
      <c r="H76" s="207"/>
      <c r="I76" s="497"/>
      <c r="J76" s="499" t="s">
        <v>3333</v>
      </c>
      <c r="K76" s="497"/>
      <c r="L76" s="499" t="s">
        <v>3334</v>
      </c>
      <c r="M76" s="497"/>
      <c r="N76" s="500" t="str">
        <f>RIGHT(J76,5)</f>
        <v>Pixel</v>
      </c>
      <c r="O76" s="487"/>
    </row>
    <row r="77">
      <c r="C77" s="482"/>
      <c r="D77" s="496">
        <v>12.3</v>
      </c>
      <c r="E77" s="497"/>
      <c r="F77" s="207"/>
      <c r="G77" s="498"/>
      <c r="H77" s="207"/>
      <c r="I77" s="497"/>
      <c r="J77" s="499" t="s">
        <v>3325</v>
      </c>
      <c r="K77" s="497"/>
      <c r="L77" s="499" t="s">
        <v>3335</v>
      </c>
      <c r="M77" s="497"/>
      <c r="N77" s="500" t="str">
        <f>RIGHT(J77)</f>
        <v>h</v>
      </c>
      <c r="O77" s="487"/>
    </row>
    <row r="78">
      <c r="C78" s="482"/>
      <c r="D78" s="496">
        <v>12.4</v>
      </c>
      <c r="E78" s="497"/>
      <c r="F78" s="207"/>
      <c r="G78" s="498"/>
      <c r="H78" s="207"/>
      <c r="I78" s="497"/>
      <c r="J78" s="499" t="s">
        <v>3327</v>
      </c>
      <c r="K78" s="497"/>
      <c r="L78" s="499" t="s">
        <v>3336</v>
      </c>
      <c r="M78" s="497"/>
      <c r="N78" s="500" t="str">
        <f>RIGHT(J78,6)</f>
        <v>ARC123</v>
      </c>
      <c r="O78" s="487"/>
    </row>
    <row r="79">
      <c r="C79" s="482"/>
      <c r="D79" s="501">
        <v>12.5</v>
      </c>
      <c r="E79" s="502"/>
      <c r="F79" s="318"/>
      <c r="G79" s="503"/>
      <c r="H79" s="318"/>
      <c r="I79" s="502"/>
      <c r="J79" s="504" t="s">
        <v>3337</v>
      </c>
      <c r="K79" s="502"/>
      <c r="L79" s="504" t="s">
        <v>3338</v>
      </c>
      <c r="M79" s="502"/>
      <c r="N79" s="505" t="str">
        <f>RIGHT(J79,10)</f>
        <v>Billinaire</v>
      </c>
      <c r="O79" s="487"/>
    </row>
    <row r="80">
      <c r="C80" s="482"/>
      <c r="D80" s="506"/>
      <c r="E80" s="232"/>
      <c r="F80" s="507"/>
      <c r="G80" s="508"/>
      <c r="H80" s="508"/>
      <c r="I80" s="232"/>
      <c r="J80" s="232"/>
      <c r="K80" s="232"/>
      <c r="L80" s="232"/>
      <c r="M80" s="232"/>
      <c r="N80" s="509"/>
      <c r="O80" s="487"/>
    </row>
    <row r="81">
      <c r="C81" s="482"/>
      <c r="D81" s="489">
        <v>13.1</v>
      </c>
      <c r="E81" s="490"/>
      <c r="F81" s="513" t="s">
        <v>90</v>
      </c>
      <c r="G81" s="492"/>
      <c r="H81" s="493" t="s">
        <v>3339</v>
      </c>
      <c r="I81" s="490"/>
      <c r="J81" s="494" t="s">
        <v>2073</v>
      </c>
      <c r="K81" s="490"/>
      <c r="L81" s="494" t="s">
        <v>3340</v>
      </c>
      <c r="M81" s="490"/>
      <c r="N81" s="495" t="str">
        <f>MID(J81,2,2)</f>
        <v>oo</v>
      </c>
      <c r="O81" s="487"/>
    </row>
    <row r="82">
      <c r="C82" s="482"/>
      <c r="D82" s="496">
        <v>13.2</v>
      </c>
      <c r="E82" s="497"/>
      <c r="F82" s="207"/>
      <c r="G82" s="498"/>
      <c r="H82" s="207"/>
      <c r="I82" s="497"/>
      <c r="J82" s="499" t="s">
        <v>2073</v>
      </c>
      <c r="K82" s="497"/>
      <c r="L82" s="499" t="s">
        <v>3341</v>
      </c>
      <c r="M82" s="497"/>
      <c r="N82" s="500" t="str">
        <f>MID(J82,3,2)</f>
        <v>og</v>
      </c>
      <c r="O82" s="487"/>
    </row>
    <row r="83">
      <c r="C83" s="482"/>
      <c r="D83" s="496">
        <v>13.3</v>
      </c>
      <c r="E83" s="497"/>
      <c r="F83" s="207"/>
      <c r="G83" s="498"/>
      <c r="H83" s="207"/>
      <c r="I83" s="497"/>
      <c r="J83" s="499" t="s">
        <v>3300</v>
      </c>
      <c r="K83" s="497"/>
      <c r="L83" s="499" t="s">
        <v>3342</v>
      </c>
      <c r="M83" s="497"/>
      <c r="N83" s="500" t="str">
        <f>MID(J83,6,7)</f>
        <v>process</v>
      </c>
      <c r="O83" s="487"/>
    </row>
    <row r="84">
      <c r="C84" s="482"/>
      <c r="D84" s="496">
        <v>13.4</v>
      </c>
      <c r="E84" s="497"/>
      <c r="F84" s="207"/>
      <c r="G84" s="498"/>
      <c r="H84" s="207"/>
      <c r="I84" s="497"/>
      <c r="J84" s="499" t="s">
        <v>3343</v>
      </c>
      <c r="K84" s="497"/>
      <c r="L84" s="499" t="s">
        <v>3344</v>
      </c>
      <c r="M84" s="497"/>
      <c r="N84" s="500" t="str">
        <f>MID(J84,4,5)</f>
        <v>sh-AR</v>
      </c>
      <c r="O84" s="487"/>
    </row>
    <row r="85">
      <c r="C85" s="482"/>
      <c r="D85" s="501">
        <v>13.5</v>
      </c>
      <c r="E85" s="502"/>
      <c r="F85" s="318"/>
      <c r="G85" s="503"/>
      <c r="H85" s="318"/>
      <c r="I85" s="502"/>
      <c r="J85" s="504" t="s">
        <v>3345</v>
      </c>
      <c r="K85" s="502"/>
      <c r="L85" s="504" t="s">
        <v>3346</v>
      </c>
      <c r="M85" s="502"/>
      <c r="N85" s="505" t="str">
        <f>MID(J85,2,15)</f>
        <v>Ayush 123 .</v>
      </c>
      <c r="O85" s="487"/>
    </row>
    <row r="86">
      <c r="C86" s="482"/>
      <c r="D86" s="506"/>
      <c r="E86" s="232"/>
      <c r="F86" s="507"/>
      <c r="G86" s="508"/>
      <c r="H86" s="508"/>
      <c r="I86" s="232"/>
      <c r="J86" s="232"/>
      <c r="K86" s="232"/>
      <c r="L86" s="232"/>
      <c r="M86" s="232"/>
      <c r="N86" s="509"/>
      <c r="O86" s="487"/>
    </row>
    <row r="87">
      <c r="C87" s="482"/>
      <c r="D87" s="489">
        <v>14.1</v>
      </c>
      <c r="E87" s="490"/>
      <c r="F87" s="513" t="s">
        <v>68</v>
      </c>
      <c r="G87" s="492"/>
      <c r="H87" s="493" t="s">
        <v>3347</v>
      </c>
      <c r="I87" s="490"/>
      <c r="J87" s="494" t="s">
        <v>2073</v>
      </c>
      <c r="K87" s="490"/>
      <c r="L87" s="494" t="s">
        <v>3348</v>
      </c>
      <c r="M87" s="490"/>
      <c r="N87" s="495">
        <f t="shared" ref="N87:N91" si="5">LEN(J87)</f>
        <v>6</v>
      </c>
      <c r="O87" s="487"/>
    </row>
    <row r="88">
      <c r="C88" s="482"/>
      <c r="D88" s="496">
        <v>14.2</v>
      </c>
      <c r="E88" s="497"/>
      <c r="F88" s="207"/>
      <c r="G88" s="498"/>
      <c r="H88" s="207"/>
      <c r="I88" s="497"/>
      <c r="J88" s="499" t="s">
        <v>3329</v>
      </c>
      <c r="K88" s="497"/>
      <c r="L88" s="499" t="s">
        <v>3349</v>
      </c>
      <c r="M88" s="497"/>
      <c r="N88" s="500">
        <f t="shared" si="5"/>
        <v>15</v>
      </c>
      <c r="O88" s="487"/>
    </row>
    <row r="89">
      <c r="C89" s="482"/>
      <c r="D89" s="496">
        <v>14.3</v>
      </c>
      <c r="E89" s="497"/>
      <c r="F89" s="207"/>
      <c r="G89" s="498"/>
      <c r="H89" s="207"/>
      <c r="I89" s="497"/>
      <c r="J89" s="499" t="s">
        <v>3300</v>
      </c>
      <c r="K89" s="497"/>
      <c r="L89" s="499" t="s">
        <v>3350</v>
      </c>
      <c r="M89" s="497"/>
      <c r="N89" s="500">
        <f t="shared" si="5"/>
        <v>14</v>
      </c>
      <c r="O89" s="487"/>
    </row>
    <row r="90">
      <c r="C90" s="482"/>
      <c r="D90" s="496">
        <v>14.4</v>
      </c>
      <c r="E90" s="497"/>
      <c r="F90" s="207"/>
      <c r="G90" s="498"/>
      <c r="H90" s="207"/>
      <c r="I90" s="497"/>
      <c r="J90" s="499" t="s">
        <v>3351</v>
      </c>
      <c r="K90" s="497"/>
      <c r="L90" s="499" t="s">
        <v>3352</v>
      </c>
      <c r="M90" s="497"/>
      <c r="N90" s="500">
        <f t="shared" si="5"/>
        <v>7</v>
      </c>
      <c r="O90" s="487"/>
    </row>
    <row r="91">
      <c r="C91" s="482"/>
      <c r="D91" s="501">
        <v>14.5</v>
      </c>
      <c r="E91" s="502"/>
      <c r="F91" s="318"/>
      <c r="G91" s="503"/>
      <c r="H91" s="318"/>
      <c r="I91" s="502"/>
      <c r="J91" s="504" t="s">
        <v>3353</v>
      </c>
      <c r="K91" s="502"/>
      <c r="L91" s="504" t="s">
        <v>3354</v>
      </c>
      <c r="M91" s="502"/>
      <c r="N91" s="505">
        <f t="shared" si="5"/>
        <v>12</v>
      </c>
      <c r="O91" s="487"/>
    </row>
    <row r="92">
      <c r="C92" s="482"/>
      <c r="D92" s="506"/>
      <c r="E92" s="232"/>
      <c r="F92" s="507"/>
      <c r="G92" s="508"/>
      <c r="H92" s="508"/>
      <c r="I92" s="232"/>
      <c r="J92" s="232"/>
      <c r="K92" s="232"/>
      <c r="L92" s="232"/>
      <c r="M92" s="232"/>
      <c r="N92" s="509"/>
      <c r="O92" s="487"/>
    </row>
    <row r="93">
      <c r="C93" s="482"/>
      <c r="D93" s="489">
        <v>15.1</v>
      </c>
      <c r="E93" s="490"/>
      <c r="F93" s="513" t="s">
        <v>134</v>
      </c>
      <c r="G93" s="492"/>
      <c r="H93" s="493" t="s">
        <v>3355</v>
      </c>
      <c r="I93" s="490"/>
      <c r="J93" s="494" t="s">
        <v>3325</v>
      </c>
      <c r="K93" s="490"/>
      <c r="L93" s="494" t="s">
        <v>3356</v>
      </c>
      <c r="M93" s="490"/>
      <c r="N93" s="495" t="str">
        <f t="shared" ref="N93:N97" si="6">UPPER(J93)</f>
        <v>AYUSH</v>
      </c>
      <c r="O93" s="487"/>
    </row>
    <row r="94">
      <c r="C94" s="482"/>
      <c r="D94" s="496">
        <v>15.2</v>
      </c>
      <c r="E94" s="497"/>
      <c r="F94" s="207"/>
      <c r="G94" s="498"/>
      <c r="H94" s="207"/>
      <c r="I94" s="497"/>
      <c r="J94" s="499" t="s">
        <v>3357</v>
      </c>
      <c r="K94" s="497"/>
      <c r="L94" s="499" t="s">
        <v>3358</v>
      </c>
      <c r="M94" s="497"/>
      <c r="N94" s="500" t="str">
        <f t="shared" si="6"/>
        <v>ABCD</v>
      </c>
      <c r="O94" s="487"/>
    </row>
    <row r="95">
      <c r="C95" s="482"/>
      <c r="D95" s="496">
        <v>15.3</v>
      </c>
      <c r="E95" s="497"/>
      <c r="F95" s="207"/>
      <c r="G95" s="498"/>
      <c r="H95" s="207"/>
      <c r="I95" s="497"/>
      <c r="J95" s="499" t="s">
        <v>3359</v>
      </c>
      <c r="K95" s="497"/>
      <c r="L95" s="499" t="s">
        <v>3360</v>
      </c>
      <c r="M95" s="497"/>
      <c r="N95" s="500" t="str">
        <f t="shared" si="6"/>
        <v>XYZ</v>
      </c>
      <c r="O95" s="487"/>
    </row>
    <row r="96">
      <c r="C96" s="482"/>
      <c r="D96" s="496">
        <v>15.4</v>
      </c>
      <c r="E96" s="497"/>
      <c r="F96" s="207"/>
      <c r="G96" s="498"/>
      <c r="H96" s="207"/>
      <c r="I96" s="497"/>
      <c r="J96" s="499" t="s">
        <v>3361</v>
      </c>
      <c r="K96" s="497"/>
      <c r="L96" s="499" t="s">
        <v>3362</v>
      </c>
      <c r="M96" s="497"/>
      <c r="N96" s="500" t="str">
        <f t="shared" si="6"/>
        <v>QRST</v>
      </c>
      <c r="O96" s="487"/>
    </row>
    <row r="97">
      <c r="C97" s="482"/>
      <c r="D97" s="501">
        <v>15.5</v>
      </c>
      <c r="E97" s="502"/>
      <c r="F97" s="318"/>
      <c r="G97" s="503"/>
      <c r="H97" s="318"/>
      <c r="I97" s="502"/>
      <c r="J97" s="504" t="s">
        <v>3363</v>
      </c>
      <c r="K97" s="502"/>
      <c r="L97" s="504" t="s">
        <v>3364</v>
      </c>
      <c r="M97" s="502"/>
      <c r="N97" s="505" t="str">
        <f t="shared" si="6"/>
        <v>MNOP</v>
      </c>
      <c r="O97" s="487"/>
    </row>
    <row r="98">
      <c r="C98" s="482"/>
      <c r="D98" s="506"/>
      <c r="E98" s="232"/>
      <c r="F98" s="507"/>
      <c r="G98" s="508"/>
      <c r="H98" s="508"/>
      <c r="I98" s="232"/>
      <c r="J98" s="232"/>
      <c r="K98" s="232"/>
      <c r="L98" s="232"/>
      <c r="M98" s="232"/>
      <c r="N98" s="509"/>
      <c r="O98" s="487"/>
    </row>
    <row r="99">
      <c r="C99" s="482"/>
      <c r="D99" s="489">
        <v>16.1</v>
      </c>
      <c r="E99" s="490"/>
      <c r="F99" s="513" t="s">
        <v>79</v>
      </c>
      <c r="G99" s="492"/>
      <c r="H99" s="493" t="s">
        <v>3365</v>
      </c>
      <c r="I99" s="490"/>
      <c r="J99" s="494" t="s">
        <v>3325</v>
      </c>
      <c r="K99" s="490"/>
      <c r="L99" s="494" t="s">
        <v>3366</v>
      </c>
      <c r="M99" s="490"/>
      <c r="N99" s="495" t="str">
        <f t="shared" ref="N99:N103" si="7">LOWER(J99)</f>
        <v>ayush</v>
      </c>
      <c r="O99" s="487"/>
    </row>
    <row r="100">
      <c r="C100" s="482"/>
      <c r="D100" s="496">
        <v>16.2</v>
      </c>
      <c r="E100" s="497"/>
      <c r="F100" s="207"/>
      <c r="G100" s="498"/>
      <c r="H100" s="207"/>
      <c r="I100" s="497"/>
      <c r="J100" s="499" t="s">
        <v>3357</v>
      </c>
      <c r="K100" s="497"/>
      <c r="L100" s="499" t="s">
        <v>3367</v>
      </c>
      <c r="M100" s="497"/>
      <c r="N100" s="500" t="str">
        <f t="shared" si="7"/>
        <v>abcd</v>
      </c>
      <c r="O100" s="487"/>
    </row>
    <row r="101">
      <c r="C101" s="482"/>
      <c r="D101" s="496">
        <v>16.3</v>
      </c>
      <c r="E101" s="497"/>
      <c r="F101" s="207"/>
      <c r="G101" s="498"/>
      <c r="H101" s="207"/>
      <c r="I101" s="497"/>
      <c r="J101" s="499" t="s">
        <v>2884</v>
      </c>
      <c r="K101" s="497"/>
      <c r="L101" s="499" t="s">
        <v>3368</v>
      </c>
      <c r="M101" s="497"/>
      <c r="N101" s="500" t="str">
        <f t="shared" si="7"/>
        <v>xyz</v>
      </c>
      <c r="O101" s="487"/>
    </row>
    <row r="102">
      <c r="C102" s="482"/>
      <c r="D102" s="496">
        <v>16.4</v>
      </c>
      <c r="E102" s="497"/>
      <c r="F102" s="207"/>
      <c r="G102" s="498"/>
      <c r="H102" s="207"/>
      <c r="I102" s="497"/>
      <c r="J102" s="499" t="s">
        <v>3361</v>
      </c>
      <c r="K102" s="497"/>
      <c r="L102" s="499" t="s">
        <v>3369</v>
      </c>
      <c r="M102" s="497"/>
      <c r="N102" s="500" t="str">
        <f t="shared" si="7"/>
        <v>qrst</v>
      </c>
      <c r="O102" s="487"/>
    </row>
    <row r="103">
      <c r="C103" s="482"/>
      <c r="D103" s="501">
        <v>16.5</v>
      </c>
      <c r="E103" s="502"/>
      <c r="F103" s="318"/>
      <c r="G103" s="503"/>
      <c r="H103" s="318"/>
      <c r="I103" s="502"/>
      <c r="J103" s="504" t="s">
        <v>3363</v>
      </c>
      <c r="K103" s="502"/>
      <c r="L103" s="504" t="s">
        <v>3370</v>
      </c>
      <c r="M103" s="502"/>
      <c r="N103" s="505" t="str">
        <f t="shared" si="7"/>
        <v>mnop</v>
      </c>
      <c r="O103" s="487"/>
    </row>
    <row r="104">
      <c r="C104" s="482"/>
      <c r="D104" s="506"/>
      <c r="E104" s="232"/>
      <c r="F104" s="507"/>
      <c r="G104" s="508"/>
      <c r="H104" s="508"/>
      <c r="I104" s="232"/>
      <c r="J104" s="232"/>
      <c r="K104" s="232"/>
      <c r="L104" s="232"/>
      <c r="M104" s="232"/>
      <c r="N104" s="509"/>
      <c r="O104" s="487"/>
    </row>
    <row r="105">
      <c r="C105" s="482"/>
      <c r="D105" s="489">
        <v>17.1</v>
      </c>
      <c r="E105" s="490"/>
      <c r="F105" s="513" t="s">
        <v>101</v>
      </c>
      <c r="G105" s="492"/>
      <c r="H105" s="493" t="s">
        <v>3371</v>
      </c>
      <c r="I105" s="490"/>
      <c r="J105" s="494" t="s">
        <v>3357</v>
      </c>
      <c r="K105" s="490"/>
      <c r="L105" s="494" t="s">
        <v>3372</v>
      </c>
      <c r="M105" s="490"/>
      <c r="N105" s="495" t="str">
        <f t="shared" ref="N105:N109" si="8">PROPER(J105)</f>
        <v>Abcd</v>
      </c>
      <c r="O105" s="487"/>
    </row>
    <row r="106">
      <c r="C106" s="482"/>
      <c r="D106" s="496">
        <v>17.2</v>
      </c>
      <c r="E106" s="497"/>
      <c r="F106" s="207"/>
      <c r="G106" s="498"/>
      <c r="H106" s="207"/>
      <c r="I106" s="497"/>
      <c r="J106" s="499" t="s">
        <v>2884</v>
      </c>
      <c r="K106" s="497"/>
      <c r="L106" s="499" t="s">
        <v>3373</v>
      </c>
      <c r="M106" s="497"/>
      <c r="N106" s="500" t="str">
        <f t="shared" si="8"/>
        <v>Xyz</v>
      </c>
      <c r="O106" s="487"/>
    </row>
    <row r="107">
      <c r="C107" s="482"/>
      <c r="D107" s="496">
        <v>17.3</v>
      </c>
      <c r="E107" s="497"/>
      <c r="F107" s="207"/>
      <c r="G107" s="498"/>
      <c r="H107" s="207"/>
      <c r="I107" s="497"/>
      <c r="J107" s="499" t="s">
        <v>3359</v>
      </c>
      <c r="K107" s="497"/>
      <c r="L107" s="499" t="s">
        <v>3374</v>
      </c>
      <c r="M107" s="497"/>
      <c r="N107" s="500" t="str">
        <f t="shared" si="8"/>
        <v>Xyz</v>
      </c>
      <c r="O107" s="487"/>
    </row>
    <row r="108">
      <c r="C108" s="482"/>
      <c r="D108" s="496">
        <v>17.4</v>
      </c>
      <c r="E108" s="497"/>
      <c r="F108" s="207"/>
      <c r="G108" s="498"/>
      <c r="H108" s="207"/>
      <c r="I108" s="497"/>
      <c r="J108" s="499" t="s">
        <v>3361</v>
      </c>
      <c r="K108" s="497"/>
      <c r="L108" s="499" t="s">
        <v>3375</v>
      </c>
      <c r="M108" s="497"/>
      <c r="N108" s="500" t="str">
        <f t="shared" si="8"/>
        <v>Qrst</v>
      </c>
      <c r="O108" s="487"/>
    </row>
    <row r="109">
      <c r="C109" s="482"/>
      <c r="D109" s="501">
        <v>17.5</v>
      </c>
      <c r="E109" s="502"/>
      <c r="F109" s="318"/>
      <c r="G109" s="503"/>
      <c r="H109" s="318"/>
      <c r="I109" s="502"/>
      <c r="J109" s="504" t="s">
        <v>3363</v>
      </c>
      <c r="K109" s="502"/>
      <c r="L109" s="504" t="s">
        <v>3376</v>
      </c>
      <c r="M109" s="502"/>
      <c r="N109" s="505" t="str">
        <f t="shared" si="8"/>
        <v>Mnop</v>
      </c>
      <c r="O109" s="487"/>
    </row>
    <row r="110">
      <c r="C110" s="482"/>
      <c r="D110" s="506"/>
      <c r="E110" s="232"/>
      <c r="F110" s="507"/>
      <c r="G110" s="508"/>
      <c r="H110" s="508"/>
      <c r="I110" s="232"/>
      <c r="J110" s="232"/>
      <c r="K110" s="232"/>
      <c r="L110" s="232"/>
      <c r="M110" s="232"/>
      <c r="N110" s="509"/>
      <c r="O110" s="487"/>
    </row>
    <row r="111">
      <c r="C111" s="482"/>
      <c r="D111" s="489">
        <v>18.1</v>
      </c>
      <c r="E111" s="490"/>
      <c r="F111" s="491" t="s">
        <v>2254</v>
      </c>
      <c r="G111" s="492"/>
      <c r="H111" s="493" t="s">
        <v>3377</v>
      </c>
      <c r="I111" s="490"/>
      <c r="J111" s="494" t="s">
        <v>3378</v>
      </c>
      <c r="K111" s="490"/>
      <c r="L111" s="494" t="s">
        <v>3379</v>
      </c>
      <c r="M111" s="490"/>
      <c r="N111" s="495" t="str">
        <f t="shared" ref="N111:N112" si="9">REPT(J111,3)</f>
        <v> ARC  ARC  ARC </v>
      </c>
      <c r="O111" s="487"/>
    </row>
    <row r="112">
      <c r="C112" s="482"/>
      <c r="D112" s="496">
        <v>18.2</v>
      </c>
      <c r="E112" s="497"/>
      <c r="F112" s="207"/>
      <c r="G112" s="498"/>
      <c r="H112" s="207"/>
      <c r="I112" s="497"/>
      <c r="J112" s="499" t="s">
        <v>3380</v>
      </c>
      <c r="K112" s="497"/>
      <c r="L112" s="499" t="s">
        <v>3381</v>
      </c>
      <c r="M112" s="497"/>
      <c r="N112" s="500" t="str">
        <f t="shared" si="9"/>
        <v>AbcAbcAbc</v>
      </c>
      <c r="O112" s="487"/>
    </row>
    <row r="113">
      <c r="C113" s="482"/>
      <c r="D113" s="496">
        <v>18.3</v>
      </c>
      <c r="E113" s="497"/>
      <c r="F113" s="207"/>
      <c r="G113" s="498"/>
      <c r="H113" s="207"/>
      <c r="I113" s="497"/>
      <c r="J113" s="499" t="s">
        <v>3382</v>
      </c>
      <c r="K113" s="497"/>
      <c r="L113" s="499" t="s">
        <v>3383</v>
      </c>
      <c r="M113" s="497"/>
      <c r="N113" s="500" t="str">
        <f>REPT(J113,5)</f>
        <v>ZyxZyxZyxZyxZyx</v>
      </c>
      <c r="O113" s="487"/>
    </row>
    <row r="114">
      <c r="C114" s="482"/>
      <c r="D114" s="496">
        <v>18.4</v>
      </c>
      <c r="E114" s="497"/>
      <c r="F114" s="207"/>
      <c r="G114" s="498"/>
      <c r="H114" s="207"/>
      <c r="I114" s="497"/>
      <c r="J114" s="499" t="s">
        <v>3384</v>
      </c>
      <c r="K114" s="497"/>
      <c r="L114" s="499" t="s">
        <v>3385</v>
      </c>
      <c r="M114" s="497"/>
      <c r="N114" s="500" t="str">
        <f t="shared" ref="N114:N115" si="10">REPT(J114,4)</f>
        <v>Mno Mno Mno Mno </v>
      </c>
      <c r="O114" s="487"/>
    </row>
    <row r="115">
      <c r="C115" s="482"/>
      <c r="D115" s="501">
        <v>18.5</v>
      </c>
      <c r="E115" s="502"/>
      <c r="F115" s="318"/>
      <c r="G115" s="503"/>
      <c r="H115" s="318"/>
      <c r="I115" s="502"/>
      <c r="J115" s="504" t="s">
        <v>3386</v>
      </c>
      <c r="K115" s="502"/>
      <c r="L115" s="504" t="s">
        <v>3387</v>
      </c>
      <c r="M115" s="502"/>
      <c r="N115" s="505" t="str">
        <f t="shared" si="10"/>
        <v> Pqr Pqr Pqr Pqr</v>
      </c>
      <c r="O115" s="487"/>
    </row>
    <row r="116">
      <c r="C116" s="139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39"/>
    </row>
  </sheetData>
  <mergeCells count="36">
    <mergeCell ref="F9:F13"/>
    <mergeCell ref="H9:H13"/>
    <mergeCell ref="F15:F19"/>
    <mergeCell ref="H16:H19"/>
    <mergeCell ref="F21:F25"/>
    <mergeCell ref="H21:H25"/>
    <mergeCell ref="H27:H31"/>
    <mergeCell ref="F69:F73"/>
    <mergeCell ref="F75:F79"/>
    <mergeCell ref="F81:F85"/>
    <mergeCell ref="F87:F91"/>
    <mergeCell ref="F93:F97"/>
    <mergeCell ref="F99:F103"/>
    <mergeCell ref="F105:F109"/>
    <mergeCell ref="F111:F115"/>
    <mergeCell ref="F27:F31"/>
    <mergeCell ref="F33:F37"/>
    <mergeCell ref="F39:F43"/>
    <mergeCell ref="F45:F49"/>
    <mergeCell ref="F51:F55"/>
    <mergeCell ref="F57:F61"/>
    <mergeCell ref="F63:F67"/>
    <mergeCell ref="H75:H79"/>
    <mergeCell ref="H81:H85"/>
    <mergeCell ref="H87:H91"/>
    <mergeCell ref="H93:H97"/>
    <mergeCell ref="H99:H103"/>
    <mergeCell ref="H105:H109"/>
    <mergeCell ref="H111:H115"/>
    <mergeCell ref="H33:H37"/>
    <mergeCell ref="H39:H43"/>
    <mergeCell ref="H45:H49"/>
    <mergeCell ref="H51:H55"/>
    <mergeCell ref="H57:H61"/>
    <mergeCell ref="H63:H67"/>
    <mergeCell ref="H69:H73"/>
  </mergeCells>
  <hyperlinks>
    <hyperlink r:id="rId1" ref="D7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41.25"/>
    <col customWidth="1" min="4" max="4" width="51.25"/>
  </cols>
  <sheetData>
    <row r="1">
      <c r="A1" s="514"/>
      <c r="B1" s="515" t="s">
        <v>3388</v>
      </c>
      <c r="C1" s="516"/>
      <c r="D1" s="516"/>
    </row>
    <row r="2">
      <c r="A2" s="517" t="s">
        <v>3389</v>
      </c>
      <c r="B2" s="71"/>
      <c r="C2" s="71"/>
      <c r="D2" s="72"/>
    </row>
    <row r="3">
      <c r="A3" s="518" t="s">
        <v>3390</v>
      </c>
      <c r="B3" s="71"/>
      <c r="C3" s="71"/>
      <c r="D3" s="72"/>
    </row>
    <row r="4">
      <c r="A4" s="519" t="s">
        <v>3391</v>
      </c>
      <c r="B4" s="71"/>
      <c r="C4" s="71"/>
      <c r="D4" s="72"/>
    </row>
    <row r="5">
      <c r="A5" s="520" t="s">
        <v>3392</v>
      </c>
      <c r="B5" s="71"/>
      <c r="C5" s="71"/>
      <c r="D5" s="72"/>
    </row>
    <row r="6">
      <c r="A6" s="521" t="s">
        <v>3393</v>
      </c>
      <c r="B6" s="522" t="s">
        <v>233</v>
      </c>
      <c r="C6" s="72"/>
      <c r="D6" s="523" t="s">
        <v>3394</v>
      </c>
    </row>
    <row r="7">
      <c r="A7" s="524">
        <v>1.0</v>
      </c>
      <c r="B7" s="524" t="s">
        <v>1120</v>
      </c>
      <c r="C7" s="525"/>
      <c r="D7" s="524" t="s">
        <v>1880</v>
      </c>
    </row>
    <row r="8">
      <c r="A8" s="524">
        <v>2.0</v>
      </c>
      <c r="B8" s="524" t="s">
        <v>3395</v>
      </c>
      <c r="C8" s="525"/>
      <c r="D8" s="524" t="s">
        <v>3396</v>
      </c>
    </row>
    <row r="9">
      <c r="A9" s="524">
        <v>3.0</v>
      </c>
      <c r="B9" s="524" t="s">
        <v>220</v>
      </c>
      <c r="C9" s="525"/>
      <c r="D9" s="524" t="s">
        <v>215</v>
      </c>
    </row>
    <row r="10">
      <c r="A10" s="524">
        <v>4.0</v>
      </c>
      <c r="B10" s="524" t="s">
        <v>905</v>
      </c>
      <c r="C10" s="525"/>
      <c r="D10" s="524" t="s">
        <v>3397</v>
      </c>
    </row>
    <row r="11">
      <c r="A11" s="524">
        <v>5.0</v>
      </c>
      <c r="B11" s="524" t="s">
        <v>3398</v>
      </c>
      <c r="C11" s="525"/>
      <c r="D11" s="524" t="s">
        <v>3399</v>
      </c>
    </row>
    <row r="12">
      <c r="A12" s="526"/>
      <c r="B12" s="526"/>
      <c r="C12" s="527"/>
      <c r="D12" s="526"/>
    </row>
    <row r="13">
      <c r="A13" s="518" t="s">
        <v>3400</v>
      </c>
      <c r="B13" s="71"/>
      <c r="C13" s="71"/>
      <c r="D13" s="72"/>
    </row>
    <row r="14">
      <c r="A14" s="519" t="s">
        <v>3401</v>
      </c>
      <c r="B14" s="71"/>
      <c r="C14" s="71"/>
      <c r="D14" s="72"/>
    </row>
    <row r="15">
      <c r="A15" s="520" t="s">
        <v>3402</v>
      </c>
      <c r="B15" s="71"/>
      <c r="C15" s="71"/>
      <c r="D15" s="72"/>
    </row>
    <row r="16">
      <c r="A16" s="521" t="s">
        <v>3393</v>
      </c>
      <c r="B16" s="522" t="s">
        <v>233</v>
      </c>
      <c r="C16" s="72"/>
      <c r="D16" s="523" t="s">
        <v>3394</v>
      </c>
    </row>
    <row r="17">
      <c r="A17" s="524">
        <v>1.0</v>
      </c>
      <c r="B17" s="524" t="s">
        <v>521</v>
      </c>
      <c r="C17" s="528"/>
      <c r="D17" s="524" t="s">
        <v>47</v>
      </c>
    </row>
    <row r="18">
      <c r="A18" s="524">
        <v>2.0</v>
      </c>
      <c r="B18" s="524" t="s">
        <v>163</v>
      </c>
      <c r="C18" s="528"/>
      <c r="D18" s="524" t="s">
        <v>165</v>
      </c>
    </row>
    <row r="19">
      <c r="A19" s="524">
        <v>3.0</v>
      </c>
      <c r="B19" s="524" t="s">
        <v>3403</v>
      </c>
      <c r="C19" s="528"/>
      <c r="D19" s="524" t="s">
        <v>3404</v>
      </c>
    </row>
    <row r="20">
      <c r="A20" s="524">
        <v>4.0</v>
      </c>
      <c r="B20" s="524" t="s">
        <v>1062</v>
      </c>
      <c r="C20" s="528"/>
      <c r="D20" s="524" t="s">
        <v>3405</v>
      </c>
    </row>
    <row r="21">
      <c r="A21" s="524">
        <v>5.0</v>
      </c>
      <c r="B21" s="524" t="s">
        <v>3406</v>
      </c>
      <c r="C21" s="528"/>
      <c r="D21" s="524" t="s">
        <v>2558</v>
      </c>
    </row>
    <row r="22">
      <c r="A22" s="528"/>
      <c r="B22" s="528"/>
      <c r="C22" s="528"/>
      <c r="D22" s="528"/>
    </row>
    <row r="23">
      <c r="A23" s="518" t="s">
        <v>3407</v>
      </c>
      <c r="B23" s="71"/>
      <c r="C23" s="71"/>
      <c r="D23" s="72"/>
    </row>
    <row r="24">
      <c r="A24" s="519" t="s">
        <v>3408</v>
      </c>
      <c r="B24" s="71"/>
      <c r="C24" s="71"/>
      <c r="D24" s="72"/>
    </row>
    <row r="25">
      <c r="A25" s="520" t="s">
        <v>3409</v>
      </c>
      <c r="B25" s="71"/>
      <c r="C25" s="71"/>
      <c r="D25" s="72"/>
    </row>
    <row r="26">
      <c r="A26" s="521" t="s">
        <v>3393</v>
      </c>
      <c r="B26" s="522" t="s">
        <v>233</v>
      </c>
      <c r="C26" s="72"/>
      <c r="D26" s="523" t="s">
        <v>3394</v>
      </c>
    </row>
    <row r="27">
      <c r="A27" s="524">
        <v>1.0</v>
      </c>
      <c r="B27" s="524" t="s">
        <v>1975</v>
      </c>
      <c r="C27" s="528"/>
      <c r="D27" s="524" t="s">
        <v>2355</v>
      </c>
    </row>
    <row r="28">
      <c r="A28" s="524">
        <v>2.0</v>
      </c>
      <c r="B28" s="524" t="s">
        <v>3410</v>
      </c>
      <c r="C28" s="528"/>
      <c r="D28" s="524" t="s">
        <v>3411</v>
      </c>
    </row>
    <row r="29">
      <c r="A29" s="524">
        <v>3.0</v>
      </c>
      <c r="B29" s="524" t="s">
        <v>3412</v>
      </c>
      <c r="C29" s="528"/>
      <c r="D29" s="524" t="s">
        <v>3413</v>
      </c>
    </row>
    <row r="30">
      <c r="A30" s="524">
        <v>4.0</v>
      </c>
      <c r="B30" s="524" t="s">
        <v>3414</v>
      </c>
      <c r="C30" s="528"/>
      <c r="D30" s="524" t="s">
        <v>3415</v>
      </c>
    </row>
    <row r="31">
      <c r="A31" s="524">
        <v>5.0</v>
      </c>
      <c r="B31" s="524" t="s">
        <v>3416</v>
      </c>
      <c r="C31" s="528"/>
      <c r="D31" s="524" t="s">
        <v>2532</v>
      </c>
    </row>
    <row r="32">
      <c r="A32" s="528"/>
      <c r="B32" s="528"/>
      <c r="C32" s="528"/>
      <c r="D32" s="528"/>
    </row>
    <row r="33">
      <c r="A33" s="518" t="s">
        <v>3417</v>
      </c>
      <c r="B33" s="71"/>
      <c r="C33" s="71"/>
      <c r="D33" s="72"/>
    </row>
    <row r="34">
      <c r="A34" s="519" t="s">
        <v>3418</v>
      </c>
      <c r="B34" s="71"/>
      <c r="C34" s="71"/>
      <c r="D34" s="72"/>
    </row>
    <row r="35">
      <c r="A35" s="520" t="s">
        <v>3419</v>
      </c>
      <c r="B35" s="71"/>
      <c r="C35" s="71"/>
      <c r="D35" s="72"/>
    </row>
    <row r="36">
      <c r="A36" s="521" t="s">
        <v>3393</v>
      </c>
      <c r="B36" s="522" t="s">
        <v>233</v>
      </c>
      <c r="C36" s="72"/>
      <c r="D36" s="523" t="s">
        <v>3394</v>
      </c>
    </row>
    <row r="37">
      <c r="A37" s="524">
        <v>1.0</v>
      </c>
      <c r="B37" s="524">
        <v>65.0</v>
      </c>
      <c r="C37" s="528"/>
      <c r="D37" s="524" t="s">
        <v>861</v>
      </c>
    </row>
    <row r="38">
      <c r="A38" s="524">
        <v>2.0</v>
      </c>
      <c r="B38" s="524">
        <v>114.0</v>
      </c>
      <c r="C38" s="528"/>
      <c r="D38" s="524" t="s">
        <v>3420</v>
      </c>
    </row>
    <row r="39">
      <c r="A39" s="524">
        <v>3.0</v>
      </c>
      <c r="B39" s="524">
        <v>121.0</v>
      </c>
      <c r="C39" s="528"/>
      <c r="D39" s="524" t="s">
        <v>3421</v>
      </c>
    </row>
    <row r="40">
      <c r="A40" s="524">
        <v>4.0</v>
      </c>
      <c r="B40" s="524">
        <v>97.0</v>
      </c>
      <c r="C40" s="528"/>
      <c r="D40" s="524" t="s">
        <v>866</v>
      </c>
    </row>
    <row r="41">
      <c r="A41" s="524">
        <v>5.0</v>
      </c>
      <c r="B41" s="524">
        <v>110.0</v>
      </c>
      <c r="C41" s="528"/>
      <c r="D41" s="524" t="s">
        <v>3422</v>
      </c>
    </row>
    <row r="42">
      <c r="A42" s="526"/>
      <c r="B42" s="526"/>
      <c r="C42" s="526"/>
      <c r="D42" s="526"/>
    </row>
    <row r="43">
      <c r="A43" s="518" t="s">
        <v>3423</v>
      </c>
      <c r="B43" s="71"/>
      <c r="C43" s="71"/>
      <c r="D43" s="72"/>
    </row>
    <row r="44">
      <c r="A44" s="519" t="s">
        <v>3424</v>
      </c>
      <c r="B44" s="71"/>
      <c r="C44" s="71"/>
      <c r="D44" s="72"/>
    </row>
    <row r="45">
      <c r="A45" s="520" t="s">
        <v>3425</v>
      </c>
      <c r="B45" s="71"/>
      <c r="C45" s="71"/>
      <c r="D45" s="72"/>
    </row>
    <row r="46">
      <c r="A46" s="521" t="s">
        <v>3393</v>
      </c>
      <c r="B46" s="522" t="s">
        <v>233</v>
      </c>
      <c r="C46" s="72"/>
      <c r="D46" s="523" t="s">
        <v>3394</v>
      </c>
    </row>
    <row r="47">
      <c r="A47" s="524">
        <v>1.0</v>
      </c>
      <c r="B47" s="524" t="s">
        <v>163</v>
      </c>
      <c r="C47" s="528"/>
      <c r="D47" s="524">
        <v>5.0</v>
      </c>
    </row>
    <row r="48">
      <c r="A48" s="524">
        <v>2.0</v>
      </c>
      <c r="B48" s="524" t="s">
        <v>3426</v>
      </c>
      <c r="C48" s="528"/>
      <c r="D48" s="524">
        <v>3.0</v>
      </c>
    </row>
    <row r="49">
      <c r="A49" s="524">
        <v>3.0</v>
      </c>
      <c r="B49" s="524" t="s">
        <v>3427</v>
      </c>
      <c r="C49" s="528"/>
      <c r="D49" s="524">
        <v>10.0</v>
      </c>
    </row>
    <row r="50">
      <c r="A50" s="524">
        <v>4.0</v>
      </c>
      <c r="B50" s="524" t="s">
        <v>741</v>
      </c>
      <c r="C50" s="528"/>
      <c r="D50" s="524">
        <v>6.0</v>
      </c>
    </row>
    <row r="51">
      <c r="A51" s="524">
        <v>5.0</v>
      </c>
      <c r="B51" s="524" t="s">
        <v>1138</v>
      </c>
      <c r="C51" s="528"/>
      <c r="D51" s="524">
        <v>4.0</v>
      </c>
    </row>
    <row r="52">
      <c r="A52" s="528"/>
      <c r="B52" s="528"/>
      <c r="C52" s="528"/>
      <c r="D52" s="528"/>
    </row>
    <row r="53">
      <c r="A53" s="518" t="s">
        <v>3428</v>
      </c>
      <c r="B53" s="71"/>
      <c r="C53" s="71"/>
      <c r="D53" s="72"/>
    </row>
    <row r="54">
      <c r="A54" s="519" t="s">
        <v>3429</v>
      </c>
      <c r="B54" s="71"/>
      <c r="C54" s="71"/>
      <c r="D54" s="72"/>
    </row>
    <row r="55">
      <c r="A55" s="520" t="s">
        <v>3430</v>
      </c>
      <c r="B55" s="71"/>
      <c r="C55" s="71"/>
      <c r="D55" s="72"/>
    </row>
    <row r="56">
      <c r="A56" s="521" t="s">
        <v>3393</v>
      </c>
      <c r="B56" s="522" t="s">
        <v>233</v>
      </c>
      <c r="C56" s="72"/>
      <c r="D56" s="523" t="s">
        <v>3394</v>
      </c>
    </row>
    <row r="57">
      <c r="A57" s="524">
        <v>1.0</v>
      </c>
      <c r="B57" s="529" t="s">
        <v>3431</v>
      </c>
      <c r="C57" s="530"/>
      <c r="D57" s="524" t="s">
        <v>3432</v>
      </c>
    </row>
    <row r="58">
      <c r="A58" s="524">
        <v>2.0</v>
      </c>
      <c r="B58" s="529" t="s">
        <v>3433</v>
      </c>
      <c r="C58" s="530"/>
      <c r="D58" s="524" t="s">
        <v>3434</v>
      </c>
    </row>
    <row r="59">
      <c r="A59" s="524">
        <v>3.0</v>
      </c>
      <c r="B59" s="524" t="s">
        <v>3435</v>
      </c>
      <c r="C59" s="528"/>
      <c r="D59" s="524" t="s">
        <v>3436</v>
      </c>
    </row>
    <row r="60">
      <c r="A60" s="524">
        <v>4.0</v>
      </c>
      <c r="B60" s="529" t="s">
        <v>57</v>
      </c>
      <c r="C60" s="530"/>
      <c r="D60" s="524" t="s">
        <v>3437</v>
      </c>
    </row>
    <row r="61">
      <c r="A61" s="524">
        <v>5.0</v>
      </c>
      <c r="B61" s="524" t="s">
        <v>3438</v>
      </c>
      <c r="C61" s="528"/>
      <c r="D61" s="524" t="s">
        <v>2234</v>
      </c>
    </row>
    <row r="62">
      <c r="A62" s="528"/>
      <c r="B62" s="528"/>
      <c r="C62" s="528"/>
      <c r="D62" s="528"/>
    </row>
    <row r="63">
      <c r="A63" s="518" t="s">
        <v>3439</v>
      </c>
      <c r="B63" s="71"/>
      <c r="C63" s="71"/>
      <c r="D63" s="72"/>
    </row>
    <row r="64">
      <c r="A64" s="519" t="s">
        <v>3440</v>
      </c>
      <c r="B64" s="71"/>
      <c r="C64" s="71"/>
      <c r="D64" s="72"/>
    </row>
    <row r="65">
      <c r="A65" s="520" t="s">
        <v>3441</v>
      </c>
      <c r="B65" s="71"/>
      <c r="C65" s="71"/>
      <c r="D65" s="72"/>
    </row>
    <row r="66">
      <c r="A66" s="521" t="s">
        <v>3393</v>
      </c>
      <c r="B66" s="522" t="s">
        <v>233</v>
      </c>
      <c r="C66" s="72"/>
      <c r="D66" s="523" t="s">
        <v>3394</v>
      </c>
    </row>
    <row r="67">
      <c r="A67" s="524">
        <v>1.0</v>
      </c>
      <c r="B67" s="524" t="s">
        <v>123</v>
      </c>
      <c r="C67" s="528"/>
      <c r="D67" s="524" t="s">
        <v>3442</v>
      </c>
    </row>
    <row r="68">
      <c r="A68" s="524">
        <v>2.0</v>
      </c>
      <c r="B68" s="524" t="s">
        <v>57</v>
      </c>
      <c r="C68" s="528"/>
      <c r="D68" s="524" t="s">
        <v>3443</v>
      </c>
    </row>
    <row r="69">
      <c r="A69" s="524">
        <v>3.0</v>
      </c>
      <c r="B69" s="524" t="s">
        <v>3049</v>
      </c>
      <c r="C69" s="528"/>
      <c r="D69" s="524" t="s">
        <v>3444</v>
      </c>
    </row>
    <row r="70">
      <c r="A70" s="524">
        <v>4.0</v>
      </c>
      <c r="B70" s="524" t="s">
        <v>79</v>
      </c>
      <c r="C70" s="528"/>
      <c r="D70" s="524" t="s">
        <v>3445</v>
      </c>
    </row>
    <row r="71">
      <c r="A71" s="524">
        <v>5.0</v>
      </c>
      <c r="B71" s="524" t="s">
        <v>3446</v>
      </c>
      <c r="C71" s="528"/>
      <c r="D71" s="524" t="s">
        <v>3447</v>
      </c>
    </row>
    <row r="72">
      <c r="A72" s="528"/>
      <c r="B72" s="528"/>
      <c r="C72" s="528"/>
      <c r="D72" s="528"/>
    </row>
    <row r="73">
      <c r="A73" s="518" t="s">
        <v>3448</v>
      </c>
      <c r="B73" s="71"/>
      <c r="C73" s="71"/>
      <c r="D73" s="72"/>
    </row>
    <row r="74">
      <c r="A74" s="519" t="s">
        <v>3449</v>
      </c>
      <c r="B74" s="71"/>
      <c r="C74" s="71"/>
      <c r="D74" s="72"/>
    </row>
    <row r="75">
      <c r="A75" s="520" t="s">
        <v>3450</v>
      </c>
      <c r="B75" s="71"/>
      <c r="C75" s="71"/>
      <c r="D75" s="72"/>
    </row>
    <row r="76">
      <c r="A76" s="521" t="s">
        <v>3393</v>
      </c>
      <c r="B76" s="522" t="s">
        <v>233</v>
      </c>
      <c r="C76" s="72"/>
      <c r="D76" s="523" t="s">
        <v>3394</v>
      </c>
    </row>
    <row r="77">
      <c r="A77" s="524">
        <v>1.0</v>
      </c>
      <c r="B77" s="524" t="s">
        <v>3451</v>
      </c>
      <c r="C77" s="528"/>
      <c r="D77" s="524" t="s">
        <v>3452</v>
      </c>
    </row>
    <row r="78">
      <c r="A78" s="524">
        <v>2.0</v>
      </c>
      <c r="B78" s="524" t="s">
        <v>3453</v>
      </c>
      <c r="C78" s="528"/>
      <c r="D78" s="524" t="s">
        <v>3454</v>
      </c>
    </row>
    <row r="79">
      <c r="A79" s="524">
        <v>3.0</v>
      </c>
      <c r="B79" s="524" t="s">
        <v>3298</v>
      </c>
      <c r="C79" s="528"/>
      <c r="D79" s="524" t="s">
        <v>3455</v>
      </c>
    </row>
    <row r="80">
      <c r="A80" s="524">
        <v>4.0</v>
      </c>
      <c r="B80" s="524" t="s">
        <v>2359</v>
      </c>
      <c r="C80" s="528"/>
      <c r="D80" s="524" t="s">
        <v>3456</v>
      </c>
    </row>
    <row r="81">
      <c r="A81" s="524">
        <v>5.0</v>
      </c>
      <c r="B81" s="524" t="s">
        <v>3457</v>
      </c>
      <c r="C81" s="528"/>
      <c r="D81" s="524" t="s">
        <v>3458</v>
      </c>
    </row>
    <row r="82">
      <c r="A82" s="526"/>
      <c r="B82" s="526"/>
      <c r="C82" s="526"/>
      <c r="D82" s="526"/>
    </row>
    <row r="83">
      <c r="A83" s="518" t="s">
        <v>3459</v>
      </c>
      <c r="B83" s="71"/>
      <c r="C83" s="71"/>
      <c r="D83" s="72"/>
    </row>
    <row r="84">
      <c r="A84" s="519" t="s">
        <v>3460</v>
      </c>
      <c r="B84" s="71"/>
      <c r="C84" s="71"/>
      <c r="D84" s="72"/>
    </row>
    <row r="85">
      <c r="A85" s="520" t="s">
        <v>3461</v>
      </c>
      <c r="B85" s="71"/>
      <c r="C85" s="71"/>
      <c r="D85" s="72"/>
    </row>
    <row r="86">
      <c r="A86" s="521" t="s">
        <v>3393</v>
      </c>
      <c r="B86" s="522" t="s">
        <v>233</v>
      </c>
      <c r="C86" s="72"/>
      <c r="D86" s="523" t="s">
        <v>3394</v>
      </c>
    </row>
    <row r="87">
      <c r="A87" s="524">
        <v>1.0</v>
      </c>
      <c r="B87" s="524" t="s">
        <v>3462</v>
      </c>
      <c r="C87" s="524" t="s">
        <v>3463</v>
      </c>
      <c r="D87" s="524" t="s">
        <v>3464</v>
      </c>
    </row>
    <row r="88">
      <c r="A88" s="524">
        <v>2.0</v>
      </c>
      <c r="B88" s="524" t="s">
        <v>3465</v>
      </c>
      <c r="C88" s="524" t="s">
        <v>3466</v>
      </c>
      <c r="D88" s="524" t="s">
        <v>3467</v>
      </c>
    </row>
    <row r="89">
      <c r="A89" s="524">
        <v>3.0</v>
      </c>
      <c r="B89" s="524" t="s">
        <v>3468</v>
      </c>
      <c r="C89" s="524" t="s">
        <v>741</v>
      </c>
      <c r="D89" s="524" t="s">
        <v>3469</v>
      </c>
    </row>
    <row r="90">
      <c r="A90" s="524">
        <v>4.0</v>
      </c>
      <c r="B90" s="524" t="s">
        <v>3470</v>
      </c>
      <c r="C90" s="524" t="s">
        <v>3471</v>
      </c>
      <c r="D90" s="524" t="s">
        <v>3472</v>
      </c>
    </row>
    <row r="91">
      <c r="A91" s="524">
        <v>5.0</v>
      </c>
      <c r="B91" s="524" t="s">
        <v>3473</v>
      </c>
      <c r="C91" s="524" t="s">
        <v>3474</v>
      </c>
      <c r="D91" s="524" t="s">
        <v>3475</v>
      </c>
    </row>
    <row r="92">
      <c r="A92" s="526"/>
      <c r="B92" s="526"/>
      <c r="C92" s="526"/>
      <c r="D92" s="526"/>
    </row>
    <row r="93">
      <c r="A93" s="518" t="s">
        <v>3476</v>
      </c>
      <c r="B93" s="71"/>
      <c r="C93" s="71"/>
      <c r="D93" s="72"/>
    </row>
    <row r="94">
      <c r="A94" s="519" t="s">
        <v>3477</v>
      </c>
      <c r="B94" s="71"/>
      <c r="C94" s="71"/>
      <c r="D94" s="72"/>
    </row>
    <row r="95">
      <c r="A95" s="520" t="s">
        <v>3478</v>
      </c>
      <c r="B95" s="71"/>
      <c r="C95" s="71"/>
      <c r="D95" s="72"/>
    </row>
    <row r="96">
      <c r="A96" s="521" t="s">
        <v>3393</v>
      </c>
      <c r="B96" s="522" t="s">
        <v>233</v>
      </c>
      <c r="C96" s="72"/>
      <c r="D96" s="523" t="s">
        <v>3394</v>
      </c>
    </row>
    <row r="97">
      <c r="A97" s="524">
        <v>1.0</v>
      </c>
      <c r="B97" s="524" t="s">
        <v>1138</v>
      </c>
      <c r="C97" s="524" t="s">
        <v>3479</v>
      </c>
      <c r="D97" s="524" t="s">
        <v>3480</v>
      </c>
    </row>
    <row r="98">
      <c r="A98" s="524">
        <v>2.0</v>
      </c>
      <c r="B98" s="524" t="s">
        <v>3481</v>
      </c>
      <c r="C98" s="524" t="s">
        <v>3482</v>
      </c>
      <c r="D98" s="524" t="s">
        <v>3483</v>
      </c>
    </row>
    <row r="99">
      <c r="A99" s="524">
        <v>3.0</v>
      </c>
      <c r="B99" s="524" t="s">
        <v>238</v>
      </c>
      <c r="C99" s="524" t="s">
        <v>3484</v>
      </c>
      <c r="D99" s="524" t="s">
        <v>3485</v>
      </c>
    </row>
    <row r="100">
      <c r="A100" s="524">
        <v>4.0</v>
      </c>
      <c r="B100" s="524" t="s">
        <v>2909</v>
      </c>
      <c r="C100" s="524" t="s">
        <v>3486</v>
      </c>
      <c r="D100" s="524" t="s">
        <v>3487</v>
      </c>
    </row>
    <row r="101">
      <c r="A101" s="524">
        <v>5.0</v>
      </c>
      <c r="B101" s="524" t="s">
        <v>3488</v>
      </c>
      <c r="C101" s="524" t="s">
        <v>3489</v>
      </c>
      <c r="D101" s="524" t="s">
        <v>3490</v>
      </c>
    </row>
    <row r="102">
      <c r="A102" s="528"/>
      <c r="B102" s="528"/>
      <c r="C102" s="528"/>
      <c r="D102" s="528"/>
    </row>
    <row r="103">
      <c r="A103" s="518" t="s">
        <v>3491</v>
      </c>
      <c r="B103" s="71"/>
      <c r="C103" s="71"/>
      <c r="D103" s="72"/>
    </row>
    <row r="104">
      <c r="A104" s="519" t="s">
        <v>3492</v>
      </c>
      <c r="B104" s="71"/>
      <c r="C104" s="71"/>
      <c r="D104" s="72"/>
    </row>
    <row r="105">
      <c r="A105" s="520" t="s">
        <v>3493</v>
      </c>
      <c r="B105" s="71"/>
      <c r="C105" s="71"/>
      <c r="D105" s="72"/>
    </row>
    <row r="106">
      <c r="A106" s="521" t="s">
        <v>3393</v>
      </c>
      <c r="B106" s="522" t="s">
        <v>233</v>
      </c>
      <c r="C106" s="72"/>
      <c r="D106" s="523" t="s">
        <v>3394</v>
      </c>
    </row>
    <row r="107">
      <c r="A107" s="524">
        <v>1.0</v>
      </c>
      <c r="B107" s="524" t="s">
        <v>3494</v>
      </c>
      <c r="C107" s="528"/>
      <c r="D107" s="524" t="s">
        <v>3494</v>
      </c>
    </row>
    <row r="108">
      <c r="A108" s="524">
        <v>2.0</v>
      </c>
      <c r="B108" s="524" t="s">
        <v>3495</v>
      </c>
      <c r="C108" s="528"/>
      <c r="D108" s="524" t="s">
        <v>3495</v>
      </c>
    </row>
    <row r="109">
      <c r="A109" s="524">
        <v>3.0</v>
      </c>
      <c r="B109" s="524" t="s">
        <v>3496</v>
      </c>
      <c r="C109" s="528"/>
      <c r="D109" s="524" t="s">
        <v>3496</v>
      </c>
    </row>
    <row r="110">
      <c r="A110" s="524">
        <v>4.0</v>
      </c>
      <c r="B110" s="524" t="s">
        <v>3497</v>
      </c>
      <c r="C110" s="528"/>
      <c r="D110" s="524" t="s">
        <v>3497</v>
      </c>
    </row>
    <row r="111">
      <c r="A111" s="524">
        <v>5.0</v>
      </c>
      <c r="B111" s="524" t="s">
        <v>3498</v>
      </c>
      <c r="C111" s="528"/>
      <c r="D111" s="524" t="s">
        <v>3498</v>
      </c>
    </row>
    <row r="112">
      <c r="A112" s="528"/>
      <c r="B112" s="528"/>
      <c r="C112" s="528"/>
      <c r="D112" s="528"/>
    </row>
    <row r="113">
      <c r="A113" s="518" t="s">
        <v>3499</v>
      </c>
      <c r="B113" s="71"/>
      <c r="C113" s="71"/>
      <c r="D113" s="72"/>
    </row>
    <row r="114">
      <c r="A114" s="519" t="s">
        <v>3500</v>
      </c>
      <c r="B114" s="71"/>
      <c r="C114" s="71"/>
      <c r="D114" s="72"/>
    </row>
    <row r="115">
      <c r="A115" s="520" t="s">
        <v>3501</v>
      </c>
      <c r="B115" s="71"/>
      <c r="C115" s="71"/>
      <c r="D115" s="72"/>
    </row>
    <row r="116">
      <c r="A116" s="521" t="s">
        <v>3393</v>
      </c>
      <c r="B116" s="522" t="s">
        <v>233</v>
      </c>
      <c r="C116" s="72"/>
      <c r="D116" s="523" t="s">
        <v>3394</v>
      </c>
    </row>
    <row r="117">
      <c r="A117" s="524">
        <v>1.0</v>
      </c>
      <c r="B117" s="524" t="s">
        <v>3502</v>
      </c>
      <c r="C117" s="528"/>
      <c r="D117" s="524">
        <v>4.0</v>
      </c>
    </row>
    <row r="118">
      <c r="A118" s="524">
        <v>2.0</v>
      </c>
      <c r="B118" s="524" t="s">
        <v>3503</v>
      </c>
      <c r="C118" s="528"/>
      <c r="D118" s="524">
        <v>4.0</v>
      </c>
    </row>
    <row r="119">
      <c r="A119" s="524">
        <v>3.0</v>
      </c>
      <c r="B119" s="524" t="s">
        <v>3504</v>
      </c>
      <c r="C119" s="528"/>
      <c r="D119" s="524">
        <v>8.0</v>
      </c>
    </row>
    <row r="120">
      <c r="A120" s="524">
        <v>4.0</v>
      </c>
      <c r="B120" s="524" t="s">
        <v>3505</v>
      </c>
      <c r="C120" s="528"/>
      <c r="D120" s="524">
        <v>1.0</v>
      </c>
    </row>
    <row r="121">
      <c r="A121" s="524">
        <v>5.0</v>
      </c>
      <c r="B121" s="524" t="s">
        <v>3506</v>
      </c>
      <c r="C121" s="528"/>
      <c r="D121" s="524">
        <v>8.0</v>
      </c>
    </row>
    <row r="122">
      <c r="A122" s="528"/>
      <c r="B122" s="528"/>
      <c r="C122" s="528"/>
      <c r="D122" s="528"/>
    </row>
    <row r="123">
      <c r="A123" s="518" t="s">
        <v>3507</v>
      </c>
      <c r="B123" s="71"/>
      <c r="C123" s="71"/>
      <c r="D123" s="72"/>
    </row>
    <row r="124">
      <c r="A124" s="519" t="s">
        <v>3508</v>
      </c>
      <c r="B124" s="71"/>
      <c r="C124" s="71"/>
      <c r="D124" s="72"/>
    </row>
    <row r="125">
      <c r="A125" s="520" t="s">
        <v>3509</v>
      </c>
      <c r="B125" s="71"/>
      <c r="C125" s="71"/>
      <c r="D125" s="72"/>
    </row>
    <row r="126">
      <c r="A126" s="521" t="s">
        <v>3393</v>
      </c>
      <c r="B126" s="522" t="s">
        <v>233</v>
      </c>
      <c r="C126" s="72"/>
      <c r="D126" s="523" t="s">
        <v>3394</v>
      </c>
    </row>
    <row r="127">
      <c r="A127" s="524">
        <v>1.0</v>
      </c>
      <c r="B127" s="524" t="s">
        <v>599</v>
      </c>
      <c r="C127" s="524" t="s">
        <v>598</v>
      </c>
      <c r="D127" s="524" t="b">
        <v>0</v>
      </c>
    </row>
    <row r="128">
      <c r="A128" s="524">
        <v>2.0</v>
      </c>
      <c r="B128" s="524" t="s">
        <v>163</v>
      </c>
      <c r="C128" s="524" t="s">
        <v>163</v>
      </c>
      <c r="D128" s="524" t="b">
        <v>1</v>
      </c>
    </row>
    <row r="129">
      <c r="A129" s="524">
        <v>3.0</v>
      </c>
      <c r="B129" s="524" t="s">
        <v>3510</v>
      </c>
      <c r="C129" s="524" t="s">
        <v>3511</v>
      </c>
      <c r="D129" s="524" t="b">
        <v>0</v>
      </c>
    </row>
    <row r="130">
      <c r="A130" s="524">
        <v>4.0</v>
      </c>
      <c r="B130" s="524" t="s">
        <v>3512</v>
      </c>
      <c r="C130" s="524" t="s">
        <v>3512</v>
      </c>
      <c r="D130" s="524" t="b">
        <v>1</v>
      </c>
    </row>
    <row r="131">
      <c r="A131" s="524">
        <v>5.0</v>
      </c>
      <c r="B131" s="524" t="s">
        <v>2243</v>
      </c>
      <c r="C131" s="524" t="s">
        <v>3513</v>
      </c>
      <c r="D131" s="524" t="b">
        <v>0</v>
      </c>
    </row>
    <row r="132">
      <c r="A132" s="528"/>
      <c r="B132" s="528"/>
      <c r="C132" s="528"/>
      <c r="D132" s="528"/>
    </row>
    <row r="133">
      <c r="A133" s="518" t="s">
        <v>3514</v>
      </c>
      <c r="B133" s="71"/>
      <c r="C133" s="71"/>
      <c r="D133" s="72"/>
    </row>
    <row r="134">
      <c r="A134" s="519" t="s">
        <v>3515</v>
      </c>
      <c r="B134" s="71"/>
      <c r="C134" s="71"/>
      <c r="D134" s="72"/>
    </row>
    <row r="135">
      <c r="A135" s="520" t="s">
        <v>3516</v>
      </c>
      <c r="B135" s="71"/>
      <c r="C135" s="71"/>
      <c r="D135" s="72"/>
    </row>
    <row r="136">
      <c r="A136" s="521" t="s">
        <v>3393</v>
      </c>
      <c r="B136" s="522" t="s">
        <v>233</v>
      </c>
      <c r="C136" s="72"/>
      <c r="D136" s="523" t="s">
        <v>3394</v>
      </c>
    </row>
    <row r="137">
      <c r="A137" s="524">
        <v>1.0</v>
      </c>
      <c r="B137" s="524" t="s">
        <v>3468</v>
      </c>
      <c r="C137" s="528"/>
      <c r="D137" s="524" t="s">
        <v>3517</v>
      </c>
    </row>
    <row r="138">
      <c r="A138" s="524">
        <v>2.0</v>
      </c>
      <c r="B138" s="524" t="s">
        <v>741</v>
      </c>
      <c r="C138" s="528"/>
      <c r="D138" s="524" t="s">
        <v>3518</v>
      </c>
    </row>
    <row r="139">
      <c r="A139" s="524">
        <v>3.0</v>
      </c>
      <c r="B139" s="524" t="s">
        <v>3519</v>
      </c>
      <c r="C139" s="528"/>
      <c r="D139" s="524" t="s">
        <v>3520</v>
      </c>
    </row>
    <row r="140">
      <c r="A140" s="524">
        <v>4.0</v>
      </c>
      <c r="B140" s="524" t="s">
        <v>3521</v>
      </c>
      <c r="C140" s="528"/>
      <c r="D140" s="524" t="s">
        <v>3522</v>
      </c>
    </row>
    <row r="141">
      <c r="A141" s="524">
        <v>5.0</v>
      </c>
      <c r="B141" s="524" t="s">
        <v>3523</v>
      </c>
      <c r="C141" s="528"/>
      <c r="D141" s="524" t="s">
        <v>3524</v>
      </c>
    </row>
    <row r="142">
      <c r="A142" s="528"/>
      <c r="B142" s="528"/>
      <c r="C142" s="528"/>
      <c r="D142" s="528"/>
    </row>
    <row r="143">
      <c r="A143" s="518" t="s">
        <v>3525</v>
      </c>
      <c r="B143" s="71"/>
      <c r="C143" s="71"/>
      <c r="D143" s="72"/>
    </row>
    <row r="144">
      <c r="A144" s="519" t="s">
        <v>3526</v>
      </c>
      <c r="B144" s="71"/>
      <c r="C144" s="71"/>
      <c r="D144" s="72"/>
    </row>
    <row r="145">
      <c r="A145" s="520" t="s">
        <v>3527</v>
      </c>
      <c r="B145" s="71"/>
      <c r="C145" s="71"/>
      <c r="D145" s="72"/>
    </row>
    <row r="146">
      <c r="A146" s="521" t="s">
        <v>3393</v>
      </c>
      <c r="B146" s="522" t="s">
        <v>233</v>
      </c>
      <c r="C146" s="72"/>
      <c r="D146" s="523" t="s">
        <v>3394</v>
      </c>
    </row>
    <row r="147">
      <c r="A147" s="524">
        <v>1.0</v>
      </c>
      <c r="B147" s="524" t="s">
        <v>3528</v>
      </c>
      <c r="C147" s="528"/>
      <c r="D147" s="524" t="s">
        <v>3529</v>
      </c>
    </row>
    <row r="148">
      <c r="A148" s="524">
        <v>2.0</v>
      </c>
      <c r="B148" s="524" t="s">
        <v>3530</v>
      </c>
      <c r="C148" s="528"/>
      <c r="D148" s="524" t="s">
        <v>3531</v>
      </c>
    </row>
    <row r="149">
      <c r="A149" s="524">
        <v>3.0</v>
      </c>
      <c r="B149" s="524" t="s">
        <v>3532</v>
      </c>
      <c r="C149" s="528"/>
      <c r="D149" s="524" t="s">
        <v>3533</v>
      </c>
    </row>
    <row r="150">
      <c r="A150" s="524">
        <v>4.0</v>
      </c>
      <c r="B150" s="524" t="s">
        <v>3063</v>
      </c>
      <c r="C150" s="528"/>
      <c r="D150" s="524" t="s">
        <v>3534</v>
      </c>
    </row>
    <row r="151">
      <c r="A151" s="524">
        <v>5.0</v>
      </c>
      <c r="B151" s="524" t="s">
        <v>3535</v>
      </c>
      <c r="C151" s="528"/>
      <c r="D151" s="524" t="s">
        <v>3536</v>
      </c>
    </row>
    <row r="152">
      <c r="A152" s="531"/>
      <c r="B152" s="532"/>
      <c r="C152" s="532"/>
      <c r="D152" s="532"/>
    </row>
    <row r="153">
      <c r="A153" s="533"/>
    </row>
    <row r="154">
      <c r="A154" s="534"/>
    </row>
    <row r="155">
      <c r="A155" s="534"/>
    </row>
    <row r="156">
      <c r="A156" s="535"/>
      <c r="B156" s="535"/>
      <c r="C156" s="535"/>
      <c r="D156" s="535"/>
    </row>
    <row r="157">
      <c r="A157" s="516"/>
      <c r="B157" s="516"/>
      <c r="C157" s="516"/>
      <c r="D157" s="516"/>
    </row>
    <row r="158">
      <c r="A158" s="516"/>
      <c r="B158" s="516"/>
      <c r="C158" s="516"/>
      <c r="D158" s="516"/>
    </row>
    <row r="159">
      <c r="A159" s="516"/>
      <c r="B159" s="516"/>
      <c r="C159" s="516"/>
      <c r="D159" s="516"/>
    </row>
    <row r="160">
      <c r="A160" s="516"/>
      <c r="B160" s="516"/>
      <c r="C160" s="516"/>
      <c r="D160" s="516"/>
    </row>
    <row r="161">
      <c r="A161" s="516"/>
      <c r="B161" s="516"/>
      <c r="C161" s="516"/>
      <c r="D161" s="516"/>
    </row>
    <row r="162">
      <c r="A162" s="516"/>
      <c r="B162" s="516"/>
      <c r="C162" s="516"/>
      <c r="D162" s="516"/>
    </row>
    <row r="163">
      <c r="A163" s="533"/>
    </row>
    <row r="164">
      <c r="A164" s="534"/>
    </row>
    <row r="165">
      <c r="A165" s="534"/>
    </row>
    <row r="166">
      <c r="A166" s="535"/>
      <c r="B166" s="535"/>
      <c r="C166" s="535"/>
      <c r="D166" s="535"/>
    </row>
    <row r="167">
      <c r="A167" s="516"/>
      <c r="B167" s="516"/>
      <c r="C167" s="516"/>
      <c r="D167" s="516"/>
    </row>
    <row r="168">
      <c r="A168" s="516"/>
      <c r="B168" s="516"/>
      <c r="C168" s="516"/>
      <c r="D168" s="516"/>
    </row>
    <row r="169">
      <c r="A169" s="516"/>
      <c r="B169" s="516"/>
      <c r="C169" s="516"/>
      <c r="D169" s="516"/>
    </row>
    <row r="170">
      <c r="A170" s="516"/>
      <c r="B170" s="516"/>
      <c r="C170" s="516"/>
      <c r="D170" s="516"/>
    </row>
    <row r="171">
      <c r="A171" s="516"/>
      <c r="B171" s="516"/>
      <c r="C171" s="516"/>
      <c r="D171" s="516"/>
    </row>
    <row r="172">
      <c r="A172" s="516"/>
      <c r="B172" s="516"/>
      <c r="C172" s="516"/>
      <c r="D172" s="516"/>
    </row>
    <row r="173">
      <c r="A173" s="533"/>
    </row>
    <row r="174">
      <c r="A174" s="534"/>
    </row>
    <row r="175">
      <c r="A175" s="534"/>
    </row>
    <row r="176">
      <c r="A176" s="535"/>
      <c r="B176" s="535"/>
      <c r="C176" s="535"/>
      <c r="D176" s="535"/>
    </row>
    <row r="177">
      <c r="A177" s="516"/>
      <c r="B177" s="516"/>
      <c r="C177" s="516"/>
      <c r="D177" s="516"/>
    </row>
    <row r="178">
      <c r="A178" s="516"/>
      <c r="B178" s="516"/>
      <c r="C178" s="516"/>
      <c r="D178" s="516"/>
    </row>
    <row r="179">
      <c r="A179" s="516"/>
      <c r="B179" s="516"/>
      <c r="C179" s="516"/>
      <c r="D179" s="516"/>
    </row>
    <row r="180">
      <c r="A180" s="516"/>
      <c r="B180" s="516"/>
      <c r="C180" s="516"/>
      <c r="D180" s="516"/>
    </row>
    <row r="181">
      <c r="A181" s="516"/>
      <c r="B181" s="516"/>
      <c r="C181" s="516"/>
      <c r="D181" s="516"/>
    </row>
    <row r="182">
      <c r="A182" s="516"/>
      <c r="B182" s="516"/>
      <c r="C182" s="516"/>
      <c r="D182" s="516"/>
    </row>
    <row r="183">
      <c r="A183" s="533"/>
    </row>
    <row r="184">
      <c r="A184" s="534"/>
    </row>
    <row r="185">
      <c r="A185" s="534"/>
    </row>
    <row r="186">
      <c r="A186" s="535"/>
      <c r="B186" s="535"/>
      <c r="C186" s="535"/>
      <c r="D186" s="535"/>
    </row>
    <row r="187">
      <c r="A187" s="516"/>
      <c r="B187" s="516"/>
      <c r="C187" s="516"/>
      <c r="D187" s="516"/>
    </row>
    <row r="188">
      <c r="A188" s="516"/>
      <c r="B188" s="516"/>
      <c r="C188" s="516"/>
      <c r="D188" s="516"/>
    </row>
    <row r="189">
      <c r="A189" s="516"/>
      <c r="B189" s="516"/>
      <c r="C189" s="516"/>
      <c r="D189" s="516"/>
    </row>
    <row r="190">
      <c r="A190" s="516"/>
      <c r="B190" s="516"/>
      <c r="C190" s="516"/>
      <c r="D190" s="516"/>
    </row>
    <row r="191">
      <c r="A191" s="516"/>
      <c r="B191" s="516"/>
      <c r="C191" s="516"/>
      <c r="D191" s="516"/>
    </row>
    <row r="192">
      <c r="A192" s="516"/>
      <c r="B192" s="516"/>
      <c r="C192" s="516"/>
      <c r="D192" s="516"/>
    </row>
    <row r="193">
      <c r="A193" s="533"/>
    </row>
    <row r="194">
      <c r="A194" s="534"/>
    </row>
    <row r="195">
      <c r="A195" s="534"/>
    </row>
    <row r="196">
      <c r="A196" s="535"/>
      <c r="B196" s="535"/>
      <c r="C196" s="535"/>
      <c r="D196" s="535"/>
    </row>
    <row r="197">
      <c r="A197" s="516"/>
      <c r="B197" s="516"/>
      <c r="C197" s="516"/>
      <c r="D197" s="516"/>
    </row>
    <row r="198">
      <c r="A198" s="516"/>
      <c r="B198" s="516"/>
      <c r="C198" s="516"/>
      <c r="D198" s="516"/>
    </row>
    <row r="199">
      <c r="A199" s="516"/>
      <c r="B199" s="516"/>
      <c r="C199" s="516"/>
      <c r="D199" s="516"/>
    </row>
    <row r="200">
      <c r="A200" s="516"/>
      <c r="B200" s="516"/>
      <c r="C200" s="516"/>
      <c r="D200" s="516"/>
    </row>
    <row r="201">
      <c r="A201" s="516"/>
      <c r="B201" s="516"/>
      <c r="C201" s="516"/>
      <c r="D201" s="516"/>
    </row>
    <row r="202">
      <c r="A202" s="516"/>
      <c r="B202" s="516"/>
      <c r="C202" s="516"/>
      <c r="D202" s="516"/>
    </row>
    <row r="203">
      <c r="A203" s="533"/>
    </row>
    <row r="204">
      <c r="A204" s="534"/>
    </row>
    <row r="205">
      <c r="A205" s="534"/>
    </row>
    <row r="206">
      <c r="A206" s="535"/>
      <c r="B206" s="535"/>
      <c r="C206" s="535"/>
      <c r="D206" s="535"/>
    </row>
    <row r="207">
      <c r="A207" s="516"/>
      <c r="B207" s="516"/>
      <c r="C207" s="516"/>
      <c r="D207" s="516"/>
    </row>
    <row r="208">
      <c r="A208" s="516"/>
      <c r="B208" s="516"/>
      <c r="C208" s="516"/>
      <c r="D208" s="516"/>
    </row>
    <row r="209">
      <c r="A209" s="516"/>
      <c r="B209" s="516"/>
      <c r="C209" s="516"/>
      <c r="D209" s="516"/>
    </row>
    <row r="210">
      <c r="A210" s="516"/>
      <c r="B210" s="516"/>
      <c r="C210" s="516"/>
      <c r="D210" s="516"/>
    </row>
    <row r="211">
      <c r="A211" s="516"/>
      <c r="B211" s="516"/>
      <c r="C211" s="516"/>
      <c r="D211" s="516"/>
    </row>
    <row r="212">
      <c r="A212" s="516"/>
      <c r="B212" s="516"/>
      <c r="C212" s="516"/>
      <c r="D212" s="516"/>
    </row>
    <row r="213">
      <c r="A213" s="533"/>
    </row>
    <row r="214">
      <c r="A214" s="534"/>
    </row>
    <row r="215">
      <c r="A215" s="534"/>
    </row>
    <row r="216">
      <c r="A216" s="535"/>
      <c r="B216" s="535"/>
      <c r="C216" s="535"/>
      <c r="D216" s="535"/>
    </row>
    <row r="217">
      <c r="A217" s="516"/>
      <c r="B217" s="516"/>
      <c r="C217" s="516"/>
      <c r="D217" s="516"/>
    </row>
    <row r="218">
      <c r="A218" s="516"/>
      <c r="B218" s="516"/>
      <c r="C218" s="516"/>
      <c r="D218" s="516"/>
    </row>
    <row r="219">
      <c r="A219" s="516"/>
      <c r="B219" s="516"/>
      <c r="C219" s="516"/>
      <c r="D219" s="516"/>
    </row>
    <row r="220">
      <c r="A220" s="516"/>
      <c r="B220" s="516"/>
      <c r="C220" s="516"/>
      <c r="D220" s="516"/>
    </row>
    <row r="221">
      <c r="A221" s="516"/>
      <c r="B221" s="516"/>
      <c r="C221" s="516"/>
      <c r="D221" s="516"/>
    </row>
    <row r="222">
      <c r="A222" s="516"/>
      <c r="B222" s="516"/>
      <c r="C222" s="516"/>
      <c r="D222" s="516"/>
    </row>
    <row r="223">
      <c r="A223" s="533"/>
    </row>
    <row r="224">
      <c r="A224" s="534"/>
    </row>
    <row r="225">
      <c r="A225" s="534"/>
    </row>
    <row r="226">
      <c r="A226" s="535"/>
      <c r="B226" s="535"/>
      <c r="C226" s="535"/>
      <c r="D226" s="535"/>
    </row>
    <row r="227">
      <c r="A227" s="516"/>
      <c r="B227" s="516"/>
      <c r="C227" s="516"/>
      <c r="D227" s="516"/>
    </row>
    <row r="228">
      <c r="A228" s="516"/>
      <c r="B228" s="516"/>
      <c r="C228" s="516"/>
      <c r="D228" s="516"/>
    </row>
    <row r="229">
      <c r="A229" s="516"/>
      <c r="B229" s="516"/>
      <c r="C229" s="516"/>
      <c r="D229" s="516"/>
    </row>
    <row r="230">
      <c r="A230" s="516"/>
      <c r="B230" s="516"/>
      <c r="C230" s="516"/>
      <c r="D230" s="516"/>
    </row>
    <row r="231">
      <c r="A231" s="516"/>
      <c r="B231" s="516"/>
      <c r="C231" s="516"/>
      <c r="D231" s="516"/>
    </row>
    <row r="232">
      <c r="A232" s="516"/>
      <c r="B232" s="516"/>
      <c r="C232" s="516"/>
      <c r="D232" s="516"/>
    </row>
    <row r="233">
      <c r="A233" s="533"/>
    </row>
    <row r="234">
      <c r="A234" s="534"/>
    </row>
    <row r="235">
      <c r="A235" s="534"/>
    </row>
    <row r="236">
      <c r="A236" s="535"/>
      <c r="B236" s="535"/>
      <c r="C236" s="535"/>
      <c r="D236" s="535"/>
    </row>
    <row r="237">
      <c r="A237" s="516"/>
      <c r="B237" s="516"/>
      <c r="C237" s="516"/>
      <c r="D237" s="516"/>
    </row>
    <row r="238">
      <c r="A238" s="516"/>
      <c r="B238" s="516"/>
      <c r="C238" s="516"/>
      <c r="D238" s="516"/>
    </row>
    <row r="239">
      <c r="A239" s="516"/>
      <c r="B239" s="516"/>
      <c r="C239" s="516"/>
      <c r="D239" s="516"/>
    </row>
    <row r="240">
      <c r="A240" s="516"/>
      <c r="B240" s="516"/>
      <c r="C240" s="516"/>
      <c r="D240" s="516"/>
    </row>
    <row r="241">
      <c r="A241" s="516"/>
      <c r="B241" s="516"/>
      <c r="C241" s="516"/>
      <c r="D241" s="516"/>
    </row>
    <row r="242">
      <c r="A242" s="516"/>
      <c r="B242" s="516"/>
      <c r="C242" s="516"/>
      <c r="D242" s="516"/>
    </row>
    <row r="243">
      <c r="A243" s="533"/>
    </row>
    <row r="244">
      <c r="A244" s="534"/>
    </row>
    <row r="245">
      <c r="A245" s="534"/>
    </row>
    <row r="246">
      <c r="A246" s="535"/>
      <c r="B246" s="535"/>
      <c r="C246" s="535"/>
      <c r="D246" s="535"/>
    </row>
    <row r="247">
      <c r="A247" s="516"/>
      <c r="B247" s="516"/>
      <c r="C247" s="516"/>
      <c r="D247" s="516"/>
    </row>
    <row r="248">
      <c r="A248" s="516"/>
      <c r="B248" s="516"/>
      <c r="C248" s="516"/>
      <c r="D248" s="516"/>
    </row>
    <row r="249">
      <c r="A249" s="516"/>
      <c r="B249" s="516"/>
      <c r="C249" s="516"/>
      <c r="D249" s="516"/>
    </row>
    <row r="250">
      <c r="A250" s="516"/>
      <c r="B250" s="516"/>
      <c r="C250" s="516"/>
      <c r="D250" s="516"/>
    </row>
    <row r="251">
      <c r="A251" s="516"/>
      <c r="B251" s="516"/>
      <c r="C251" s="516"/>
      <c r="D251" s="516"/>
    </row>
    <row r="252">
      <c r="A252" s="516"/>
      <c r="B252" s="516"/>
      <c r="C252" s="516"/>
      <c r="D252" s="516"/>
    </row>
    <row r="253">
      <c r="A253" s="533"/>
    </row>
    <row r="254">
      <c r="A254" s="534"/>
    </row>
    <row r="255">
      <c r="A255" s="534"/>
    </row>
    <row r="256">
      <c r="A256" s="535"/>
      <c r="B256" s="535"/>
      <c r="C256" s="535"/>
      <c r="D256" s="535"/>
    </row>
    <row r="257">
      <c r="A257" s="516"/>
      <c r="B257" s="516"/>
      <c r="C257" s="516"/>
      <c r="D257" s="516"/>
    </row>
    <row r="258">
      <c r="A258" s="516"/>
      <c r="B258" s="516"/>
      <c r="C258" s="516"/>
      <c r="D258" s="516"/>
    </row>
    <row r="259">
      <c r="A259" s="516"/>
      <c r="B259" s="516"/>
      <c r="C259" s="516"/>
      <c r="D259" s="516"/>
    </row>
    <row r="260">
      <c r="A260" s="516"/>
      <c r="B260" s="516"/>
      <c r="C260" s="516"/>
      <c r="D260" s="516"/>
    </row>
    <row r="261">
      <c r="A261" s="516"/>
      <c r="B261" s="516"/>
      <c r="C261" s="516"/>
      <c r="D261" s="516"/>
    </row>
    <row r="262">
      <c r="A262" s="516"/>
      <c r="B262" s="516"/>
      <c r="C262" s="516"/>
      <c r="D262" s="516"/>
    </row>
    <row r="263">
      <c r="A263" s="533"/>
    </row>
    <row r="264">
      <c r="A264" s="534"/>
    </row>
    <row r="265">
      <c r="A265" s="534"/>
    </row>
    <row r="266">
      <c r="A266" s="535"/>
      <c r="B266" s="535"/>
      <c r="C266" s="535"/>
      <c r="D266" s="535"/>
    </row>
    <row r="267">
      <c r="A267" s="516"/>
      <c r="B267" s="516"/>
      <c r="C267" s="516"/>
      <c r="D267" s="516"/>
    </row>
    <row r="268">
      <c r="A268" s="516"/>
      <c r="B268" s="516"/>
      <c r="C268" s="516"/>
      <c r="D268" s="516"/>
    </row>
    <row r="269">
      <c r="A269" s="516"/>
      <c r="B269" s="516"/>
      <c r="C269" s="516"/>
      <c r="D269" s="516"/>
    </row>
    <row r="270">
      <c r="A270" s="516"/>
      <c r="B270" s="516"/>
      <c r="C270" s="516"/>
      <c r="D270" s="516"/>
    </row>
    <row r="271">
      <c r="A271" s="516"/>
      <c r="B271" s="516"/>
      <c r="C271" s="516"/>
      <c r="D271" s="516"/>
    </row>
    <row r="272">
      <c r="A272" s="516"/>
      <c r="B272" s="516"/>
      <c r="C272" s="516"/>
      <c r="D272" s="516"/>
    </row>
    <row r="273">
      <c r="A273" s="533"/>
    </row>
    <row r="274">
      <c r="A274" s="534"/>
    </row>
    <row r="275">
      <c r="A275" s="534"/>
    </row>
    <row r="276">
      <c r="A276" s="535"/>
      <c r="B276" s="535"/>
      <c r="C276" s="535"/>
      <c r="D276" s="535"/>
    </row>
    <row r="277">
      <c r="A277" s="516"/>
      <c r="B277" s="516"/>
      <c r="C277" s="516"/>
      <c r="D277" s="516"/>
    </row>
    <row r="278">
      <c r="A278" s="516"/>
      <c r="B278" s="516"/>
      <c r="C278" s="516"/>
      <c r="D278" s="516"/>
    </row>
    <row r="279">
      <c r="A279" s="516"/>
      <c r="B279" s="516"/>
      <c r="C279" s="516"/>
      <c r="D279" s="516"/>
    </row>
    <row r="280">
      <c r="A280" s="516"/>
      <c r="B280" s="516"/>
      <c r="C280" s="516"/>
      <c r="D280" s="516"/>
    </row>
    <row r="281">
      <c r="A281" s="516"/>
      <c r="B281" s="516"/>
      <c r="C281" s="516"/>
      <c r="D281" s="516"/>
    </row>
    <row r="282">
      <c r="A282" s="516"/>
      <c r="B282" s="516"/>
      <c r="C282" s="516"/>
      <c r="D282" s="516"/>
    </row>
    <row r="283">
      <c r="A283" s="533"/>
    </row>
    <row r="284">
      <c r="A284" s="534"/>
    </row>
    <row r="285">
      <c r="A285" s="534"/>
    </row>
    <row r="286">
      <c r="A286" s="535"/>
      <c r="B286" s="535"/>
      <c r="C286" s="535"/>
      <c r="D286" s="535"/>
    </row>
    <row r="287">
      <c r="A287" s="516"/>
      <c r="B287" s="516"/>
      <c r="C287" s="516"/>
      <c r="D287" s="516"/>
    </row>
    <row r="288">
      <c r="A288" s="516"/>
      <c r="B288" s="516"/>
      <c r="C288" s="516"/>
      <c r="D288" s="516"/>
    </row>
    <row r="289">
      <c r="A289" s="516"/>
      <c r="B289" s="516"/>
      <c r="C289" s="516"/>
      <c r="D289" s="516"/>
    </row>
    <row r="290">
      <c r="A290" s="516"/>
      <c r="B290" s="516"/>
      <c r="C290" s="516"/>
      <c r="D290" s="516"/>
    </row>
    <row r="291">
      <c r="A291" s="516"/>
      <c r="B291" s="516"/>
      <c r="C291" s="516"/>
      <c r="D291" s="516"/>
    </row>
    <row r="292">
      <c r="A292" s="516"/>
      <c r="B292" s="516"/>
      <c r="C292" s="516"/>
      <c r="D292" s="516"/>
    </row>
    <row r="293">
      <c r="A293" s="533"/>
    </row>
    <row r="294">
      <c r="A294" s="534"/>
    </row>
    <row r="295">
      <c r="A295" s="534"/>
    </row>
    <row r="296">
      <c r="A296" s="535"/>
      <c r="B296" s="535"/>
      <c r="C296" s="535"/>
      <c r="D296" s="535"/>
    </row>
    <row r="297">
      <c r="A297" s="516"/>
      <c r="B297" s="516"/>
      <c r="C297" s="516"/>
      <c r="D297" s="516"/>
    </row>
    <row r="298">
      <c r="A298" s="516"/>
      <c r="B298" s="516"/>
      <c r="C298" s="516"/>
      <c r="D298" s="516"/>
    </row>
    <row r="299">
      <c r="A299" s="516"/>
      <c r="B299" s="516"/>
      <c r="C299" s="516"/>
      <c r="D299" s="516"/>
    </row>
    <row r="300">
      <c r="A300" s="516"/>
      <c r="B300" s="516"/>
      <c r="C300" s="516"/>
      <c r="D300" s="516"/>
    </row>
    <row r="301">
      <c r="A301" s="516"/>
      <c r="B301" s="516"/>
      <c r="C301" s="516"/>
      <c r="D301" s="516"/>
    </row>
  </sheetData>
  <mergeCells count="106">
    <mergeCell ref="A123:D123"/>
    <mergeCell ref="A124:D124"/>
    <mergeCell ref="A125:D125"/>
    <mergeCell ref="B126:C126"/>
    <mergeCell ref="A133:D133"/>
    <mergeCell ref="A134:D134"/>
    <mergeCell ref="A135:D135"/>
    <mergeCell ref="B136:C136"/>
    <mergeCell ref="A143:D143"/>
    <mergeCell ref="A144:D144"/>
    <mergeCell ref="A145:D145"/>
    <mergeCell ref="B146:C146"/>
    <mergeCell ref="A153:D153"/>
    <mergeCell ref="A154:D154"/>
    <mergeCell ref="A155:D155"/>
    <mergeCell ref="A163:D163"/>
    <mergeCell ref="A164:D164"/>
    <mergeCell ref="A165:D165"/>
    <mergeCell ref="A173:D173"/>
    <mergeCell ref="A174:D174"/>
    <mergeCell ref="A175:D175"/>
    <mergeCell ref="A183:D183"/>
    <mergeCell ref="A184:D184"/>
    <mergeCell ref="A185:D185"/>
    <mergeCell ref="A193:D193"/>
    <mergeCell ref="A194:D194"/>
    <mergeCell ref="A195:D195"/>
    <mergeCell ref="A203:D203"/>
    <mergeCell ref="A204:D204"/>
    <mergeCell ref="A205:D205"/>
    <mergeCell ref="A213:D213"/>
    <mergeCell ref="A214:D214"/>
    <mergeCell ref="A215:D215"/>
    <mergeCell ref="A223:D223"/>
    <mergeCell ref="A224:D224"/>
    <mergeCell ref="A225:D225"/>
    <mergeCell ref="A233:D233"/>
    <mergeCell ref="A234:D234"/>
    <mergeCell ref="A235:D235"/>
    <mergeCell ref="A243:D243"/>
    <mergeCell ref="A244:D244"/>
    <mergeCell ref="A245:D245"/>
    <mergeCell ref="A274:D274"/>
    <mergeCell ref="A275:D275"/>
    <mergeCell ref="A283:D283"/>
    <mergeCell ref="A284:D284"/>
    <mergeCell ref="A285:D285"/>
    <mergeCell ref="A293:D293"/>
    <mergeCell ref="A294:D294"/>
    <mergeCell ref="A295:D295"/>
    <mergeCell ref="A253:D253"/>
    <mergeCell ref="A254:D254"/>
    <mergeCell ref="A255:D255"/>
    <mergeCell ref="A263:D263"/>
    <mergeCell ref="A264:D264"/>
    <mergeCell ref="A265:D265"/>
    <mergeCell ref="A273:D273"/>
    <mergeCell ref="A2:D2"/>
    <mergeCell ref="A3:D3"/>
    <mergeCell ref="A4:D4"/>
    <mergeCell ref="A5:D5"/>
    <mergeCell ref="B6:C6"/>
    <mergeCell ref="A13:D13"/>
    <mergeCell ref="A14:D14"/>
    <mergeCell ref="A15:D15"/>
    <mergeCell ref="B16:C16"/>
    <mergeCell ref="A23:D23"/>
    <mergeCell ref="A24:D24"/>
    <mergeCell ref="A25:D25"/>
    <mergeCell ref="B26:C26"/>
    <mergeCell ref="A33:D33"/>
    <mergeCell ref="A34:D34"/>
    <mergeCell ref="A35:D35"/>
    <mergeCell ref="B36:C36"/>
    <mergeCell ref="A43:D43"/>
    <mergeCell ref="A44:D44"/>
    <mergeCell ref="A45:D45"/>
    <mergeCell ref="B46:C46"/>
    <mergeCell ref="A53:D53"/>
    <mergeCell ref="A54:D54"/>
    <mergeCell ref="A55:D55"/>
    <mergeCell ref="B56:C56"/>
    <mergeCell ref="A63:D63"/>
    <mergeCell ref="A64:D64"/>
    <mergeCell ref="A65:D65"/>
    <mergeCell ref="B66:C66"/>
    <mergeCell ref="A73:D73"/>
    <mergeCell ref="A74:D74"/>
    <mergeCell ref="A75:D75"/>
    <mergeCell ref="B76:C76"/>
    <mergeCell ref="A83:D83"/>
    <mergeCell ref="A84:D84"/>
    <mergeCell ref="A85:D85"/>
    <mergeCell ref="B86:C86"/>
    <mergeCell ref="A93:D93"/>
    <mergeCell ref="A94:D94"/>
    <mergeCell ref="A95:D95"/>
    <mergeCell ref="B96:C96"/>
    <mergeCell ref="A103:D103"/>
    <mergeCell ref="A104:D104"/>
    <mergeCell ref="A105:D105"/>
    <mergeCell ref="B106:C106"/>
    <mergeCell ref="A113:D113"/>
    <mergeCell ref="A114:D114"/>
    <mergeCell ref="A115:D115"/>
    <mergeCell ref="B116:C116"/>
  </mergeCells>
  <hyperlinks>
    <hyperlink r:id="rId1" ref="A6"/>
    <hyperlink r:id="rId2" ref="A16"/>
    <hyperlink r:id="rId3" ref="A26"/>
    <hyperlink r:id="rId4" ref="A36"/>
    <hyperlink r:id="rId5" ref="A46"/>
    <hyperlink r:id="rId6" ref="A56"/>
    <hyperlink r:id="rId7" ref="A66"/>
    <hyperlink r:id="rId8" ref="A76"/>
    <hyperlink r:id="rId9" ref="A86"/>
    <hyperlink r:id="rId10" ref="A96"/>
    <hyperlink r:id="rId11" ref="A106"/>
    <hyperlink r:id="rId12" ref="A116"/>
    <hyperlink r:id="rId13" ref="A126"/>
    <hyperlink r:id="rId14" ref="A136"/>
    <hyperlink r:id="rId15" ref="A146"/>
  </hyperlinks>
  <drawing r:id="rId16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36" t="s">
        <v>3537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>
      <c r="A2" s="537" t="s">
        <v>3538</v>
      </c>
    </row>
    <row r="4">
      <c r="A4" s="538" t="s">
        <v>3539</v>
      </c>
    </row>
    <row r="6">
      <c r="A6" s="539" t="s">
        <v>3540</v>
      </c>
      <c r="B6" s="540" t="s">
        <v>3541</v>
      </c>
      <c r="C6" s="71"/>
      <c r="D6" s="72"/>
      <c r="E6" s="540" t="s">
        <v>230</v>
      </c>
      <c r="F6" s="71"/>
      <c r="G6" s="71"/>
      <c r="H6" s="72"/>
      <c r="I6" s="540" t="s">
        <v>231</v>
      </c>
      <c r="J6" s="71"/>
      <c r="K6" s="71"/>
      <c r="L6" s="72"/>
      <c r="M6" s="540" t="s">
        <v>149</v>
      </c>
      <c r="N6" s="72"/>
    </row>
    <row r="7">
      <c r="A7" s="111">
        <v>1.0</v>
      </c>
      <c r="B7" s="541" t="s">
        <v>3542</v>
      </c>
      <c r="C7" s="198"/>
      <c r="D7" s="199"/>
      <c r="E7" s="542">
        <v>7.0</v>
      </c>
      <c r="F7" s="71"/>
      <c r="G7" s="71"/>
      <c r="H7" s="72"/>
      <c r="I7" s="541" t="s">
        <v>3543</v>
      </c>
      <c r="J7" s="198"/>
      <c r="K7" s="198"/>
      <c r="L7" s="199"/>
      <c r="M7" s="542" t="s">
        <v>3544</v>
      </c>
      <c r="N7" s="72"/>
    </row>
    <row r="8">
      <c r="A8" s="111">
        <v>2.0</v>
      </c>
      <c r="B8" s="543"/>
      <c r="D8" s="294"/>
      <c r="E8" s="542">
        <v>36.0</v>
      </c>
      <c r="F8" s="71"/>
      <c r="G8" s="71"/>
      <c r="H8" s="72"/>
      <c r="I8" s="543"/>
      <c r="L8" s="294"/>
      <c r="M8" s="542" t="s">
        <v>868</v>
      </c>
      <c r="N8" s="72"/>
    </row>
    <row r="9">
      <c r="A9" s="111">
        <v>3.0</v>
      </c>
      <c r="B9" s="543"/>
      <c r="D9" s="294"/>
      <c r="E9" s="542">
        <v>65.0</v>
      </c>
      <c r="F9" s="71"/>
      <c r="G9" s="71"/>
      <c r="H9" s="72"/>
      <c r="I9" s="543"/>
      <c r="L9" s="294"/>
      <c r="M9" s="542" t="s">
        <v>861</v>
      </c>
      <c r="N9" s="72"/>
    </row>
    <row r="10">
      <c r="A10" s="111">
        <v>4.0</v>
      </c>
      <c r="B10" s="543"/>
      <c r="D10" s="294"/>
      <c r="E10" s="542">
        <v>78.0</v>
      </c>
      <c r="F10" s="71"/>
      <c r="G10" s="71"/>
      <c r="H10" s="72"/>
      <c r="I10" s="543"/>
      <c r="L10" s="294"/>
      <c r="M10" s="542" t="s">
        <v>3545</v>
      </c>
      <c r="N10" s="72"/>
    </row>
    <row r="11">
      <c r="A11" s="111">
        <v>5.0</v>
      </c>
      <c r="B11" s="202"/>
      <c r="C11" s="203"/>
      <c r="D11" s="204"/>
      <c r="E11" s="542">
        <v>83.0</v>
      </c>
      <c r="F11" s="71"/>
      <c r="G11" s="71"/>
      <c r="H11" s="72"/>
      <c r="I11" s="202"/>
      <c r="J11" s="203"/>
      <c r="K11" s="203"/>
      <c r="L11" s="204"/>
      <c r="M11" s="542" t="s">
        <v>2234</v>
      </c>
      <c r="N11" s="72"/>
    </row>
    <row r="12">
      <c r="A12" s="544" t="s">
        <v>3546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</row>
    <row r="14">
      <c r="A14" s="539" t="s">
        <v>3540</v>
      </c>
      <c r="B14" s="540" t="s">
        <v>3541</v>
      </c>
      <c r="C14" s="71"/>
      <c r="D14" s="72"/>
      <c r="E14" s="540" t="s">
        <v>230</v>
      </c>
      <c r="F14" s="71"/>
      <c r="G14" s="71"/>
      <c r="H14" s="72"/>
      <c r="I14" s="540" t="s">
        <v>231</v>
      </c>
      <c r="J14" s="71"/>
      <c r="K14" s="71"/>
      <c r="L14" s="72"/>
      <c r="M14" s="540" t="s">
        <v>149</v>
      </c>
      <c r="N14" s="72"/>
    </row>
    <row r="15">
      <c r="A15" s="111">
        <v>1.0</v>
      </c>
      <c r="B15" s="541" t="s">
        <v>3547</v>
      </c>
      <c r="C15" s="198"/>
      <c r="D15" s="199"/>
      <c r="E15" s="545" t="s">
        <v>3548</v>
      </c>
      <c r="F15" s="71"/>
      <c r="G15" s="71"/>
      <c r="H15" s="72"/>
      <c r="I15" s="541" t="s">
        <v>3271</v>
      </c>
      <c r="J15" s="198"/>
      <c r="K15" s="198"/>
      <c r="L15" s="199"/>
      <c r="M15" s="542" t="s">
        <v>686</v>
      </c>
      <c r="N15" s="72"/>
    </row>
    <row r="16">
      <c r="A16" s="111">
        <v>2.0</v>
      </c>
      <c r="B16" s="543"/>
      <c r="D16" s="294"/>
      <c r="E16" s="545" t="s">
        <v>790</v>
      </c>
      <c r="F16" s="71"/>
      <c r="G16" s="71"/>
      <c r="H16" s="72"/>
      <c r="I16" s="543"/>
      <c r="L16" s="294"/>
      <c r="M16" s="542" t="s">
        <v>592</v>
      </c>
      <c r="N16" s="72"/>
    </row>
    <row r="17">
      <c r="A17" s="111">
        <v>3.0</v>
      </c>
      <c r="B17" s="543"/>
      <c r="D17" s="294"/>
      <c r="E17" s="545" t="s">
        <v>3549</v>
      </c>
      <c r="F17" s="71"/>
      <c r="G17" s="71"/>
      <c r="H17" s="72"/>
      <c r="I17" s="543"/>
      <c r="L17" s="294"/>
      <c r="M17" s="542" t="s">
        <v>3550</v>
      </c>
      <c r="N17" s="72"/>
    </row>
    <row r="18">
      <c r="A18" s="111">
        <v>4.0</v>
      </c>
      <c r="B18" s="543"/>
      <c r="D18" s="294"/>
      <c r="E18" s="545" t="s">
        <v>3551</v>
      </c>
      <c r="F18" s="71"/>
      <c r="G18" s="71"/>
      <c r="H18" s="72"/>
      <c r="I18" s="543"/>
      <c r="L18" s="294"/>
      <c r="M18" s="542" t="s">
        <v>3552</v>
      </c>
      <c r="N18" s="72"/>
    </row>
    <row r="19">
      <c r="A19" s="111">
        <v>5.0</v>
      </c>
      <c r="B19" s="202"/>
      <c r="C19" s="203"/>
      <c r="D19" s="204"/>
      <c r="E19" s="545" t="s">
        <v>3553</v>
      </c>
      <c r="F19" s="71"/>
      <c r="G19" s="71"/>
      <c r="H19" s="72"/>
      <c r="I19" s="202"/>
      <c r="J19" s="203"/>
      <c r="K19" s="203"/>
      <c r="L19" s="204"/>
      <c r="M19" s="542" t="s">
        <v>3554</v>
      </c>
      <c r="N19" s="72"/>
    </row>
    <row r="20">
      <c r="A20" s="544" t="s">
        <v>3555</v>
      </c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</row>
    <row r="22">
      <c r="A22" s="539" t="s">
        <v>3540</v>
      </c>
      <c r="B22" s="540" t="s">
        <v>3541</v>
      </c>
      <c r="C22" s="71"/>
      <c r="D22" s="72"/>
      <c r="E22" s="540" t="s">
        <v>230</v>
      </c>
      <c r="F22" s="71"/>
      <c r="G22" s="71"/>
      <c r="H22" s="72"/>
      <c r="I22" s="540" t="s">
        <v>231</v>
      </c>
      <c r="J22" s="71"/>
      <c r="K22" s="71"/>
      <c r="L22" s="72"/>
      <c r="M22" s="540" t="s">
        <v>149</v>
      </c>
      <c r="N22" s="72"/>
    </row>
    <row r="23">
      <c r="A23" s="111">
        <v>1.0</v>
      </c>
      <c r="B23" s="541" t="s">
        <v>3556</v>
      </c>
      <c r="C23" s="198"/>
      <c r="D23" s="199"/>
      <c r="E23" s="545" t="s">
        <v>722</v>
      </c>
      <c r="F23" s="71"/>
      <c r="G23" s="71"/>
      <c r="H23" s="72"/>
      <c r="I23" s="541" t="s">
        <v>3355</v>
      </c>
      <c r="J23" s="198"/>
      <c r="K23" s="198"/>
      <c r="L23" s="199"/>
      <c r="M23" s="542" t="s">
        <v>3557</v>
      </c>
      <c r="N23" s="72"/>
    </row>
    <row r="24">
      <c r="A24" s="111">
        <v>2.0</v>
      </c>
      <c r="B24" s="543"/>
      <c r="D24" s="294"/>
      <c r="E24" s="545" t="s">
        <v>3558</v>
      </c>
      <c r="F24" s="71"/>
      <c r="G24" s="71"/>
      <c r="H24" s="72"/>
      <c r="I24" s="543"/>
      <c r="L24" s="294"/>
      <c r="M24" s="542" t="s">
        <v>3559</v>
      </c>
      <c r="N24" s="72"/>
    </row>
    <row r="25">
      <c r="A25" s="111">
        <v>3.0</v>
      </c>
      <c r="B25" s="543"/>
      <c r="D25" s="294"/>
      <c r="E25" s="545" t="s">
        <v>3560</v>
      </c>
      <c r="F25" s="71"/>
      <c r="G25" s="71"/>
      <c r="H25" s="72"/>
      <c r="I25" s="543"/>
      <c r="L25" s="294"/>
      <c r="M25" s="542" t="s">
        <v>3561</v>
      </c>
      <c r="N25" s="72"/>
    </row>
    <row r="26">
      <c r="A26" s="111">
        <v>4.0</v>
      </c>
      <c r="B26" s="543"/>
      <c r="D26" s="294"/>
      <c r="E26" s="545" t="s">
        <v>3562</v>
      </c>
      <c r="F26" s="71"/>
      <c r="G26" s="71"/>
      <c r="H26" s="72"/>
      <c r="I26" s="543"/>
      <c r="L26" s="294"/>
      <c r="M26" s="542" t="s">
        <v>3563</v>
      </c>
      <c r="N26" s="72"/>
    </row>
    <row r="27">
      <c r="A27" s="111">
        <v>5.0</v>
      </c>
      <c r="B27" s="202"/>
      <c r="C27" s="203"/>
      <c r="D27" s="204"/>
      <c r="E27" s="545" t="s">
        <v>3564</v>
      </c>
      <c r="F27" s="71"/>
      <c r="G27" s="71"/>
      <c r="H27" s="72"/>
      <c r="I27" s="202"/>
      <c r="J27" s="203"/>
      <c r="K27" s="203"/>
      <c r="L27" s="204"/>
      <c r="M27" s="542" t="s">
        <v>3565</v>
      </c>
      <c r="N27" s="72"/>
    </row>
    <row r="28">
      <c r="A28" s="544" t="s">
        <v>3566</v>
      </c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</row>
    <row r="30">
      <c r="A30" s="539" t="s">
        <v>3540</v>
      </c>
      <c r="B30" s="540" t="s">
        <v>3541</v>
      </c>
      <c r="C30" s="71"/>
      <c r="D30" s="72"/>
      <c r="E30" s="540" t="s">
        <v>230</v>
      </c>
      <c r="F30" s="71"/>
      <c r="G30" s="71"/>
      <c r="H30" s="72"/>
      <c r="I30" s="540" t="s">
        <v>231</v>
      </c>
      <c r="J30" s="71"/>
      <c r="K30" s="71"/>
      <c r="L30" s="72"/>
      <c r="M30" s="540" t="s">
        <v>149</v>
      </c>
      <c r="N30" s="72"/>
    </row>
    <row r="31">
      <c r="A31" s="111">
        <v>1.0</v>
      </c>
      <c r="B31" s="541" t="s">
        <v>3567</v>
      </c>
      <c r="C31" s="198"/>
      <c r="D31" s="199"/>
      <c r="E31" s="545" t="s">
        <v>3568</v>
      </c>
      <c r="F31" s="71"/>
      <c r="G31" s="71"/>
      <c r="H31" s="72"/>
      <c r="I31" s="541" t="s">
        <v>3365</v>
      </c>
      <c r="J31" s="198"/>
      <c r="K31" s="198"/>
      <c r="L31" s="199"/>
      <c r="M31" s="542" t="s">
        <v>3569</v>
      </c>
      <c r="N31" s="72"/>
    </row>
    <row r="32">
      <c r="A32" s="111">
        <v>2.0</v>
      </c>
      <c r="B32" s="543"/>
      <c r="D32" s="294"/>
      <c r="E32" s="545" t="s">
        <v>3570</v>
      </c>
      <c r="F32" s="71"/>
      <c r="G32" s="71"/>
      <c r="H32" s="72"/>
      <c r="I32" s="543"/>
      <c r="L32" s="294"/>
      <c r="M32" s="542" t="s">
        <v>3571</v>
      </c>
      <c r="N32" s="72"/>
    </row>
    <row r="33">
      <c r="A33" s="111">
        <v>3.0</v>
      </c>
      <c r="B33" s="543"/>
      <c r="D33" s="294"/>
      <c r="E33" s="545" t="s">
        <v>3572</v>
      </c>
      <c r="F33" s="71"/>
      <c r="G33" s="71"/>
      <c r="H33" s="72"/>
      <c r="I33" s="543"/>
      <c r="L33" s="294"/>
      <c r="M33" s="542" t="s">
        <v>3573</v>
      </c>
      <c r="N33" s="72"/>
    </row>
    <row r="34">
      <c r="A34" s="111">
        <v>4.0</v>
      </c>
      <c r="B34" s="543"/>
      <c r="D34" s="294"/>
      <c r="E34" s="545" t="s">
        <v>3574</v>
      </c>
      <c r="F34" s="71"/>
      <c r="G34" s="71"/>
      <c r="H34" s="72"/>
      <c r="I34" s="543"/>
      <c r="L34" s="294"/>
      <c r="M34" s="542" t="s">
        <v>3575</v>
      </c>
      <c r="N34" s="72"/>
    </row>
    <row r="35">
      <c r="A35" s="111">
        <v>5.0</v>
      </c>
      <c r="B35" s="202"/>
      <c r="C35" s="203"/>
      <c r="D35" s="204"/>
      <c r="E35" s="545" t="s">
        <v>3576</v>
      </c>
      <c r="F35" s="71"/>
      <c r="G35" s="71"/>
      <c r="H35" s="72"/>
      <c r="I35" s="202"/>
      <c r="J35" s="203"/>
      <c r="K35" s="203"/>
      <c r="L35" s="204"/>
      <c r="M35" s="542" t="s">
        <v>3577</v>
      </c>
      <c r="N35" s="72"/>
    </row>
    <row r="36">
      <c r="A36" s="544" t="s">
        <v>3578</v>
      </c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</row>
    <row r="38">
      <c r="A38" s="539" t="s">
        <v>3540</v>
      </c>
      <c r="B38" s="540" t="s">
        <v>3541</v>
      </c>
      <c r="C38" s="71"/>
      <c r="D38" s="72"/>
      <c r="E38" s="540" t="s">
        <v>230</v>
      </c>
      <c r="F38" s="71"/>
      <c r="G38" s="71"/>
      <c r="H38" s="72"/>
      <c r="I38" s="540" t="s">
        <v>231</v>
      </c>
      <c r="J38" s="71"/>
      <c r="K38" s="71"/>
      <c r="L38" s="72"/>
      <c r="M38" s="540" t="s">
        <v>149</v>
      </c>
      <c r="N38" s="72"/>
    </row>
    <row r="39">
      <c r="A39" s="111">
        <v>1.0</v>
      </c>
      <c r="B39" s="541" t="s">
        <v>3579</v>
      </c>
      <c r="C39" s="198"/>
      <c r="D39" s="199"/>
      <c r="E39" s="545" t="s">
        <v>722</v>
      </c>
      <c r="F39" s="71"/>
      <c r="G39" s="71"/>
      <c r="H39" s="72"/>
      <c r="I39" s="541" t="s">
        <v>3580</v>
      </c>
      <c r="J39" s="198"/>
      <c r="K39" s="198"/>
      <c r="L39" s="199"/>
      <c r="M39" s="542">
        <v>4.0</v>
      </c>
      <c r="N39" s="72"/>
    </row>
    <row r="40">
      <c r="A40" s="111">
        <v>2.0</v>
      </c>
      <c r="B40" s="543"/>
      <c r="D40" s="294"/>
      <c r="E40" s="545" t="s">
        <v>3549</v>
      </c>
      <c r="F40" s="71"/>
      <c r="G40" s="71"/>
      <c r="H40" s="72"/>
      <c r="I40" s="543"/>
      <c r="L40" s="294"/>
      <c r="M40" s="542">
        <v>2.0</v>
      </c>
      <c r="N40" s="72"/>
    </row>
    <row r="41">
      <c r="A41" s="111">
        <v>3.0</v>
      </c>
      <c r="B41" s="543"/>
      <c r="D41" s="294"/>
      <c r="E41" s="545" t="s">
        <v>822</v>
      </c>
      <c r="F41" s="71"/>
      <c r="G41" s="71"/>
      <c r="H41" s="72"/>
      <c r="I41" s="543"/>
      <c r="L41" s="294"/>
      <c r="M41" s="542">
        <v>3.0</v>
      </c>
      <c r="N41" s="72"/>
    </row>
    <row r="42">
      <c r="A42" s="111">
        <v>4.0</v>
      </c>
      <c r="B42" s="543"/>
      <c r="D42" s="294"/>
      <c r="E42" s="545" t="s">
        <v>3</v>
      </c>
      <c r="F42" s="71"/>
      <c r="G42" s="71"/>
      <c r="H42" s="72"/>
      <c r="I42" s="543"/>
      <c r="L42" s="294"/>
      <c r="M42" s="542">
        <v>1.0</v>
      </c>
      <c r="N42" s="72"/>
    </row>
    <row r="43">
      <c r="A43" s="111">
        <v>5.0</v>
      </c>
      <c r="B43" s="202"/>
      <c r="C43" s="203"/>
      <c r="D43" s="204"/>
      <c r="E43" s="545" t="s">
        <v>1099</v>
      </c>
      <c r="F43" s="71"/>
      <c r="G43" s="71"/>
      <c r="H43" s="72"/>
      <c r="I43" s="202"/>
      <c r="J43" s="203"/>
      <c r="K43" s="203"/>
      <c r="L43" s="204"/>
      <c r="M43" s="542">
        <v>7.0</v>
      </c>
      <c r="N43" s="72"/>
    </row>
    <row r="44">
      <c r="A44" s="544" t="s">
        <v>3581</v>
      </c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</row>
    <row r="46">
      <c r="A46" s="539" t="s">
        <v>3540</v>
      </c>
      <c r="B46" s="540" t="s">
        <v>3541</v>
      </c>
      <c r="C46" s="71"/>
      <c r="D46" s="72"/>
      <c r="E46" s="540" t="s">
        <v>230</v>
      </c>
      <c r="F46" s="71"/>
      <c r="G46" s="71"/>
      <c r="H46" s="72"/>
      <c r="I46" s="540" t="s">
        <v>231</v>
      </c>
      <c r="J46" s="71"/>
      <c r="K46" s="71"/>
      <c r="L46" s="72"/>
      <c r="M46" s="540" t="s">
        <v>149</v>
      </c>
      <c r="N46" s="72"/>
    </row>
    <row r="47">
      <c r="A47" s="111">
        <v>1.0</v>
      </c>
      <c r="B47" s="541" t="s">
        <v>3582</v>
      </c>
      <c r="C47" s="198"/>
      <c r="D47" s="199"/>
      <c r="E47" s="545" t="s">
        <v>835</v>
      </c>
      <c r="F47" s="71"/>
      <c r="G47" s="71"/>
      <c r="H47" s="72"/>
      <c r="I47" s="541" t="s">
        <v>3347</v>
      </c>
      <c r="J47" s="198"/>
      <c r="K47" s="198"/>
      <c r="L47" s="199"/>
      <c r="M47" s="542">
        <v>10.0</v>
      </c>
      <c r="N47" s="72"/>
    </row>
    <row r="48">
      <c r="A48" s="111">
        <v>2.0</v>
      </c>
      <c r="B48" s="543"/>
      <c r="D48" s="294"/>
      <c r="E48" s="545" t="s">
        <v>824</v>
      </c>
      <c r="F48" s="71"/>
      <c r="G48" s="71"/>
      <c r="H48" s="72"/>
      <c r="I48" s="543"/>
      <c r="L48" s="294"/>
      <c r="M48" s="542">
        <v>12.0</v>
      </c>
      <c r="N48" s="72"/>
    </row>
    <row r="49">
      <c r="A49" s="111">
        <v>3.0</v>
      </c>
      <c r="B49" s="543"/>
      <c r="D49" s="294"/>
      <c r="E49" s="545" t="s">
        <v>3125</v>
      </c>
      <c r="F49" s="71"/>
      <c r="G49" s="71"/>
      <c r="H49" s="72"/>
      <c r="I49" s="543"/>
      <c r="L49" s="294"/>
      <c r="M49" s="542">
        <v>11.0</v>
      </c>
      <c r="N49" s="72"/>
    </row>
    <row r="50">
      <c r="A50" s="111">
        <v>4.0</v>
      </c>
      <c r="B50" s="543"/>
      <c r="D50" s="294"/>
      <c r="E50" s="545" t="s">
        <v>3583</v>
      </c>
      <c r="F50" s="71"/>
      <c r="G50" s="71"/>
      <c r="H50" s="72"/>
      <c r="I50" s="543"/>
      <c r="L50" s="294"/>
      <c r="M50" s="542">
        <v>13.0</v>
      </c>
      <c r="N50" s="72"/>
    </row>
    <row r="51">
      <c r="A51" s="111">
        <v>5.0</v>
      </c>
      <c r="B51" s="202"/>
      <c r="C51" s="203"/>
      <c r="D51" s="204"/>
      <c r="E51" s="545" t="s">
        <v>3584</v>
      </c>
      <c r="F51" s="71"/>
      <c r="G51" s="71"/>
      <c r="H51" s="72"/>
      <c r="I51" s="202"/>
      <c r="J51" s="203"/>
      <c r="K51" s="203"/>
      <c r="L51" s="204"/>
      <c r="M51" s="542">
        <v>11.0</v>
      </c>
      <c r="N51" s="72"/>
    </row>
    <row r="52">
      <c r="A52" s="544" t="s">
        <v>3585</v>
      </c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</row>
    <row r="54">
      <c r="A54" s="539" t="s">
        <v>3540</v>
      </c>
      <c r="B54" s="540" t="s">
        <v>3541</v>
      </c>
      <c r="C54" s="71"/>
      <c r="D54" s="72"/>
      <c r="E54" s="540" t="s">
        <v>230</v>
      </c>
      <c r="F54" s="71"/>
      <c r="G54" s="71"/>
      <c r="H54" s="72"/>
      <c r="I54" s="540" t="s">
        <v>231</v>
      </c>
      <c r="J54" s="71"/>
      <c r="K54" s="71"/>
      <c r="L54" s="72"/>
      <c r="M54" s="540" t="s">
        <v>149</v>
      </c>
      <c r="N54" s="72"/>
    </row>
    <row r="55">
      <c r="A55" s="111">
        <v>1.0</v>
      </c>
      <c r="B55" s="541" t="s">
        <v>3586</v>
      </c>
      <c r="C55" s="198"/>
      <c r="D55" s="199"/>
      <c r="E55" s="545" t="s">
        <v>3587</v>
      </c>
      <c r="F55" s="71"/>
      <c r="G55" s="71"/>
      <c r="H55" s="72"/>
      <c r="I55" s="541" t="s">
        <v>3588</v>
      </c>
      <c r="J55" s="198"/>
      <c r="K55" s="198"/>
      <c r="L55" s="199"/>
      <c r="M55" s="542" t="s">
        <v>3589</v>
      </c>
      <c r="N55" s="72"/>
    </row>
    <row r="56">
      <c r="A56" s="111">
        <v>2.0</v>
      </c>
      <c r="B56" s="543"/>
      <c r="D56" s="294"/>
      <c r="E56" s="545" t="s">
        <v>3590</v>
      </c>
      <c r="F56" s="71"/>
      <c r="G56" s="71"/>
      <c r="H56" s="72"/>
      <c r="I56" s="543"/>
      <c r="L56" s="294"/>
      <c r="M56" s="542" t="s">
        <v>3591</v>
      </c>
      <c r="N56" s="72"/>
    </row>
    <row r="57">
      <c r="A57" s="111">
        <v>3.0</v>
      </c>
      <c r="B57" s="543"/>
      <c r="D57" s="294"/>
      <c r="E57" s="545" t="s">
        <v>3592</v>
      </c>
      <c r="F57" s="71"/>
      <c r="G57" s="71"/>
      <c r="H57" s="72"/>
      <c r="I57" s="543"/>
      <c r="L57" s="294"/>
      <c r="M57" s="542" t="s">
        <v>3593</v>
      </c>
      <c r="N57" s="72"/>
    </row>
    <row r="58">
      <c r="A58" s="111">
        <v>4.0</v>
      </c>
      <c r="B58" s="543"/>
      <c r="D58" s="294"/>
      <c r="E58" s="545" t="s">
        <v>3594</v>
      </c>
      <c r="F58" s="71"/>
      <c r="G58" s="71"/>
      <c r="H58" s="72"/>
      <c r="I58" s="543"/>
      <c r="L58" s="294"/>
      <c r="M58" s="542" t="s">
        <v>3595</v>
      </c>
      <c r="N58" s="72"/>
    </row>
    <row r="59">
      <c r="A59" s="111">
        <v>5.0</v>
      </c>
      <c r="B59" s="202"/>
      <c r="C59" s="203"/>
      <c r="D59" s="204"/>
      <c r="E59" s="545" t="s">
        <v>3596</v>
      </c>
      <c r="F59" s="71"/>
      <c r="G59" s="71"/>
      <c r="H59" s="72"/>
      <c r="I59" s="202"/>
      <c r="J59" s="203"/>
      <c r="K59" s="203"/>
      <c r="L59" s="204"/>
      <c r="M59" s="542" t="s">
        <v>3597</v>
      </c>
      <c r="N59" s="72"/>
    </row>
    <row r="60">
      <c r="A60" s="544" t="s">
        <v>3598</v>
      </c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</row>
    <row r="62">
      <c r="A62" s="539" t="s">
        <v>3540</v>
      </c>
      <c r="B62" s="540" t="s">
        <v>3541</v>
      </c>
      <c r="C62" s="71"/>
      <c r="D62" s="72"/>
      <c r="E62" s="540" t="s">
        <v>230</v>
      </c>
      <c r="F62" s="71"/>
      <c r="G62" s="71"/>
      <c r="H62" s="72"/>
      <c r="I62" s="540" t="s">
        <v>231</v>
      </c>
      <c r="J62" s="71"/>
      <c r="K62" s="71"/>
      <c r="L62" s="72"/>
      <c r="M62" s="540" t="s">
        <v>149</v>
      </c>
      <c r="N62" s="72"/>
    </row>
    <row r="63">
      <c r="A63" s="111">
        <v>1.0</v>
      </c>
      <c r="B63" s="541" t="s">
        <v>3599</v>
      </c>
      <c r="C63" s="198"/>
      <c r="D63" s="199"/>
      <c r="E63" s="546" t="s">
        <v>3600</v>
      </c>
      <c r="F63" s="71"/>
      <c r="G63" s="71"/>
      <c r="H63" s="72"/>
      <c r="I63" s="541" t="s">
        <v>3601</v>
      </c>
      <c r="J63" s="198"/>
      <c r="K63" s="198"/>
      <c r="L63" s="199"/>
      <c r="M63" s="547" t="s">
        <v>3602</v>
      </c>
      <c r="N63" s="72"/>
    </row>
    <row r="64">
      <c r="A64" s="111">
        <v>2.0</v>
      </c>
      <c r="B64" s="543"/>
      <c r="D64" s="294"/>
      <c r="E64" s="546" t="s">
        <v>3603</v>
      </c>
      <c r="F64" s="71"/>
      <c r="G64" s="71"/>
      <c r="H64" s="72"/>
      <c r="I64" s="543"/>
      <c r="L64" s="294"/>
      <c r="M64" s="547" t="s">
        <v>3604</v>
      </c>
      <c r="N64" s="72"/>
    </row>
    <row r="65">
      <c r="A65" s="111">
        <v>3.0</v>
      </c>
      <c r="B65" s="543"/>
      <c r="D65" s="294"/>
      <c r="E65" s="546" t="s">
        <v>3605</v>
      </c>
      <c r="F65" s="71"/>
      <c r="G65" s="71"/>
      <c r="H65" s="72"/>
      <c r="I65" s="543"/>
      <c r="L65" s="294"/>
      <c r="M65" s="547" t="s">
        <v>3606</v>
      </c>
      <c r="N65" s="72"/>
    </row>
    <row r="66">
      <c r="A66" s="111">
        <v>4.0</v>
      </c>
      <c r="B66" s="543"/>
      <c r="D66" s="294"/>
      <c r="E66" s="546" t="s">
        <v>3191</v>
      </c>
      <c r="F66" s="71"/>
      <c r="G66" s="71"/>
      <c r="H66" s="72"/>
      <c r="I66" s="543"/>
      <c r="L66" s="294"/>
      <c r="M66" s="547" t="s">
        <v>3607</v>
      </c>
      <c r="N66" s="72"/>
    </row>
    <row r="67">
      <c r="A67" s="111">
        <v>5.0</v>
      </c>
      <c r="B67" s="202"/>
      <c r="C67" s="203"/>
      <c r="D67" s="204"/>
      <c r="E67" s="546" t="s">
        <v>3608</v>
      </c>
      <c r="F67" s="71"/>
      <c r="G67" s="71"/>
      <c r="H67" s="72"/>
      <c r="I67" s="202"/>
      <c r="J67" s="203"/>
      <c r="K67" s="203"/>
      <c r="L67" s="204"/>
      <c r="M67" s="547" t="s">
        <v>3609</v>
      </c>
      <c r="N67" s="72"/>
    </row>
    <row r="68">
      <c r="A68" s="544" t="s">
        <v>3610</v>
      </c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</row>
    <row r="69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</row>
    <row r="70">
      <c r="A70" s="539" t="s">
        <v>3540</v>
      </c>
      <c r="B70" s="540" t="s">
        <v>3541</v>
      </c>
      <c r="C70" s="71"/>
      <c r="D70" s="72"/>
      <c r="E70" s="540" t="s">
        <v>230</v>
      </c>
      <c r="F70" s="71"/>
      <c r="G70" s="71"/>
      <c r="H70" s="72"/>
      <c r="I70" s="540" t="s">
        <v>231</v>
      </c>
      <c r="J70" s="71"/>
      <c r="K70" s="71"/>
      <c r="L70" s="72"/>
      <c r="M70" s="540" t="s">
        <v>149</v>
      </c>
      <c r="N70" s="72"/>
    </row>
    <row r="71">
      <c r="A71" s="111">
        <v>1.0</v>
      </c>
      <c r="B71" s="541" t="s">
        <v>3611</v>
      </c>
      <c r="C71" s="198"/>
      <c r="D71" s="199"/>
      <c r="E71" s="545" t="s">
        <v>3612</v>
      </c>
      <c r="F71" s="71"/>
      <c r="G71" s="71"/>
      <c r="H71" s="72"/>
      <c r="I71" s="541" t="s">
        <v>3613</v>
      </c>
      <c r="J71" s="198"/>
      <c r="K71" s="198"/>
      <c r="L71" s="199"/>
      <c r="M71" s="542" t="b">
        <v>0</v>
      </c>
      <c r="N71" s="72"/>
    </row>
    <row r="72">
      <c r="A72" s="111">
        <v>2.0</v>
      </c>
      <c r="B72" s="543"/>
      <c r="D72" s="294"/>
      <c r="E72" s="545" t="s">
        <v>3614</v>
      </c>
      <c r="F72" s="71"/>
      <c r="G72" s="71"/>
      <c r="H72" s="72"/>
      <c r="I72" s="543"/>
      <c r="L72" s="294"/>
      <c r="M72" s="542" t="b">
        <v>1</v>
      </c>
      <c r="N72" s="72"/>
    </row>
    <row r="73">
      <c r="A73" s="111">
        <v>3.0</v>
      </c>
      <c r="B73" s="543"/>
      <c r="D73" s="294"/>
      <c r="E73" s="545" t="s">
        <v>3615</v>
      </c>
      <c r="F73" s="71"/>
      <c r="G73" s="71"/>
      <c r="H73" s="72"/>
      <c r="I73" s="543"/>
      <c r="L73" s="294"/>
      <c r="M73" s="542" t="b">
        <v>0</v>
      </c>
      <c r="N73" s="72"/>
    </row>
    <row r="74">
      <c r="A74" s="111">
        <v>4.0</v>
      </c>
      <c r="B74" s="543"/>
      <c r="D74" s="294"/>
      <c r="E74" s="545" t="s">
        <v>3614</v>
      </c>
      <c r="F74" s="71"/>
      <c r="G74" s="71"/>
      <c r="H74" s="72"/>
      <c r="I74" s="543"/>
      <c r="L74" s="294"/>
      <c r="M74" s="542" t="b">
        <v>0</v>
      </c>
      <c r="N74" s="72"/>
    </row>
    <row r="75">
      <c r="A75" s="111">
        <v>5.0</v>
      </c>
      <c r="B75" s="202"/>
      <c r="C75" s="203"/>
      <c r="D75" s="204"/>
      <c r="E75" s="545" t="s">
        <v>3616</v>
      </c>
      <c r="F75" s="71"/>
      <c r="G75" s="71"/>
      <c r="H75" s="72"/>
      <c r="I75" s="202"/>
      <c r="J75" s="203"/>
      <c r="K75" s="203"/>
      <c r="L75" s="204"/>
      <c r="M75" s="542" t="b">
        <v>0</v>
      </c>
      <c r="N75" s="72"/>
    </row>
    <row r="76">
      <c r="A76" s="544" t="s">
        <v>3617</v>
      </c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</row>
    <row r="78">
      <c r="A78" s="539" t="s">
        <v>3540</v>
      </c>
      <c r="B78" s="540" t="s">
        <v>3541</v>
      </c>
      <c r="C78" s="71"/>
      <c r="D78" s="72"/>
      <c r="E78" s="540" t="s">
        <v>230</v>
      </c>
      <c r="F78" s="71"/>
      <c r="G78" s="71"/>
      <c r="H78" s="72"/>
      <c r="I78" s="540" t="s">
        <v>231</v>
      </c>
      <c r="J78" s="71"/>
      <c r="K78" s="71"/>
      <c r="L78" s="72"/>
      <c r="M78" s="540" t="s">
        <v>149</v>
      </c>
      <c r="N78" s="72"/>
    </row>
    <row r="79">
      <c r="A79" s="111">
        <v>1.0</v>
      </c>
      <c r="B79" s="541" t="s">
        <v>3618</v>
      </c>
      <c r="C79" s="198"/>
      <c r="D79" s="199"/>
      <c r="E79" s="545" t="s">
        <v>3619</v>
      </c>
      <c r="F79" s="71"/>
      <c r="G79" s="71"/>
      <c r="H79" s="72"/>
      <c r="I79" s="541" t="s">
        <v>3620</v>
      </c>
      <c r="J79" s="198"/>
      <c r="K79" s="198"/>
      <c r="L79" s="199"/>
      <c r="M79" s="542" t="s">
        <v>3621</v>
      </c>
      <c r="N79" s="72"/>
    </row>
    <row r="80">
      <c r="A80" s="111">
        <v>2.0</v>
      </c>
      <c r="B80" s="543"/>
      <c r="D80" s="294"/>
      <c r="E80" s="545" t="s">
        <v>3622</v>
      </c>
      <c r="F80" s="71"/>
      <c r="G80" s="71"/>
      <c r="H80" s="72"/>
      <c r="I80" s="543"/>
      <c r="L80" s="294"/>
      <c r="M80" s="542" t="s">
        <v>3623</v>
      </c>
      <c r="N80" s="72"/>
    </row>
    <row r="81">
      <c r="A81" s="111">
        <v>3.0</v>
      </c>
      <c r="B81" s="543"/>
      <c r="D81" s="294"/>
      <c r="E81" s="545" t="s">
        <v>3624</v>
      </c>
      <c r="F81" s="71"/>
      <c r="G81" s="71"/>
      <c r="H81" s="72"/>
      <c r="I81" s="543"/>
      <c r="L81" s="294"/>
      <c r="M81" s="542" t="s">
        <v>3625</v>
      </c>
      <c r="N81" s="72"/>
    </row>
    <row r="82">
      <c r="A82" s="111">
        <v>4.0</v>
      </c>
      <c r="B82" s="543"/>
      <c r="D82" s="294"/>
      <c r="E82" s="545" t="s">
        <v>3626</v>
      </c>
      <c r="F82" s="71"/>
      <c r="G82" s="71"/>
      <c r="H82" s="72"/>
      <c r="I82" s="543"/>
      <c r="L82" s="294"/>
      <c r="M82" s="542" t="s">
        <v>3627</v>
      </c>
      <c r="N82" s="72"/>
    </row>
    <row r="83">
      <c r="A83" s="111">
        <v>5.0</v>
      </c>
      <c r="B83" s="202"/>
      <c r="C83" s="203"/>
      <c r="D83" s="204"/>
      <c r="E83" s="545" t="s">
        <v>3628</v>
      </c>
      <c r="F83" s="71"/>
      <c r="G83" s="71"/>
      <c r="H83" s="72"/>
      <c r="I83" s="202"/>
      <c r="J83" s="203"/>
      <c r="K83" s="203"/>
      <c r="L83" s="204"/>
      <c r="M83" s="542" t="s">
        <v>3629</v>
      </c>
      <c r="N83" s="72"/>
    </row>
    <row r="84">
      <c r="A84" s="544" t="s">
        <v>3630</v>
      </c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</row>
    <row r="86">
      <c r="A86" s="539" t="s">
        <v>3540</v>
      </c>
      <c r="B86" s="540" t="s">
        <v>3541</v>
      </c>
      <c r="C86" s="71"/>
      <c r="D86" s="72"/>
      <c r="E86" s="540" t="s">
        <v>230</v>
      </c>
      <c r="F86" s="71"/>
      <c r="G86" s="71"/>
      <c r="H86" s="72"/>
      <c r="I86" s="540" t="s">
        <v>231</v>
      </c>
      <c r="J86" s="71"/>
      <c r="K86" s="71"/>
      <c r="L86" s="72"/>
      <c r="M86" s="540" t="s">
        <v>149</v>
      </c>
      <c r="N86" s="72"/>
    </row>
    <row r="87">
      <c r="A87" s="111">
        <v>1.0</v>
      </c>
      <c r="B87" s="541" t="s">
        <v>3631</v>
      </c>
      <c r="C87" s="198"/>
      <c r="D87" s="199"/>
      <c r="E87" s="545" t="s">
        <v>801</v>
      </c>
      <c r="F87" s="71"/>
      <c r="G87" s="71"/>
      <c r="H87" s="72"/>
      <c r="I87" s="541" t="s">
        <v>3632</v>
      </c>
      <c r="J87" s="198"/>
      <c r="K87" s="198"/>
      <c r="L87" s="199"/>
      <c r="M87" s="542" t="s">
        <v>3</v>
      </c>
      <c r="N87" s="72"/>
    </row>
    <row r="88">
      <c r="A88" s="111">
        <v>2.0</v>
      </c>
      <c r="B88" s="543"/>
      <c r="D88" s="294"/>
      <c r="E88" s="545" t="s">
        <v>3633</v>
      </c>
      <c r="F88" s="71"/>
      <c r="G88" s="71"/>
      <c r="H88" s="72"/>
      <c r="I88" s="543"/>
      <c r="L88" s="294"/>
      <c r="M88" s="542" t="s">
        <v>3634</v>
      </c>
      <c r="N88" s="72"/>
    </row>
    <row r="89">
      <c r="A89" s="111">
        <v>3.0</v>
      </c>
      <c r="B89" s="543"/>
      <c r="D89" s="294"/>
      <c r="E89" s="545" t="s">
        <v>430</v>
      </c>
      <c r="F89" s="71"/>
      <c r="G89" s="71"/>
      <c r="H89" s="72"/>
      <c r="I89" s="543"/>
      <c r="L89" s="294"/>
      <c r="M89" s="542" t="s">
        <v>3635</v>
      </c>
      <c r="N89" s="72"/>
    </row>
    <row r="90">
      <c r="A90" s="111">
        <v>4.0</v>
      </c>
      <c r="B90" s="543"/>
      <c r="D90" s="294"/>
      <c r="E90" s="545" t="s">
        <v>2486</v>
      </c>
      <c r="F90" s="71"/>
      <c r="G90" s="71"/>
      <c r="H90" s="72"/>
      <c r="I90" s="543"/>
      <c r="L90" s="294"/>
      <c r="M90" s="542" t="s">
        <v>3636</v>
      </c>
      <c r="N90" s="72"/>
    </row>
    <row r="91">
      <c r="A91" s="111">
        <v>5.0</v>
      </c>
      <c r="B91" s="202"/>
      <c r="C91" s="203"/>
      <c r="D91" s="204"/>
      <c r="E91" s="545" t="s">
        <v>3637</v>
      </c>
      <c r="F91" s="71"/>
      <c r="G91" s="71"/>
      <c r="H91" s="72"/>
      <c r="I91" s="202"/>
      <c r="J91" s="203"/>
      <c r="K91" s="203"/>
      <c r="L91" s="204"/>
      <c r="M91" s="542" t="s">
        <v>3638</v>
      </c>
      <c r="N91" s="72"/>
    </row>
    <row r="92">
      <c r="A92" s="544" t="s">
        <v>3639</v>
      </c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</row>
    <row r="94">
      <c r="A94" s="539" t="s">
        <v>3540</v>
      </c>
      <c r="B94" s="540" t="s">
        <v>3541</v>
      </c>
      <c r="C94" s="71"/>
      <c r="D94" s="72"/>
      <c r="E94" s="540" t="s">
        <v>230</v>
      </c>
      <c r="F94" s="71"/>
      <c r="G94" s="71"/>
      <c r="H94" s="72"/>
      <c r="I94" s="540" t="s">
        <v>231</v>
      </c>
      <c r="J94" s="71"/>
      <c r="K94" s="71"/>
      <c r="L94" s="72"/>
      <c r="M94" s="540" t="s">
        <v>149</v>
      </c>
      <c r="N94" s="72"/>
    </row>
    <row r="95">
      <c r="A95" s="111">
        <v>1.0</v>
      </c>
      <c r="B95" s="541" t="s">
        <v>3640</v>
      </c>
      <c r="C95" s="198"/>
      <c r="D95" s="199"/>
      <c r="E95" s="545" t="s">
        <v>3641</v>
      </c>
      <c r="F95" s="71"/>
      <c r="G95" s="71"/>
      <c r="H95" s="72"/>
      <c r="I95" s="541" t="s">
        <v>3642</v>
      </c>
      <c r="J95" s="198"/>
      <c r="K95" s="198"/>
      <c r="L95" s="199"/>
      <c r="M95" s="542" t="s">
        <v>3643</v>
      </c>
      <c r="N95" s="72"/>
    </row>
    <row r="96">
      <c r="A96" s="111">
        <v>2.0</v>
      </c>
      <c r="B96" s="543"/>
      <c r="D96" s="294"/>
      <c r="E96" s="545" t="s">
        <v>3644</v>
      </c>
      <c r="F96" s="71"/>
      <c r="G96" s="71"/>
      <c r="H96" s="72"/>
      <c r="I96" s="543"/>
      <c r="L96" s="294"/>
      <c r="M96" s="542" t="s">
        <v>3645</v>
      </c>
      <c r="N96" s="72"/>
    </row>
    <row r="97">
      <c r="A97" s="111">
        <v>3.0</v>
      </c>
      <c r="B97" s="543"/>
      <c r="D97" s="294"/>
      <c r="E97" s="545" t="s">
        <v>3646</v>
      </c>
      <c r="F97" s="71"/>
      <c r="G97" s="71"/>
      <c r="H97" s="72"/>
      <c r="I97" s="543"/>
      <c r="L97" s="294"/>
      <c r="M97" s="542" t="s">
        <v>3647</v>
      </c>
      <c r="N97" s="72"/>
    </row>
    <row r="98">
      <c r="A98" s="111">
        <v>4.0</v>
      </c>
      <c r="B98" s="543"/>
      <c r="D98" s="294"/>
      <c r="E98" s="545" t="s">
        <v>3648</v>
      </c>
      <c r="F98" s="71"/>
      <c r="G98" s="71"/>
      <c r="H98" s="72"/>
      <c r="I98" s="543"/>
      <c r="L98" s="294"/>
      <c r="M98" s="542" t="s">
        <v>3649</v>
      </c>
      <c r="N98" s="72"/>
    </row>
    <row r="99">
      <c r="A99" s="111">
        <v>5.0</v>
      </c>
      <c r="B99" s="202"/>
      <c r="C99" s="203"/>
      <c r="D99" s="204"/>
      <c r="E99" s="545" t="s">
        <v>3650</v>
      </c>
      <c r="F99" s="71"/>
      <c r="G99" s="71"/>
      <c r="H99" s="72"/>
      <c r="I99" s="202"/>
      <c r="J99" s="203"/>
      <c r="K99" s="203"/>
      <c r="L99" s="204"/>
      <c r="M99" s="542" t="s">
        <v>3651</v>
      </c>
      <c r="N99" s="72"/>
    </row>
    <row r="100">
      <c r="A100" s="544" t="s">
        <v>3652</v>
      </c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</row>
    <row r="102">
      <c r="A102" s="539" t="s">
        <v>3540</v>
      </c>
      <c r="B102" s="540" t="s">
        <v>3541</v>
      </c>
      <c r="C102" s="71"/>
      <c r="D102" s="72"/>
      <c r="E102" s="540" t="s">
        <v>230</v>
      </c>
      <c r="F102" s="71"/>
      <c r="G102" s="71"/>
      <c r="H102" s="72"/>
      <c r="I102" s="540" t="s">
        <v>231</v>
      </c>
      <c r="J102" s="71"/>
      <c r="K102" s="71"/>
      <c r="L102" s="72"/>
      <c r="M102" s="540" t="s">
        <v>149</v>
      </c>
      <c r="N102" s="72"/>
    </row>
    <row r="103">
      <c r="A103" s="111">
        <v>1.0</v>
      </c>
      <c r="B103" s="541" t="s">
        <v>3653</v>
      </c>
      <c r="C103" s="198"/>
      <c r="D103" s="199"/>
      <c r="E103" s="545" t="s">
        <v>1270</v>
      </c>
      <c r="F103" s="71"/>
      <c r="G103" s="71"/>
      <c r="H103" s="72"/>
      <c r="I103" s="541" t="s">
        <v>3654</v>
      </c>
      <c r="J103" s="198"/>
      <c r="K103" s="198"/>
      <c r="L103" s="199"/>
      <c r="M103" s="542" t="s">
        <v>3655</v>
      </c>
      <c r="N103" s="72"/>
    </row>
    <row r="104">
      <c r="A104" s="111">
        <v>2.0</v>
      </c>
      <c r="B104" s="543"/>
      <c r="D104" s="294"/>
      <c r="E104" s="545" t="s">
        <v>259</v>
      </c>
      <c r="F104" s="71"/>
      <c r="G104" s="71"/>
      <c r="H104" s="72"/>
      <c r="I104" s="543"/>
      <c r="L104" s="294"/>
      <c r="M104" s="542" t="s">
        <v>3656</v>
      </c>
      <c r="N104" s="72"/>
    </row>
    <row r="105">
      <c r="A105" s="111">
        <v>3.0</v>
      </c>
      <c r="B105" s="543"/>
      <c r="D105" s="294"/>
      <c r="E105" s="545" t="s">
        <v>3657</v>
      </c>
      <c r="F105" s="71"/>
      <c r="G105" s="71"/>
      <c r="H105" s="72"/>
      <c r="I105" s="543"/>
      <c r="L105" s="294"/>
      <c r="M105" s="542" t="s">
        <v>3658</v>
      </c>
      <c r="N105" s="72"/>
    </row>
    <row r="106">
      <c r="A106" s="111">
        <v>4.0</v>
      </c>
      <c r="B106" s="543"/>
      <c r="D106" s="294"/>
      <c r="E106" s="545" t="s">
        <v>3659</v>
      </c>
      <c r="F106" s="71"/>
      <c r="G106" s="71"/>
      <c r="H106" s="72"/>
      <c r="I106" s="543"/>
      <c r="L106" s="294"/>
      <c r="M106" s="542" t="s">
        <v>3660</v>
      </c>
      <c r="N106" s="72"/>
    </row>
    <row r="107">
      <c r="A107" s="111">
        <v>5.0</v>
      </c>
      <c r="B107" s="202"/>
      <c r="C107" s="203"/>
      <c r="D107" s="204"/>
      <c r="E107" s="545" t="s">
        <v>3661</v>
      </c>
      <c r="F107" s="71"/>
      <c r="G107" s="71"/>
      <c r="H107" s="72"/>
      <c r="I107" s="202"/>
      <c r="J107" s="203"/>
      <c r="K107" s="203"/>
      <c r="L107" s="204"/>
      <c r="M107" s="542" t="s">
        <v>3662</v>
      </c>
      <c r="N107" s="72"/>
    </row>
    <row r="108">
      <c r="A108" s="544" t="s">
        <v>3663</v>
      </c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</row>
    <row r="110">
      <c r="A110" s="539" t="s">
        <v>3540</v>
      </c>
      <c r="B110" s="540" t="s">
        <v>3541</v>
      </c>
      <c r="C110" s="71"/>
      <c r="D110" s="72"/>
      <c r="E110" s="540" t="s">
        <v>230</v>
      </c>
      <c r="F110" s="71"/>
      <c r="G110" s="71"/>
      <c r="H110" s="72"/>
      <c r="I110" s="540" t="s">
        <v>231</v>
      </c>
      <c r="J110" s="71"/>
      <c r="K110" s="71"/>
      <c r="L110" s="72"/>
      <c r="M110" s="540" t="s">
        <v>149</v>
      </c>
      <c r="N110" s="72"/>
    </row>
    <row r="111">
      <c r="A111" s="111">
        <v>1.0</v>
      </c>
      <c r="B111" s="541" t="s">
        <v>3664</v>
      </c>
      <c r="C111" s="198"/>
      <c r="D111" s="199"/>
      <c r="E111" s="545" t="s">
        <v>1967</v>
      </c>
      <c r="F111" s="71"/>
      <c r="G111" s="71"/>
      <c r="H111" s="72"/>
      <c r="I111" s="541" t="s">
        <v>3665</v>
      </c>
      <c r="J111" s="198"/>
      <c r="K111" s="198"/>
      <c r="L111" s="199"/>
      <c r="M111" s="542" t="s">
        <v>2355</v>
      </c>
      <c r="N111" s="72"/>
    </row>
    <row r="112">
      <c r="A112" s="111">
        <v>2.0</v>
      </c>
      <c r="B112" s="543"/>
      <c r="D112" s="294"/>
      <c r="E112" s="545" t="s">
        <v>3666</v>
      </c>
      <c r="F112" s="71"/>
      <c r="G112" s="71"/>
      <c r="H112" s="72"/>
      <c r="I112" s="543"/>
      <c r="L112" s="294"/>
      <c r="M112" s="542" t="s">
        <v>3667</v>
      </c>
      <c r="N112" s="72"/>
    </row>
    <row r="113">
      <c r="A113" s="111">
        <v>3.0</v>
      </c>
      <c r="B113" s="543"/>
      <c r="D113" s="294"/>
      <c r="E113" s="545" t="s">
        <v>3668</v>
      </c>
      <c r="F113" s="71"/>
      <c r="G113" s="71"/>
      <c r="H113" s="72"/>
      <c r="I113" s="543"/>
      <c r="L113" s="294"/>
      <c r="M113" s="542" t="s">
        <v>3669</v>
      </c>
      <c r="N113" s="72"/>
    </row>
    <row r="114">
      <c r="A114" s="111">
        <v>4.0</v>
      </c>
      <c r="B114" s="543"/>
      <c r="D114" s="294"/>
      <c r="E114" s="545" t="s">
        <v>3670</v>
      </c>
      <c r="F114" s="71"/>
      <c r="G114" s="71"/>
      <c r="H114" s="72"/>
      <c r="I114" s="543"/>
      <c r="L114" s="294"/>
      <c r="M114" s="542" t="s">
        <v>3671</v>
      </c>
      <c r="N114" s="72"/>
    </row>
    <row r="115">
      <c r="A115" s="111">
        <v>5.0</v>
      </c>
      <c r="B115" s="202"/>
      <c r="C115" s="203"/>
      <c r="D115" s="204"/>
      <c r="E115" s="545" t="s">
        <v>3672</v>
      </c>
      <c r="F115" s="71"/>
      <c r="G115" s="71"/>
      <c r="H115" s="72"/>
      <c r="I115" s="202"/>
      <c r="J115" s="203"/>
      <c r="K115" s="203"/>
      <c r="L115" s="204"/>
      <c r="M115" s="542" t="s">
        <v>3673</v>
      </c>
      <c r="N115" s="72"/>
    </row>
    <row r="116">
      <c r="A116" s="544" t="s">
        <v>3674</v>
      </c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</row>
    <row r="118">
      <c r="A118" s="539" t="s">
        <v>3540</v>
      </c>
      <c r="B118" s="540" t="s">
        <v>3541</v>
      </c>
      <c r="C118" s="71"/>
      <c r="D118" s="72"/>
      <c r="E118" s="540" t="s">
        <v>230</v>
      </c>
      <c r="F118" s="71"/>
      <c r="G118" s="71"/>
      <c r="H118" s="72"/>
      <c r="I118" s="540" t="s">
        <v>231</v>
      </c>
      <c r="J118" s="71"/>
      <c r="K118" s="71"/>
      <c r="L118" s="72"/>
      <c r="M118" s="540" t="s">
        <v>149</v>
      </c>
      <c r="N118" s="72"/>
    </row>
    <row r="119">
      <c r="A119" s="111">
        <v>1.0</v>
      </c>
      <c r="B119" s="541" t="s">
        <v>3675</v>
      </c>
      <c r="C119" s="198"/>
      <c r="D119" s="199"/>
      <c r="E119" s="545" t="s">
        <v>1556</v>
      </c>
      <c r="F119" s="71"/>
      <c r="G119" s="71"/>
      <c r="H119" s="72"/>
      <c r="I119" s="541" t="s">
        <v>3676</v>
      </c>
      <c r="J119" s="198"/>
      <c r="K119" s="198"/>
      <c r="L119" s="199"/>
      <c r="M119" s="542" t="s">
        <v>3677</v>
      </c>
      <c r="N119" s="72"/>
    </row>
    <row r="120">
      <c r="A120" s="111">
        <v>2.0</v>
      </c>
      <c r="B120" s="543"/>
      <c r="D120" s="294"/>
      <c r="E120" s="545" t="s">
        <v>3678</v>
      </c>
      <c r="F120" s="71"/>
      <c r="G120" s="71"/>
      <c r="H120" s="72"/>
      <c r="I120" s="543"/>
      <c r="L120" s="294"/>
      <c r="M120" s="542" t="s">
        <v>3679</v>
      </c>
      <c r="N120" s="72"/>
    </row>
    <row r="121">
      <c r="A121" s="111">
        <v>3.0</v>
      </c>
      <c r="B121" s="543"/>
      <c r="D121" s="294"/>
      <c r="E121" s="545" t="s">
        <v>3680</v>
      </c>
      <c r="F121" s="71"/>
      <c r="G121" s="71"/>
      <c r="H121" s="72"/>
      <c r="I121" s="543"/>
      <c r="L121" s="294"/>
      <c r="M121" s="542" t="s">
        <v>3681</v>
      </c>
      <c r="N121" s="72"/>
    </row>
    <row r="122">
      <c r="A122" s="111">
        <v>4.0</v>
      </c>
      <c r="B122" s="543"/>
      <c r="D122" s="294"/>
      <c r="E122" s="545" t="s">
        <v>3682</v>
      </c>
      <c r="F122" s="71"/>
      <c r="G122" s="71"/>
      <c r="H122" s="72"/>
      <c r="I122" s="543"/>
      <c r="L122" s="294"/>
      <c r="M122" s="542" t="s">
        <v>3683</v>
      </c>
      <c r="N122" s="72"/>
    </row>
    <row r="123">
      <c r="A123" s="111">
        <v>5.0</v>
      </c>
      <c r="B123" s="202"/>
      <c r="C123" s="203"/>
      <c r="D123" s="204"/>
      <c r="E123" s="545" t="s">
        <v>3684</v>
      </c>
      <c r="F123" s="71"/>
      <c r="G123" s="71"/>
      <c r="H123" s="72"/>
      <c r="I123" s="202"/>
      <c r="J123" s="203"/>
      <c r="K123" s="203"/>
      <c r="L123" s="204"/>
      <c r="M123" s="542" t="s">
        <v>3685</v>
      </c>
      <c r="N123" s="72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</row>
  </sheetData>
  <mergeCells count="257">
    <mergeCell ref="E67:H67"/>
    <mergeCell ref="M67:N67"/>
    <mergeCell ref="A60:N61"/>
    <mergeCell ref="E62:H62"/>
    <mergeCell ref="I62:L62"/>
    <mergeCell ref="M62:N62"/>
    <mergeCell ref="E63:H63"/>
    <mergeCell ref="I63:L67"/>
    <mergeCell ref="E64:H64"/>
    <mergeCell ref="E54:H54"/>
    <mergeCell ref="E57:H57"/>
    <mergeCell ref="M57:N57"/>
    <mergeCell ref="E58:H58"/>
    <mergeCell ref="M58:N58"/>
    <mergeCell ref="E59:H59"/>
    <mergeCell ref="M59:N59"/>
    <mergeCell ref="E51:H51"/>
    <mergeCell ref="A52:N53"/>
    <mergeCell ref="I54:L54"/>
    <mergeCell ref="M54:N54"/>
    <mergeCell ref="I55:L59"/>
    <mergeCell ref="M55:N55"/>
    <mergeCell ref="M56:N56"/>
    <mergeCell ref="M63:N63"/>
    <mergeCell ref="M64:N64"/>
    <mergeCell ref="E65:H65"/>
    <mergeCell ref="M65:N65"/>
    <mergeCell ref="E66:H66"/>
    <mergeCell ref="M66:N66"/>
    <mergeCell ref="A1:B1"/>
    <mergeCell ref="A2:N3"/>
    <mergeCell ref="A4:N5"/>
    <mergeCell ref="B6:D6"/>
    <mergeCell ref="I6:L6"/>
    <mergeCell ref="I7:L11"/>
    <mergeCell ref="A12:N13"/>
    <mergeCell ref="E17:H17"/>
    <mergeCell ref="E18:H18"/>
    <mergeCell ref="M14:N14"/>
    <mergeCell ref="E15:H15"/>
    <mergeCell ref="I15:L19"/>
    <mergeCell ref="M15:N15"/>
    <mergeCell ref="M16:N16"/>
    <mergeCell ref="M17:N17"/>
    <mergeCell ref="M18:N18"/>
    <mergeCell ref="E16:H16"/>
    <mergeCell ref="E19:H19"/>
    <mergeCell ref="E22:H22"/>
    <mergeCell ref="E23:H23"/>
    <mergeCell ref="I23:L27"/>
    <mergeCell ref="E24:H24"/>
    <mergeCell ref="E25:H25"/>
    <mergeCell ref="M34:N34"/>
    <mergeCell ref="M35:N35"/>
    <mergeCell ref="M38:N38"/>
    <mergeCell ref="M39:N39"/>
    <mergeCell ref="M40:N40"/>
    <mergeCell ref="M41:N41"/>
    <mergeCell ref="M42:N42"/>
    <mergeCell ref="M43:N43"/>
    <mergeCell ref="I46:L46"/>
    <mergeCell ref="I47:L51"/>
    <mergeCell ref="E49:H49"/>
    <mergeCell ref="M49:N49"/>
    <mergeCell ref="E50:H50"/>
    <mergeCell ref="M50:N50"/>
    <mergeCell ref="M51:N51"/>
    <mergeCell ref="M70:N70"/>
    <mergeCell ref="M71:N71"/>
    <mergeCell ref="E72:H72"/>
    <mergeCell ref="M72:N72"/>
    <mergeCell ref="E73:H73"/>
    <mergeCell ref="M73:N73"/>
    <mergeCell ref="E74:H74"/>
    <mergeCell ref="M74:N74"/>
    <mergeCell ref="E75:H75"/>
    <mergeCell ref="M75:N75"/>
    <mergeCell ref="E55:H55"/>
    <mergeCell ref="E56:H56"/>
    <mergeCell ref="A68:N69"/>
    <mergeCell ref="E70:H70"/>
    <mergeCell ref="I70:L70"/>
    <mergeCell ref="E71:H71"/>
    <mergeCell ref="I71:L75"/>
    <mergeCell ref="M79:N79"/>
    <mergeCell ref="M80:N80"/>
    <mergeCell ref="E81:H81"/>
    <mergeCell ref="M81:N81"/>
    <mergeCell ref="E91:H91"/>
    <mergeCell ref="M91:N91"/>
    <mergeCell ref="A84:N85"/>
    <mergeCell ref="E86:H86"/>
    <mergeCell ref="I86:L86"/>
    <mergeCell ref="M86:N86"/>
    <mergeCell ref="E87:H87"/>
    <mergeCell ref="I87:L91"/>
    <mergeCell ref="E88:H88"/>
    <mergeCell ref="E82:H82"/>
    <mergeCell ref="M82:N82"/>
    <mergeCell ref="E83:H83"/>
    <mergeCell ref="M83:N83"/>
    <mergeCell ref="A76:N77"/>
    <mergeCell ref="E78:H78"/>
    <mergeCell ref="I78:L78"/>
    <mergeCell ref="M78:N78"/>
    <mergeCell ref="E79:H79"/>
    <mergeCell ref="I79:L83"/>
    <mergeCell ref="E80:H80"/>
    <mergeCell ref="M87:N87"/>
    <mergeCell ref="M88:N88"/>
    <mergeCell ref="E89:H89"/>
    <mergeCell ref="M89:N89"/>
    <mergeCell ref="E90:H90"/>
    <mergeCell ref="M90:N90"/>
    <mergeCell ref="M95:N95"/>
    <mergeCell ref="M96:N96"/>
    <mergeCell ref="E97:H97"/>
    <mergeCell ref="M97:N97"/>
    <mergeCell ref="E98:H98"/>
    <mergeCell ref="M98:N98"/>
    <mergeCell ref="E99:H99"/>
    <mergeCell ref="M99:N99"/>
    <mergeCell ref="A92:N93"/>
    <mergeCell ref="E94:H94"/>
    <mergeCell ref="I94:L94"/>
    <mergeCell ref="M94:N94"/>
    <mergeCell ref="E95:H95"/>
    <mergeCell ref="I95:L99"/>
    <mergeCell ref="E96:H96"/>
    <mergeCell ref="M103:N103"/>
    <mergeCell ref="M104:N104"/>
    <mergeCell ref="E105:H105"/>
    <mergeCell ref="M105:N105"/>
    <mergeCell ref="E106:H106"/>
    <mergeCell ref="M106:N106"/>
    <mergeCell ref="E107:H107"/>
    <mergeCell ref="M107:N107"/>
    <mergeCell ref="A100:N101"/>
    <mergeCell ref="E102:H102"/>
    <mergeCell ref="I102:L102"/>
    <mergeCell ref="M102:N102"/>
    <mergeCell ref="E103:H103"/>
    <mergeCell ref="I103:L107"/>
    <mergeCell ref="E104:H104"/>
    <mergeCell ref="M111:N111"/>
    <mergeCell ref="M112:N112"/>
    <mergeCell ref="E113:H113"/>
    <mergeCell ref="M113:N113"/>
    <mergeCell ref="E114:H114"/>
    <mergeCell ref="M114:N114"/>
    <mergeCell ref="E115:H115"/>
    <mergeCell ref="M115:N115"/>
    <mergeCell ref="A108:N109"/>
    <mergeCell ref="E110:H110"/>
    <mergeCell ref="I110:L110"/>
    <mergeCell ref="M110:N110"/>
    <mergeCell ref="E111:H111"/>
    <mergeCell ref="I111:L115"/>
    <mergeCell ref="E112:H112"/>
    <mergeCell ref="E6:H6"/>
    <mergeCell ref="E7:H7"/>
    <mergeCell ref="M6:N6"/>
    <mergeCell ref="M7:N7"/>
    <mergeCell ref="E8:H8"/>
    <mergeCell ref="M8:N8"/>
    <mergeCell ref="E9:H9"/>
    <mergeCell ref="M9:N9"/>
    <mergeCell ref="E10:H10"/>
    <mergeCell ref="M10:N10"/>
    <mergeCell ref="E11:H11"/>
    <mergeCell ref="M11:N11"/>
    <mergeCell ref="E14:H14"/>
    <mergeCell ref="I14:L14"/>
    <mergeCell ref="M19:N19"/>
    <mergeCell ref="A20:N21"/>
    <mergeCell ref="I22:L22"/>
    <mergeCell ref="M22:N22"/>
    <mergeCell ref="M23:N23"/>
    <mergeCell ref="M24:N24"/>
    <mergeCell ref="M25:N25"/>
    <mergeCell ref="M26:N26"/>
    <mergeCell ref="E26:H26"/>
    <mergeCell ref="E27:H27"/>
    <mergeCell ref="M27:N27"/>
    <mergeCell ref="A28:N29"/>
    <mergeCell ref="E30:H30"/>
    <mergeCell ref="M30:N30"/>
    <mergeCell ref="M31:N31"/>
    <mergeCell ref="I30:L30"/>
    <mergeCell ref="I31:L35"/>
    <mergeCell ref="E31:H31"/>
    <mergeCell ref="E32:H32"/>
    <mergeCell ref="M32:N32"/>
    <mergeCell ref="E33:H33"/>
    <mergeCell ref="M33:N33"/>
    <mergeCell ref="E34:H34"/>
    <mergeCell ref="A36:N37"/>
    <mergeCell ref="E42:H42"/>
    <mergeCell ref="E43:H43"/>
    <mergeCell ref="E35:H35"/>
    <mergeCell ref="E38:H38"/>
    <mergeCell ref="I38:L38"/>
    <mergeCell ref="E39:H39"/>
    <mergeCell ref="I39:L43"/>
    <mergeCell ref="E40:H40"/>
    <mergeCell ref="E41:H41"/>
    <mergeCell ref="E47:H47"/>
    <mergeCell ref="E48:H48"/>
    <mergeCell ref="M48:N48"/>
    <mergeCell ref="B38:D38"/>
    <mergeCell ref="B39:D43"/>
    <mergeCell ref="A44:N45"/>
    <mergeCell ref="B46:D46"/>
    <mergeCell ref="E46:H46"/>
    <mergeCell ref="M46:N46"/>
    <mergeCell ref="M47:N47"/>
    <mergeCell ref="B7:D11"/>
    <mergeCell ref="B14:D14"/>
    <mergeCell ref="B15:D19"/>
    <mergeCell ref="B22:D22"/>
    <mergeCell ref="B23:D27"/>
    <mergeCell ref="B30:D30"/>
    <mergeCell ref="B31:D35"/>
    <mergeCell ref="B47:D51"/>
    <mergeCell ref="B54:D54"/>
    <mergeCell ref="B55:D59"/>
    <mergeCell ref="B62:D62"/>
    <mergeCell ref="B63:D67"/>
    <mergeCell ref="B70:D70"/>
    <mergeCell ref="B71:D75"/>
    <mergeCell ref="B103:D107"/>
    <mergeCell ref="B110:D110"/>
    <mergeCell ref="B111:D115"/>
    <mergeCell ref="B118:D118"/>
    <mergeCell ref="B119:D123"/>
    <mergeCell ref="B78:D78"/>
    <mergeCell ref="B79:D83"/>
    <mergeCell ref="B86:D86"/>
    <mergeCell ref="B87:D91"/>
    <mergeCell ref="B94:D94"/>
    <mergeCell ref="B95:D99"/>
    <mergeCell ref="B102:D102"/>
    <mergeCell ref="M119:N119"/>
    <mergeCell ref="M120:N120"/>
    <mergeCell ref="E121:H121"/>
    <mergeCell ref="M121:N121"/>
    <mergeCell ref="E122:H122"/>
    <mergeCell ref="M122:N122"/>
    <mergeCell ref="E123:H123"/>
    <mergeCell ref="M123:N123"/>
    <mergeCell ref="A116:N117"/>
    <mergeCell ref="E118:H118"/>
    <mergeCell ref="I118:L118"/>
    <mergeCell ref="M118:N118"/>
    <mergeCell ref="E119:H119"/>
    <mergeCell ref="I119:L123"/>
    <mergeCell ref="E120:H120"/>
  </mergeCells>
  <hyperlinks>
    <hyperlink r:id="rId1" ref="A6"/>
    <hyperlink r:id="rId2" ref="A14"/>
    <hyperlink r:id="rId3" ref="A22"/>
    <hyperlink r:id="rId4" ref="A30"/>
    <hyperlink r:id="rId5" ref="A38"/>
    <hyperlink r:id="rId6" ref="A46"/>
    <hyperlink r:id="rId7" ref="A54"/>
    <hyperlink r:id="rId8" ref="A62"/>
    <hyperlink r:id="rId9" ref="A70"/>
    <hyperlink r:id="rId10" ref="A78"/>
    <hyperlink r:id="rId11" ref="A86"/>
    <hyperlink r:id="rId12" ref="A94"/>
    <hyperlink r:id="rId13" ref="A102"/>
    <hyperlink r:id="rId14" ref="A110"/>
    <hyperlink r:id="rId15" ref="A118"/>
  </hyperlinks>
  <drawing r:id="rId16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4.13"/>
    <col customWidth="1" min="5" max="5" width="18.38"/>
    <col customWidth="1" min="6" max="6" width="13.88"/>
    <col customWidth="1" min="7" max="7" width="14.63"/>
    <col customWidth="1" min="9" max="9" width="14.13"/>
    <col customWidth="1" min="13" max="13" width="16.88"/>
  </cols>
  <sheetData>
    <row r="2">
      <c r="G2" s="548" t="s">
        <v>3686</v>
      </c>
    </row>
    <row r="5">
      <c r="B5" s="549" t="s">
        <v>2524</v>
      </c>
      <c r="C5" s="550" t="s">
        <v>233</v>
      </c>
      <c r="D5" s="72"/>
      <c r="E5" s="549" t="s">
        <v>4</v>
      </c>
      <c r="F5" s="549" t="s">
        <v>5</v>
      </c>
      <c r="I5" s="549" t="s">
        <v>2524</v>
      </c>
      <c r="J5" s="550" t="s">
        <v>233</v>
      </c>
      <c r="K5" s="72"/>
      <c r="L5" s="549" t="s">
        <v>4</v>
      </c>
      <c r="M5" s="549" t="s">
        <v>5</v>
      </c>
    </row>
    <row r="6">
      <c r="B6" s="551" t="s">
        <v>3687</v>
      </c>
      <c r="C6" s="552" t="s">
        <v>3688</v>
      </c>
      <c r="D6" s="553" t="s">
        <v>3689</v>
      </c>
      <c r="E6" s="554" t="s">
        <v>3690</v>
      </c>
      <c r="F6" s="555" t="str">
        <f t="shared" ref="F6:F10" si="1">CONCAT(C6,C5)</f>
        <v>NeilValue</v>
      </c>
      <c r="I6" s="551" t="s">
        <v>79</v>
      </c>
      <c r="J6" s="556" t="s">
        <v>3691</v>
      </c>
      <c r="K6" s="72"/>
      <c r="L6" s="552" t="s">
        <v>3692</v>
      </c>
      <c r="M6" s="555" t="str">
        <f t="shared" ref="M6:M10" si="2">LOWER(J6)</f>
        <v>apollo 11</v>
      </c>
    </row>
    <row r="7">
      <c r="B7" s="207"/>
      <c r="C7" s="552" t="s">
        <v>3693</v>
      </c>
      <c r="D7" s="552" t="s">
        <v>3694</v>
      </c>
      <c r="E7" s="554" t="s">
        <v>3695</v>
      </c>
      <c r="F7" s="555" t="str">
        <f t="shared" si="1"/>
        <v>BuzzNeil</v>
      </c>
      <c r="I7" s="207"/>
      <c r="J7" s="556" t="s">
        <v>3696</v>
      </c>
      <c r="K7" s="72"/>
      <c r="L7" s="552" t="s">
        <v>3692</v>
      </c>
      <c r="M7" s="555" t="str">
        <f t="shared" si="2"/>
        <v>columbia</v>
      </c>
    </row>
    <row r="8">
      <c r="B8" s="207"/>
      <c r="C8" s="552" t="s">
        <v>3697</v>
      </c>
      <c r="D8" s="552" t="s">
        <v>3698</v>
      </c>
      <c r="E8" s="554" t="s">
        <v>3699</v>
      </c>
      <c r="F8" s="555" t="str">
        <f t="shared" si="1"/>
        <v>YuriBuzz</v>
      </c>
      <c r="I8" s="207"/>
      <c r="J8" s="556" t="s">
        <v>3700</v>
      </c>
      <c r="K8" s="72"/>
      <c r="L8" s="552" t="s">
        <v>3692</v>
      </c>
      <c r="M8" s="555" t="str">
        <f t="shared" si="2"/>
        <v>endeavour</v>
      </c>
    </row>
    <row r="9">
      <c r="B9" s="207"/>
      <c r="C9" s="552" t="s">
        <v>3701</v>
      </c>
      <c r="D9" s="552" t="s">
        <v>3702</v>
      </c>
      <c r="E9" s="554" t="s">
        <v>3703</v>
      </c>
      <c r="F9" s="555" t="str">
        <f t="shared" si="1"/>
        <v>KalpnaYuri</v>
      </c>
      <c r="I9" s="207"/>
      <c r="J9" s="556" t="s">
        <v>3704</v>
      </c>
      <c r="K9" s="72"/>
      <c r="L9" s="552" t="s">
        <v>3692</v>
      </c>
      <c r="M9" s="555" t="str">
        <f t="shared" si="2"/>
        <v>discovery</v>
      </c>
    </row>
    <row r="10">
      <c r="B10" s="201"/>
      <c r="C10" s="552" t="s">
        <v>3705</v>
      </c>
      <c r="D10" s="552" t="s">
        <v>3706</v>
      </c>
      <c r="E10" s="554" t="s">
        <v>3707</v>
      </c>
      <c r="F10" s="555" t="str">
        <f t="shared" si="1"/>
        <v>SunitaKalpna</v>
      </c>
      <c r="I10" s="201"/>
      <c r="J10" s="556" t="s">
        <v>3708</v>
      </c>
      <c r="K10" s="72"/>
      <c r="L10" s="552" t="s">
        <v>3692</v>
      </c>
      <c r="M10" s="555" t="str">
        <f t="shared" si="2"/>
        <v>shuttle atlantis</v>
      </c>
    </row>
    <row r="12">
      <c r="B12" s="557" t="s">
        <v>44</v>
      </c>
      <c r="C12" s="558" t="s">
        <v>3709</v>
      </c>
      <c r="D12" s="558" t="s">
        <v>3709</v>
      </c>
      <c r="E12" s="558" t="s">
        <v>3710</v>
      </c>
      <c r="F12" s="559" t="b">
        <f>EXACT(C10,D12)</f>
        <v>0</v>
      </c>
      <c r="I12" s="557" t="s">
        <v>134</v>
      </c>
      <c r="J12" s="560" t="s">
        <v>3711</v>
      </c>
      <c r="K12" s="72"/>
      <c r="L12" s="558" t="s">
        <v>3712</v>
      </c>
      <c r="M12" s="559" t="str">
        <f t="shared" ref="M12:M16" si="3">UPPER(J12)</f>
        <v>APOLLO 11</v>
      </c>
    </row>
    <row r="13">
      <c r="B13" s="207"/>
      <c r="C13" s="558" t="s">
        <v>3713</v>
      </c>
      <c r="D13" s="558" t="s">
        <v>3714</v>
      </c>
      <c r="E13" s="558" t="s">
        <v>3715</v>
      </c>
      <c r="F13" s="559" t="b">
        <f t="shared" ref="F13:F16" si="4">EXACT(C13,D13)</f>
        <v>0</v>
      </c>
      <c r="I13" s="207"/>
      <c r="J13" s="560" t="s">
        <v>3716</v>
      </c>
      <c r="K13" s="72"/>
      <c r="L13" s="558" t="s">
        <v>3712</v>
      </c>
      <c r="M13" s="559" t="str">
        <f t="shared" si="3"/>
        <v>COLUMBIA</v>
      </c>
    </row>
    <row r="14">
      <c r="B14" s="207"/>
      <c r="C14" s="558" t="s">
        <v>3717</v>
      </c>
      <c r="D14" s="558" t="s">
        <v>3717</v>
      </c>
      <c r="E14" s="558" t="s">
        <v>3718</v>
      </c>
      <c r="F14" s="559" t="b">
        <f t="shared" si="4"/>
        <v>1</v>
      </c>
      <c r="I14" s="207"/>
      <c r="J14" s="560" t="s">
        <v>3719</v>
      </c>
      <c r="K14" s="72"/>
      <c r="L14" s="558" t="s">
        <v>3712</v>
      </c>
      <c r="M14" s="559" t="str">
        <f t="shared" si="3"/>
        <v>ENDEAVOUR</v>
      </c>
    </row>
    <row r="15">
      <c r="B15" s="207"/>
      <c r="C15" s="558" t="s">
        <v>3720</v>
      </c>
      <c r="D15" s="558" t="s">
        <v>3721</v>
      </c>
      <c r="E15" s="558" t="s">
        <v>3722</v>
      </c>
      <c r="F15" s="559" t="b">
        <f t="shared" si="4"/>
        <v>0</v>
      </c>
      <c r="I15" s="207"/>
      <c r="J15" s="560" t="s">
        <v>3723</v>
      </c>
      <c r="K15" s="72"/>
      <c r="L15" s="558" t="s">
        <v>3712</v>
      </c>
      <c r="M15" s="559" t="str">
        <f t="shared" si="3"/>
        <v>DISCOVERY</v>
      </c>
    </row>
    <row r="16">
      <c r="B16" s="201"/>
      <c r="C16" s="558" t="s">
        <v>3724</v>
      </c>
      <c r="D16" s="558" t="s">
        <v>3724</v>
      </c>
      <c r="E16" s="558" t="s">
        <v>3725</v>
      </c>
      <c r="F16" s="559" t="b">
        <f t="shared" si="4"/>
        <v>1</v>
      </c>
      <c r="I16" s="201"/>
      <c r="J16" s="560" t="s">
        <v>3726</v>
      </c>
      <c r="K16" s="72"/>
      <c r="L16" s="558" t="s">
        <v>3712</v>
      </c>
      <c r="M16" s="559" t="str">
        <f t="shared" si="3"/>
        <v>SHUTTLE ATLANTIS</v>
      </c>
    </row>
    <row r="18">
      <c r="B18" s="561" t="s">
        <v>33</v>
      </c>
      <c r="C18" s="562" t="s">
        <v>18</v>
      </c>
      <c r="D18" s="72"/>
      <c r="E18" s="563" t="s">
        <v>3727</v>
      </c>
      <c r="F18" s="564">
        <f>FIND("n",C18)</f>
        <v>3</v>
      </c>
      <c r="I18" s="565" t="s">
        <v>90</v>
      </c>
      <c r="J18" s="563" t="s">
        <v>3728</v>
      </c>
      <c r="K18" s="564"/>
      <c r="L18" s="564"/>
      <c r="M18" s="564" t="str">
        <f>MID(J18,3,9)</f>
        <v>rseids</v>
      </c>
    </row>
    <row r="19">
      <c r="B19" s="207"/>
      <c r="C19" s="562" t="s">
        <v>3729</v>
      </c>
      <c r="D19" s="72"/>
      <c r="E19" s="563" t="s">
        <v>3727</v>
      </c>
      <c r="F19" s="564">
        <f>FIND("u",C19)</f>
        <v>5</v>
      </c>
      <c r="I19" s="207"/>
      <c r="J19" s="563" t="s">
        <v>3730</v>
      </c>
      <c r="K19" s="564"/>
      <c r="L19" s="564"/>
      <c r="M19" s="564" t="str">
        <f>MID(J19,2,5)</f>
        <v>eonid</v>
      </c>
    </row>
    <row r="20">
      <c r="B20" s="207"/>
      <c r="C20" s="562" t="s">
        <v>3731</v>
      </c>
      <c r="D20" s="72"/>
      <c r="E20" s="563" t="s">
        <v>3727</v>
      </c>
      <c r="F20" s="564">
        <f>FIND("r",C20)</f>
        <v>5</v>
      </c>
      <c r="I20" s="207"/>
      <c r="J20" s="563" t="s">
        <v>3732</v>
      </c>
      <c r="K20" s="564"/>
      <c r="L20" s="564"/>
      <c r="M20" s="564" t="str">
        <f t="shared" ref="M20:M21" si="5">MID(J20,3,8)</f>
        <v>minids</v>
      </c>
    </row>
    <row r="21">
      <c r="B21" s="207"/>
      <c r="C21" s="562" t="s">
        <v>3733</v>
      </c>
      <c r="D21" s="72"/>
      <c r="E21" s="563" t="s">
        <v>3727</v>
      </c>
      <c r="F21" s="564">
        <f>FIND("u",C21)</f>
        <v>8</v>
      </c>
      <c r="I21" s="207"/>
      <c r="J21" s="563" t="s">
        <v>3734</v>
      </c>
      <c r="K21" s="564"/>
      <c r="L21" s="564"/>
      <c r="M21" s="564" t="str">
        <f t="shared" si="5"/>
        <v>adrantid</v>
      </c>
    </row>
    <row r="22">
      <c r="B22" s="201"/>
      <c r="C22" s="562" t="s">
        <v>3735</v>
      </c>
      <c r="D22" s="72"/>
      <c r="E22" s="563" t="s">
        <v>3727</v>
      </c>
      <c r="F22" s="564">
        <f>FIND("R",C22)</f>
        <v>1</v>
      </c>
      <c r="I22" s="201"/>
      <c r="J22" s="563" t="s">
        <v>3736</v>
      </c>
      <c r="K22" s="564"/>
      <c r="L22" s="564"/>
      <c r="M22" s="564" t="str">
        <f>MID(J22,5,5)</f>
        <v>ds</v>
      </c>
    </row>
    <row r="24">
      <c r="B24" s="566" t="s">
        <v>57</v>
      </c>
      <c r="C24" s="567" t="s">
        <v>3737</v>
      </c>
      <c r="D24" s="72"/>
      <c r="E24" s="568" t="s">
        <v>3738</v>
      </c>
      <c r="F24" s="569" t="str">
        <f>LEFT(C24,4)</f>
        <v>Milk</v>
      </c>
      <c r="I24" s="566" t="s">
        <v>68</v>
      </c>
      <c r="J24" s="568" t="s">
        <v>3739</v>
      </c>
      <c r="K24" s="569"/>
      <c r="L24" s="568" t="s">
        <v>3740</v>
      </c>
      <c r="M24" s="569">
        <f t="shared" ref="M24:M28" si="6">LEN(J24)</f>
        <v>13</v>
      </c>
    </row>
    <row r="25">
      <c r="B25" s="207"/>
      <c r="C25" s="567" t="s">
        <v>3741</v>
      </c>
      <c r="D25" s="72"/>
      <c r="E25" s="568" t="s">
        <v>3738</v>
      </c>
      <c r="F25" s="569" t="str">
        <f>LEFT(C25,11)</f>
        <v>Andromeda G</v>
      </c>
      <c r="I25" s="207"/>
      <c r="J25" s="568" t="s">
        <v>3742</v>
      </c>
      <c r="K25" s="569"/>
      <c r="L25" s="568" t="s">
        <v>3740</v>
      </c>
      <c r="M25" s="569">
        <f t="shared" si="6"/>
        <v>13</v>
      </c>
    </row>
    <row r="26">
      <c r="B26" s="207"/>
      <c r="C26" s="567" t="s">
        <v>3743</v>
      </c>
      <c r="D26" s="72"/>
      <c r="E26" s="568" t="s">
        <v>3738</v>
      </c>
      <c r="F26" s="569" t="str">
        <f>LEFT(C26,13)</f>
        <v>Triangulum Ga</v>
      </c>
      <c r="I26" s="207"/>
      <c r="J26" s="568" t="s">
        <v>3744</v>
      </c>
      <c r="K26" s="569"/>
      <c r="L26" s="568" t="s">
        <v>3740</v>
      </c>
      <c r="M26" s="569">
        <f t="shared" si="6"/>
        <v>13</v>
      </c>
    </row>
    <row r="27">
      <c r="B27" s="207"/>
      <c r="C27" s="567" t="s">
        <v>3745</v>
      </c>
      <c r="D27" s="72"/>
      <c r="E27" s="568" t="s">
        <v>3738</v>
      </c>
      <c r="F27" s="569" t="str">
        <f>LEFT(C27,14)</f>
        <v>Whirlpool Gala</v>
      </c>
      <c r="I27" s="207"/>
      <c r="J27" s="568" t="s">
        <v>3746</v>
      </c>
      <c r="K27" s="569"/>
      <c r="L27" s="568" t="s">
        <v>3740</v>
      </c>
      <c r="M27" s="569">
        <f t="shared" si="6"/>
        <v>9</v>
      </c>
    </row>
    <row r="28">
      <c r="B28" s="201"/>
      <c r="C28" s="567" t="s">
        <v>3747</v>
      </c>
      <c r="D28" s="72"/>
      <c r="E28" s="568" t="s">
        <v>3738</v>
      </c>
      <c r="F28" s="569" t="str">
        <f>LEFT(C28,3)</f>
        <v>Som</v>
      </c>
      <c r="I28" s="201"/>
      <c r="J28" s="568" t="s">
        <v>3748</v>
      </c>
      <c r="K28" s="569"/>
      <c r="L28" s="568" t="s">
        <v>3740</v>
      </c>
      <c r="M28" s="569">
        <f t="shared" si="6"/>
        <v>10</v>
      </c>
    </row>
    <row r="30">
      <c r="B30" s="570" t="s">
        <v>123</v>
      </c>
      <c r="C30" s="571" t="s">
        <v>3737</v>
      </c>
      <c r="D30" s="72"/>
      <c r="E30" s="572"/>
      <c r="F30" s="573" t="str">
        <f>RIGHT(C30,4)</f>
        <v> Way</v>
      </c>
      <c r="I30" s="574" t="s">
        <v>873</v>
      </c>
      <c r="J30" s="575" t="s">
        <v>3749</v>
      </c>
      <c r="K30" s="573"/>
      <c r="L30" s="573"/>
      <c r="M30" s="573"/>
    </row>
    <row r="31">
      <c r="B31" s="543"/>
      <c r="C31" s="571" t="s">
        <v>3741</v>
      </c>
      <c r="D31" s="72"/>
      <c r="E31" s="421"/>
      <c r="F31" s="573" t="str">
        <f>RIGHT(C31,10)</f>
        <v>eda Galaxy</v>
      </c>
      <c r="I31" s="207"/>
      <c r="J31" s="575" t="s">
        <v>3750</v>
      </c>
      <c r="K31" s="573"/>
      <c r="L31" s="573"/>
      <c r="M31" s="573"/>
    </row>
    <row r="32">
      <c r="B32" s="543"/>
      <c r="C32" s="571" t="s">
        <v>3743</v>
      </c>
      <c r="D32" s="72"/>
      <c r="E32" s="421"/>
      <c r="F32" s="573" t="str">
        <f>RIGHT(C32,12)</f>
        <v>gulum Galaxy</v>
      </c>
      <c r="I32" s="207"/>
      <c r="J32" s="575" t="s">
        <v>3751</v>
      </c>
      <c r="K32" s="573"/>
      <c r="L32" s="573"/>
      <c r="M32" s="573"/>
    </row>
    <row r="33">
      <c r="B33" s="543"/>
      <c r="C33" s="571" t="s">
        <v>3745</v>
      </c>
      <c r="D33" s="72"/>
      <c r="E33" s="421"/>
      <c r="F33" s="573" t="str">
        <f>RIGHT(C33,3)</f>
        <v>axy</v>
      </c>
      <c r="I33" s="207"/>
      <c r="J33" s="575" t="s">
        <v>3752</v>
      </c>
      <c r="K33" s="573"/>
      <c r="L33" s="573"/>
      <c r="M33" s="573"/>
    </row>
    <row r="34">
      <c r="B34" s="202"/>
      <c r="C34" s="571" t="s">
        <v>3747</v>
      </c>
      <c r="D34" s="72"/>
      <c r="E34" s="576"/>
      <c r="F34" s="573" t="str">
        <f>RIGHT(C34,7)</f>
        <v> Galaxy</v>
      </c>
      <c r="I34" s="201"/>
      <c r="J34" s="575" t="s">
        <v>3753</v>
      </c>
      <c r="K34" s="573"/>
      <c r="L34" s="573"/>
      <c r="M34" s="573"/>
    </row>
  </sheetData>
  <mergeCells count="38">
    <mergeCell ref="G2:H3"/>
    <mergeCell ref="C5:D5"/>
    <mergeCell ref="J5:K5"/>
    <mergeCell ref="I6:I10"/>
    <mergeCell ref="J6:K6"/>
    <mergeCell ref="J7:K7"/>
    <mergeCell ref="J10:K10"/>
    <mergeCell ref="I12:I16"/>
    <mergeCell ref="I18:I22"/>
    <mergeCell ref="I24:I28"/>
    <mergeCell ref="I30:I34"/>
    <mergeCell ref="J8:K8"/>
    <mergeCell ref="J9:K9"/>
    <mergeCell ref="J12:K12"/>
    <mergeCell ref="J13:K13"/>
    <mergeCell ref="J14:K14"/>
    <mergeCell ref="J15:K15"/>
    <mergeCell ref="J16:K16"/>
    <mergeCell ref="B18:B22"/>
    <mergeCell ref="B24:B28"/>
    <mergeCell ref="B30:B34"/>
    <mergeCell ref="B6:B10"/>
    <mergeCell ref="B12:B16"/>
    <mergeCell ref="C18:D18"/>
    <mergeCell ref="C19:D19"/>
    <mergeCell ref="C20:D20"/>
    <mergeCell ref="C21:D21"/>
    <mergeCell ref="C22:D22"/>
    <mergeCell ref="C32:D32"/>
    <mergeCell ref="C33:D33"/>
    <mergeCell ref="C34:D34"/>
    <mergeCell ref="C24:D24"/>
    <mergeCell ref="C25:D25"/>
    <mergeCell ref="C26:D26"/>
    <mergeCell ref="C27:D27"/>
    <mergeCell ref="C28:D28"/>
    <mergeCell ref="C30:D30"/>
    <mergeCell ref="C31:D31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  <col customWidth="1" min="7" max="7" width="21.63"/>
    <col customWidth="1" min="9" max="9" width="16.75"/>
  </cols>
  <sheetData>
    <row r="2">
      <c r="B2" s="577" t="s">
        <v>3605</v>
      </c>
      <c r="C2" s="568" t="s">
        <v>3754</v>
      </c>
      <c r="D2" s="569"/>
      <c r="E2" s="568" t="s">
        <v>2111</v>
      </c>
      <c r="F2" s="569"/>
      <c r="G2" s="568" t="s">
        <v>4</v>
      </c>
      <c r="H2" s="568"/>
      <c r="I2" s="568" t="s">
        <v>5</v>
      </c>
      <c r="J2" s="1"/>
    </row>
    <row r="3">
      <c r="B3" s="578"/>
      <c r="C3" s="579"/>
      <c r="D3" s="579"/>
      <c r="E3" s="579"/>
      <c r="F3" s="579"/>
      <c r="G3" s="579"/>
      <c r="H3" s="579"/>
      <c r="I3" s="579"/>
    </row>
    <row r="4">
      <c r="B4" s="580">
        <v>1.0</v>
      </c>
      <c r="C4" s="581" t="s">
        <v>1771</v>
      </c>
      <c r="D4" s="579"/>
      <c r="E4" s="582">
        <v>65.0</v>
      </c>
      <c r="F4" s="579"/>
      <c r="G4" s="582" t="s">
        <v>3755</v>
      </c>
      <c r="H4" s="579"/>
      <c r="I4" s="579" t="str">
        <f t="shared" ref="I4:I8" si="1">CHAR(E4)</f>
        <v>A</v>
      </c>
    </row>
    <row r="5">
      <c r="B5" s="578"/>
      <c r="C5" s="579"/>
      <c r="D5" s="579"/>
      <c r="E5" s="582">
        <v>66.0</v>
      </c>
      <c r="F5" s="579"/>
      <c r="G5" s="582" t="s">
        <v>3756</v>
      </c>
      <c r="H5" s="579"/>
      <c r="I5" s="579" t="str">
        <f t="shared" si="1"/>
        <v>B</v>
      </c>
    </row>
    <row r="6">
      <c r="B6" s="578"/>
      <c r="C6" s="579"/>
      <c r="D6" s="579"/>
      <c r="E6" s="582">
        <v>97.0</v>
      </c>
      <c r="F6" s="579"/>
      <c r="G6" s="582" t="s">
        <v>3757</v>
      </c>
      <c r="H6" s="579"/>
      <c r="I6" s="579" t="str">
        <f t="shared" si="1"/>
        <v>a</v>
      </c>
    </row>
    <row r="7">
      <c r="B7" s="578"/>
      <c r="C7" s="579"/>
      <c r="D7" s="579"/>
      <c r="E7" s="582">
        <v>48.0</v>
      </c>
      <c r="F7" s="579"/>
      <c r="G7" s="582" t="s">
        <v>3758</v>
      </c>
      <c r="H7" s="579"/>
      <c r="I7" s="579" t="str">
        <f t="shared" si="1"/>
        <v>0</v>
      </c>
    </row>
    <row r="8">
      <c r="B8" s="578"/>
      <c r="C8" s="579"/>
      <c r="D8" s="579"/>
      <c r="E8" s="582">
        <v>33.0</v>
      </c>
      <c r="F8" s="579"/>
      <c r="G8" s="582" t="s">
        <v>3759</v>
      </c>
      <c r="H8" s="579"/>
      <c r="I8" s="579" t="str">
        <f t="shared" si="1"/>
        <v>!</v>
      </c>
    </row>
    <row r="9">
      <c r="B9" s="578"/>
      <c r="C9" s="579"/>
      <c r="D9" s="579"/>
      <c r="E9" s="579"/>
      <c r="F9" s="579"/>
      <c r="G9" s="579"/>
      <c r="H9" s="579"/>
      <c r="I9" s="579"/>
    </row>
    <row r="10">
      <c r="B10" s="583">
        <v>2.0</v>
      </c>
      <c r="C10" s="584" t="s">
        <v>3760</v>
      </c>
      <c r="D10" s="585"/>
      <c r="E10" s="584" t="s">
        <v>3761</v>
      </c>
      <c r="F10" s="585"/>
      <c r="G10" s="584" t="s">
        <v>3762</v>
      </c>
      <c r="H10" s="585"/>
      <c r="I10" s="585" t="str">
        <f>CONCAT(E10,E11)</f>
        <v>KhushbuARC</v>
      </c>
    </row>
    <row r="11">
      <c r="B11" s="578"/>
      <c r="C11" s="425"/>
      <c r="D11" s="425"/>
      <c r="E11" s="424" t="s">
        <v>238</v>
      </c>
      <c r="F11" s="425"/>
      <c r="G11" s="425"/>
      <c r="H11" s="425"/>
      <c r="I11" s="425"/>
    </row>
    <row r="12">
      <c r="B12" s="578"/>
      <c r="C12" s="425"/>
      <c r="D12" s="425"/>
      <c r="E12" s="425"/>
      <c r="F12" s="425"/>
      <c r="G12" s="425"/>
      <c r="H12" s="425"/>
      <c r="I12" s="425"/>
    </row>
    <row r="13">
      <c r="B13" s="578"/>
      <c r="C13" s="425"/>
      <c r="D13" s="425"/>
      <c r="E13" s="424" t="s">
        <v>720</v>
      </c>
      <c r="F13" s="425"/>
      <c r="G13" s="424" t="s">
        <v>3763</v>
      </c>
      <c r="H13" s="425"/>
      <c r="I13" s="425" t="str">
        <f>CONCAT(E13,E14)</f>
        <v>JavaDeveloper</v>
      </c>
    </row>
    <row r="14">
      <c r="B14" s="578"/>
      <c r="C14" s="425"/>
      <c r="D14" s="425"/>
      <c r="E14" s="424" t="s">
        <v>852</v>
      </c>
      <c r="F14" s="425"/>
      <c r="G14" s="425"/>
      <c r="H14" s="425"/>
      <c r="I14" s="425"/>
    </row>
    <row r="15">
      <c r="B15" s="578"/>
      <c r="C15" s="425"/>
      <c r="D15" s="425"/>
      <c r="E15" s="425"/>
      <c r="F15" s="425"/>
      <c r="G15" s="425"/>
      <c r="H15" s="425"/>
      <c r="I15" s="425"/>
    </row>
    <row r="16">
      <c r="B16" s="578"/>
      <c r="C16" s="425"/>
      <c r="D16" s="425"/>
      <c r="E16" s="424" t="s">
        <v>3</v>
      </c>
      <c r="F16" s="425"/>
      <c r="G16" s="424" t="s">
        <v>3764</v>
      </c>
      <c r="H16" s="425"/>
      <c r="I16" s="425" t="str">
        <f>CONCAT(E16,E17)</f>
        <v>DataScience</v>
      </c>
    </row>
    <row r="17">
      <c r="B17" s="578"/>
      <c r="C17" s="425"/>
      <c r="D17" s="425"/>
      <c r="E17" s="424" t="s">
        <v>827</v>
      </c>
      <c r="F17" s="425"/>
      <c r="G17" s="425"/>
      <c r="H17" s="425"/>
      <c r="I17" s="425"/>
    </row>
    <row r="18">
      <c r="B18" s="578"/>
      <c r="C18" s="425"/>
      <c r="D18" s="425"/>
      <c r="E18" s="425"/>
      <c r="F18" s="425"/>
      <c r="G18" s="425"/>
      <c r="H18" s="425"/>
      <c r="I18" s="425"/>
    </row>
    <row r="19">
      <c r="B19" s="578"/>
      <c r="C19" s="425"/>
      <c r="D19" s="425"/>
      <c r="E19" s="424" t="s">
        <v>763</v>
      </c>
      <c r="F19" s="425"/>
      <c r="G19" s="424" t="s">
        <v>3765</v>
      </c>
      <c r="H19" s="425"/>
      <c r="I19" s="425" t="str">
        <f>CONCAT(E19,E20)</f>
        <v>Helloworld</v>
      </c>
    </row>
    <row r="20">
      <c r="B20" s="578"/>
      <c r="C20" s="425"/>
      <c r="D20" s="425"/>
      <c r="E20" s="424" t="s">
        <v>3766</v>
      </c>
      <c r="F20" s="425"/>
      <c r="G20" s="425"/>
      <c r="H20" s="425"/>
      <c r="I20" s="425"/>
    </row>
    <row r="21">
      <c r="B21" s="578"/>
      <c r="C21" s="425"/>
      <c r="D21" s="425"/>
      <c r="E21" s="425"/>
      <c r="F21" s="425"/>
      <c r="G21" s="425"/>
      <c r="H21" s="425"/>
      <c r="I21" s="425"/>
    </row>
    <row r="22">
      <c r="B22" s="578"/>
      <c r="C22" s="425"/>
      <c r="D22" s="425"/>
      <c r="E22" s="424" t="s">
        <v>259</v>
      </c>
      <c r="F22" s="425"/>
      <c r="G22" s="425"/>
      <c r="H22" s="425"/>
      <c r="I22" s="425" t="str">
        <f>CONCAT(E22,E23)</f>
        <v>ExcelPractice</v>
      </c>
    </row>
    <row r="23">
      <c r="B23" s="578"/>
      <c r="C23" s="425"/>
      <c r="D23" s="425"/>
      <c r="E23" s="424" t="s">
        <v>3767</v>
      </c>
      <c r="F23" s="425"/>
      <c r="G23" s="425"/>
      <c r="H23" s="425"/>
      <c r="I23" s="425"/>
    </row>
    <row r="24">
      <c r="B24" s="586"/>
      <c r="C24" s="587"/>
      <c r="D24" s="587"/>
      <c r="E24" s="587"/>
      <c r="F24" s="587"/>
      <c r="G24" s="587"/>
      <c r="H24" s="587"/>
      <c r="I24" s="587"/>
    </row>
    <row r="25">
      <c r="B25" s="580">
        <v>3.0</v>
      </c>
      <c r="C25" s="582" t="s">
        <v>250</v>
      </c>
      <c r="D25" s="579"/>
      <c r="E25" s="582" t="s">
        <v>3768</v>
      </c>
      <c r="F25" s="579"/>
      <c r="G25" s="582" t="s">
        <v>1710</v>
      </c>
      <c r="H25" s="579"/>
      <c r="I25" s="579" t="str">
        <f>CLEAN(E25)</f>
        <v>Priyadarshini College</v>
      </c>
    </row>
    <row r="26">
      <c r="B26" s="578"/>
      <c r="C26" s="579"/>
      <c r="D26" s="579"/>
      <c r="E26" s="579"/>
      <c r="F26" s="579"/>
      <c r="G26" s="579"/>
      <c r="H26" s="579"/>
      <c r="I26" s="579"/>
    </row>
    <row r="27">
      <c r="B27" s="578"/>
      <c r="C27" s="579"/>
      <c r="D27" s="579"/>
      <c r="E27" s="582" t="s">
        <v>3769</v>
      </c>
      <c r="F27" s="579"/>
      <c r="G27" s="582" t="s">
        <v>3770</v>
      </c>
      <c r="H27" s="579"/>
      <c r="I27" s="579" t="str">
        <f>CLEAN(E27)</f>
        <v>Nagpur-Metro</v>
      </c>
    </row>
    <row r="28">
      <c r="B28" s="578"/>
      <c r="C28" s="579"/>
      <c r="D28" s="579"/>
      <c r="E28" s="579"/>
      <c r="F28" s="579"/>
      <c r="G28" s="579"/>
      <c r="H28" s="579"/>
      <c r="I28" s="579"/>
    </row>
    <row r="29">
      <c r="B29" s="578"/>
      <c r="C29" s="579"/>
      <c r="D29" s="579"/>
      <c r="E29" s="582" t="s">
        <v>3771</v>
      </c>
      <c r="F29" s="579"/>
      <c r="G29" s="582" t="s">
        <v>3772</v>
      </c>
      <c r="H29" s="579"/>
      <c r="I29" s="579" t="str">
        <f>CLEAN(E29)</f>
        <v>Java_Developer</v>
      </c>
    </row>
    <row r="30">
      <c r="B30" s="578"/>
      <c r="C30" s="579"/>
      <c r="D30" s="579"/>
      <c r="E30" s="579"/>
      <c r="F30" s="579"/>
      <c r="G30" s="579"/>
      <c r="H30" s="579"/>
      <c r="I30" s="579"/>
    </row>
    <row r="31">
      <c r="B31" s="578"/>
      <c r="C31" s="579"/>
      <c r="D31" s="579"/>
      <c r="E31" s="582" t="s">
        <v>3773</v>
      </c>
      <c r="F31" s="579"/>
      <c r="G31" s="582" t="s">
        <v>3774</v>
      </c>
      <c r="H31" s="579"/>
      <c r="I31" s="579" t="str">
        <f>CLEAN(E31)</f>
        <v>Smart_Blind_Stick</v>
      </c>
    </row>
    <row r="32">
      <c r="B32" s="578"/>
      <c r="C32" s="579"/>
      <c r="D32" s="579"/>
      <c r="E32" s="579"/>
      <c r="F32" s="579"/>
      <c r="G32" s="579"/>
      <c r="H32" s="579"/>
      <c r="I32" s="579"/>
    </row>
    <row r="33">
      <c r="B33" s="578"/>
      <c r="C33" s="579"/>
      <c r="D33" s="579"/>
      <c r="E33" s="582" t="s">
        <v>3775</v>
      </c>
      <c r="F33" s="579"/>
      <c r="G33" s="582" t="s">
        <v>3776</v>
      </c>
      <c r="H33" s="579"/>
      <c r="I33" s="579" t="str">
        <f>CLEAN(E33)</f>
        <v>Data-Analytics</v>
      </c>
    </row>
    <row r="34">
      <c r="B34" s="586"/>
      <c r="C34" s="588"/>
      <c r="D34" s="588"/>
      <c r="E34" s="588"/>
      <c r="F34" s="588"/>
      <c r="G34" s="588"/>
      <c r="H34" s="588"/>
      <c r="I34" s="588"/>
    </row>
    <row r="35">
      <c r="B35" s="580">
        <v>4.0</v>
      </c>
      <c r="C35" s="424" t="s">
        <v>261</v>
      </c>
      <c r="D35" s="425"/>
      <c r="E35" s="424" t="s">
        <v>615</v>
      </c>
      <c r="F35" s="425"/>
      <c r="G35" s="424" t="s">
        <v>56</v>
      </c>
      <c r="H35" s="425"/>
      <c r="I35" s="425" t="b">
        <f>EXACT(E35,E36)</f>
        <v>1</v>
      </c>
    </row>
    <row r="36">
      <c r="B36" s="578"/>
      <c r="C36" s="425"/>
      <c r="D36" s="425"/>
      <c r="E36" s="424" t="s">
        <v>615</v>
      </c>
      <c r="F36" s="425"/>
      <c r="G36" s="425"/>
      <c r="H36" s="425"/>
      <c r="I36" s="425"/>
    </row>
    <row r="37">
      <c r="B37" s="578"/>
      <c r="C37" s="425"/>
      <c r="D37" s="425"/>
      <c r="E37" s="425"/>
      <c r="F37" s="425"/>
      <c r="G37" s="425"/>
      <c r="H37" s="425"/>
      <c r="I37" s="425"/>
    </row>
    <row r="38">
      <c r="B38" s="578"/>
      <c r="C38" s="425"/>
      <c r="D38" s="425"/>
      <c r="E38" s="424" t="s">
        <v>3777</v>
      </c>
      <c r="F38" s="425"/>
      <c r="G38" s="424" t="s">
        <v>2334</v>
      </c>
      <c r="H38" s="425"/>
      <c r="I38" s="425" t="b">
        <f>EXACT(E38,E39)</f>
        <v>0</v>
      </c>
    </row>
    <row r="39">
      <c r="B39" s="578"/>
      <c r="C39" s="425"/>
      <c r="D39" s="425"/>
      <c r="E39" s="424" t="s">
        <v>220</v>
      </c>
      <c r="F39" s="425"/>
      <c r="G39" s="425"/>
      <c r="H39" s="425"/>
      <c r="I39" s="425"/>
    </row>
    <row r="40">
      <c r="B40" s="578"/>
      <c r="C40" s="425"/>
      <c r="D40" s="425"/>
      <c r="E40" s="425"/>
      <c r="F40" s="425"/>
      <c r="G40" s="425"/>
      <c r="H40" s="425"/>
      <c r="I40" s="425"/>
    </row>
    <row r="41">
      <c r="B41" s="578"/>
      <c r="C41" s="425"/>
      <c r="D41" s="425"/>
      <c r="E41" s="424" t="s">
        <v>1270</v>
      </c>
      <c r="F41" s="425"/>
      <c r="G41" s="424" t="s">
        <v>3778</v>
      </c>
      <c r="H41" s="425"/>
      <c r="I41" s="425" t="b">
        <f>EXACT(E41,E42)</f>
        <v>0</v>
      </c>
    </row>
    <row r="42">
      <c r="B42" s="578"/>
      <c r="C42" s="425"/>
      <c r="D42" s="425"/>
      <c r="E42" s="424" t="s">
        <v>3779</v>
      </c>
      <c r="F42" s="425"/>
      <c r="G42" s="425"/>
      <c r="H42" s="425"/>
      <c r="I42" s="425"/>
    </row>
    <row r="43">
      <c r="B43" s="578"/>
      <c r="C43" s="425"/>
      <c r="D43" s="425"/>
      <c r="E43" s="425"/>
      <c r="F43" s="425"/>
      <c r="G43" s="425"/>
      <c r="H43" s="425"/>
      <c r="I43" s="425"/>
    </row>
    <row r="44">
      <c r="B44" s="578"/>
      <c r="C44" s="425"/>
      <c r="D44" s="425"/>
      <c r="E44" s="424" t="s">
        <v>3780</v>
      </c>
      <c r="F44" s="425"/>
      <c r="G44" s="424" t="s">
        <v>3781</v>
      </c>
      <c r="H44" s="425"/>
      <c r="I44" s="425" t="b">
        <f>EXACT(E44,E45)</f>
        <v>1</v>
      </c>
    </row>
    <row r="45">
      <c r="B45" s="578"/>
      <c r="C45" s="425"/>
      <c r="D45" s="425"/>
      <c r="E45" s="424" t="s">
        <v>3780</v>
      </c>
      <c r="F45" s="425"/>
      <c r="G45" s="425"/>
      <c r="H45" s="425"/>
      <c r="I45" s="425"/>
    </row>
    <row r="46">
      <c r="B46" s="578"/>
      <c r="C46" s="425"/>
      <c r="D46" s="425"/>
      <c r="E46" s="425"/>
      <c r="F46" s="425"/>
      <c r="G46" s="425"/>
      <c r="H46" s="425"/>
      <c r="I46" s="425"/>
    </row>
    <row r="47">
      <c r="B47" s="578"/>
      <c r="C47" s="425"/>
      <c r="D47" s="425"/>
      <c r="E47" s="424" t="s">
        <v>3782</v>
      </c>
      <c r="F47" s="425"/>
      <c r="G47" s="424" t="s">
        <v>3783</v>
      </c>
      <c r="H47" s="425"/>
      <c r="I47" s="425" t="b">
        <f>EXACT(E47,E48)</f>
        <v>1</v>
      </c>
    </row>
    <row r="48">
      <c r="B48" s="578"/>
      <c r="C48" s="425"/>
      <c r="D48" s="425"/>
      <c r="E48" s="424" t="s">
        <v>3782</v>
      </c>
      <c r="F48" s="425"/>
      <c r="G48" s="425"/>
      <c r="H48" s="425"/>
      <c r="I48" s="425"/>
    </row>
    <row r="49">
      <c r="B49" s="586"/>
      <c r="C49" s="587"/>
      <c r="D49" s="587"/>
      <c r="E49" s="587"/>
      <c r="F49" s="587"/>
      <c r="G49" s="587"/>
      <c r="H49" s="587"/>
      <c r="I49" s="587"/>
    </row>
    <row r="50">
      <c r="B50" s="580">
        <v>5.0</v>
      </c>
      <c r="C50" s="582" t="s">
        <v>270</v>
      </c>
      <c r="D50" s="579"/>
      <c r="E50" s="582" t="s">
        <v>827</v>
      </c>
      <c r="F50" s="579"/>
      <c r="G50" s="582" t="s">
        <v>3784</v>
      </c>
      <c r="H50" s="579"/>
      <c r="I50" s="579">
        <f>FIND("c",E50)</f>
        <v>2</v>
      </c>
    </row>
    <row r="51">
      <c r="B51" s="578"/>
      <c r="C51" s="579"/>
      <c r="D51" s="579"/>
      <c r="E51" s="579"/>
      <c r="F51" s="579"/>
      <c r="G51" s="579"/>
      <c r="H51" s="579"/>
      <c r="I51" s="579"/>
    </row>
    <row r="52">
      <c r="B52" s="578"/>
      <c r="C52" s="579"/>
      <c r="D52" s="579"/>
      <c r="E52" s="582" t="s">
        <v>3785</v>
      </c>
      <c r="F52" s="579"/>
      <c r="G52" s="582" t="s">
        <v>3786</v>
      </c>
      <c r="H52" s="579"/>
      <c r="I52" s="579">
        <f>FIND("t",E52,3)</f>
        <v>7</v>
      </c>
    </row>
    <row r="53">
      <c r="B53" s="578"/>
      <c r="C53" s="579"/>
      <c r="D53" s="579"/>
      <c r="E53" s="579"/>
      <c r="F53" s="579"/>
      <c r="G53" s="579"/>
      <c r="H53" s="579"/>
      <c r="I53" s="579"/>
    </row>
    <row r="54">
      <c r="B54" s="578"/>
      <c r="C54" s="579"/>
      <c r="D54" s="579"/>
      <c r="E54" s="582" t="s">
        <v>3787</v>
      </c>
      <c r="F54" s="579"/>
      <c r="G54" s="582" t="s">
        <v>3788</v>
      </c>
      <c r="H54" s="579"/>
      <c r="I54" s="579">
        <f>FIND("e",E54,3)</f>
        <v>4</v>
      </c>
    </row>
    <row r="55">
      <c r="B55" s="578"/>
      <c r="C55" s="579"/>
      <c r="D55" s="579"/>
      <c r="E55" s="579"/>
      <c r="F55" s="579"/>
      <c r="G55" s="579"/>
      <c r="H55" s="579"/>
      <c r="I55" s="579"/>
    </row>
    <row r="56">
      <c r="B56" s="578"/>
      <c r="C56" s="579"/>
      <c r="D56" s="579"/>
      <c r="E56" s="582" t="s">
        <v>801</v>
      </c>
      <c r="F56" s="579"/>
      <c r="G56" s="582" t="s">
        <v>3789</v>
      </c>
      <c r="H56" s="579"/>
      <c r="I56" s="579">
        <f>FIND("a",E56,3)</f>
        <v>4</v>
      </c>
    </row>
    <row r="57">
      <c r="B57" s="578"/>
      <c r="C57" s="579"/>
      <c r="D57" s="579"/>
      <c r="E57" s="579"/>
      <c r="F57" s="579"/>
      <c r="G57" s="579"/>
      <c r="H57" s="579"/>
      <c r="I57" s="579"/>
    </row>
    <row r="58">
      <c r="B58" s="578"/>
      <c r="C58" s="579"/>
      <c r="D58" s="579"/>
      <c r="E58" s="582" t="s">
        <v>630</v>
      </c>
      <c r="F58" s="579"/>
      <c r="G58" s="582" t="s">
        <v>3790</v>
      </c>
      <c r="H58" s="579"/>
      <c r="I58" s="579">
        <f>FIND("p",E58)</f>
        <v>3</v>
      </c>
    </row>
    <row r="59">
      <c r="B59" s="586"/>
      <c r="C59" s="588"/>
      <c r="D59" s="588"/>
      <c r="E59" s="588"/>
      <c r="F59" s="588"/>
      <c r="G59" s="588"/>
      <c r="H59" s="588"/>
      <c r="I59" s="588"/>
    </row>
    <row r="60">
      <c r="B60" s="580">
        <v>6.0</v>
      </c>
      <c r="C60" s="424" t="s">
        <v>3791</v>
      </c>
      <c r="D60" s="425"/>
      <c r="E60" s="424" t="s">
        <v>3792</v>
      </c>
      <c r="F60" s="425"/>
      <c r="G60" s="424" t="s">
        <v>3793</v>
      </c>
      <c r="H60" s="425"/>
      <c r="I60" s="425" t="str">
        <f>LEFT(E60,3)</f>
        <v>Uni</v>
      </c>
    </row>
    <row r="61">
      <c r="B61" s="578"/>
      <c r="C61" s="425"/>
      <c r="D61" s="425"/>
      <c r="E61" s="425"/>
      <c r="F61" s="425"/>
      <c r="G61" s="425"/>
      <c r="H61" s="425"/>
      <c r="I61" s="425"/>
    </row>
    <row r="62">
      <c r="B62" s="578"/>
      <c r="C62" s="425"/>
      <c r="D62" s="425"/>
      <c r="E62" s="424" t="s">
        <v>3794</v>
      </c>
      <c r="F62" s="425"/>
      <c r="G62" s="424" t="s">
        <v>3795</v>
      </c>
      <c r="H62" s="425"/>
      <c r="I62" s="425" t="str">
        <f>LEFT(E62,4)</f>
        <v>Fest</v>
      </c>
    </row>
    <row r="63">
      <c r="B63" s="578"/>
      <c r="C63" s="425"/>
      <c r="D63" s="425"/>
      <c r="E63" s="425"/>
      <c r="F63" s="425"/>
      <c r="G63" s="425"/>
      <c r="H63" s="425"/>
      <c r="I63" s="425"/>
    </row>
    <row r="64">
      <c r="B64" s="578"/>
      <c r="C64" s="425"/>
      <c r="D64" s="425"/>
      <c r="E64" s="424" t="s">
        <v>436</v>
      </c>
      <c r="F64" s="425"/>
      <c r="G64" s="424" t="s">
        <v>3796</v>
      </c>
      <c r="H64" s="425"/>
      <c r="I64" s="425" t="str">
        <f>LEFT(E64,2)</f>
        <v>El</v>
      </c>
    </row>
    <row r="65">
      <c r="B65" s="578"/>
      <c r="C65" s="425"/>
      <c r="D65" s="425"/>
      <c r="E65" s="425"/>
      <c r="F65" s="425"/>
      <c r="G65" s="425"/>
      <c r="H65" s="425"/>
      <c r="I65" s="425"/>
    </row>
    <row r="66">
      <c r="B66" s="578"/>
      <c r="C66" s="425"/>
      <c r="D66" s="425"/>
      <c r="E66" s="424" t="s">
        <v>3797</v>
      </c>
      <c r="F66" s="425"/>
      <c r="G66" s="424" t="s">
        <v>3798</v>
      </c>
      <c r="H66" s="425"/>
      <c r="I66" s="425" t="str">
        <f>LEFT(E66,4)</f>
        <v>Moun</v>
      </c>
    </row>
    <row r="67">
      <c r="B67" s="578"/>
      <c r="C67" s="425"/>
      <c r="D67" s="425"/>
      <c r="E67" s="425"/>
      <c r="F67" s="425"/>
      <c r="G67" s="425"/>
      <c r="H67" s="425"/>
      <c r="I67" s="425"/>
    </row>
    <row r="68">
      <c r="B68" s="578"/>
      <c r="C68" s="425"/>
      <c r="D68" s="425"/>
      <c r="E68" s="424" t="s">
        <v>3799</v>
      </c>
      <c r="F68" s="425"/>
      <c r="G68" s="424" t="s">
        <v>3800</v>
      </c>
      <c r="H68" s="425"/>
      <c r="I68" s="425" t="str">
        <f>LEFT(E68,5)</f>
        <v>Hospi</v>
      </c>
    </row>
    <row r="69">
      <c r="B69" s="586"/>
      <c r="C69" s="587"/>
      <c r="D69" s="587"/>
      <c r="E69" s="587"/>
      <c r="F69" s="587"/>
      <c r="G69" s="587"/>
      <c r="H69" s="587"/>
      <c r="I69" s="587"/>
    </row>
    <row r="70">
      <c r="B70" s="580">
        <v>7.0</v>
      </c>
      <c r="C70" s="582" t="s">
        <v>285</v>
      </c>
      <c r="D70" s="579"/>
      <c r="E70" s="582" t="s">
        <v>3801</v>
      </c>
      <c r="F70" s="579"/>
      <c r="G70" s="582" t="s">
        <v>3802</v>
      </c>
      <c r="H70" s="579"/>
      <c r="I70" s="579" t="str">
        <f>RIGHT(E70,3)</f>
        <v>ate</v>
      </c>
    </row>
    <row r="71">
      <c r="B71" s="578"/>
      <c r="C71" s="579"/>
      <c r="D71" s="579"/>
      <c r="E71" s="579"/>
      <c r="F71" s="579"/>
      <c r="G71" s="579"/>
      <c r="H71" s="579"/>
      <c r="I71" s="579"/>
    </row>
    <row r="72">
      <c r="B72" s="578"/>
      <c r="C72" s="579"/>
      <c r="D72" s="579"/>
      <c r="E72" s="582" t="s">
        <v>1570</v>
      </c>
      <c r="F72" s="579"/>
      <c r="G72" s="582" t="s">
        <v>3802</v>
      </c>
      <c r="H72" s="579"/>
      <c r="I72" s="579" t="str">
        <f>RIGHT(E72,4)</f>
        <v>book</v>
      </c>
    </row>
    <row r="73">
      <c r="B73" s="578"/>
      <c r="C73" s="579"/>
      <c r="D73" s="579"/>
      <c r="E73" s="579"/>
      <c r="F73" s="579"/>
      <c r="G73" s="579"/>
      <c r="H73" s="579"/>
      <c r="I73" s="579"/>
    </row>
    <row r="74">
      <c r="B74" s="578"/>
      <c r="C74" s="579"/>
      <c r="D74" s="579"/>
      <c r="E74" s="582" t="s">
        <v>3803</v>
      </c>
      <c r="F74" s="579"/>
      <c r="G74" s="582" t="s">
        <v>3804</v>
      </c>
      <c r="H74" s="579"/>
      <c r="I74" s="579" t="str">
        <f>RIGHT(E74,3)</f>
        <v>all</v>
      </c>
    </row>
    <row r="75">
      <c r="B75" s="578"/>
      <c r="C75" s="579"/>
      <c r="D75" s="579"/>
      <c r="E75" s="579"/>
      <c r="F75" s="579"/>
      <c r="G75" s="579"/>
      <c r="H75" s="579"/>
      <c r="I75" s="579"/>
    </row>
    <row r="76">
      <c r="B76" s="578"/>
      <c r="C76" s="579"/>
      <c r="D76" s="579"/>
      <c r="E76" s="582" t="s">
        <v>2478</v>
      </c>
      <c r="F76" s="579"/>
      <c r="G76" s="582" t="s">
        <v>3805</v>
      </c>
      <c r="H76" s="579"/>
      <c r="I76" s="579" t="str">
        <f>RIGHT(E76,4)</f>
        <v>oard</v>
      </c>
    </row>
    <row r="77">
      <c r="B77" s="578"/>
      <c r="C77" s="579"/>
      <c r="D77" s="579"/>
      <c r="E77" s="579"/>
      <c r="F77" s="579"/>
      <c r="G77" s="579"/>
      <c r="H77" s="579"/>
      <c r="I77" s="579"/>
    </row>
    <row r="78">
      <c r="B78" s="578"/>
      <c r="C78" s="579"/>
      <c r="D78" s="579"/>
      <c r="E78" s="582" t="s">
        <v>632</v>
      </c>
      <c r="F78" s="579"/>
      <c r="G78" s="582" t="s">
        <v>3806</v>
      </c>
      <c r="H78" s="579"/>
      <c r="I78" s="579" t="str">
        <f>RIGHT(E78,4)</f>
        <v>rnet</v>
      </c>
    </row>
    <row r="79">
      <c r="B79" s="586"/>
      <c r="C79" s="588"/>
      <c r="D79" s="588"/>
      <c r="E79" s="588"/>
      <c r="F79" s="588"/>
      <c r="G79" s="588"/>
      <c r="H79" s="588"/>
      <c r="I79" s="588"/>
    </row>
    <row r="80">
      <c r="B80" s="580">
        <v>8.0</v>
      </c>
      <c r="C80" s="424" t="s">
        <v>90</v>
      </c>
      <c r="D80" s="425"/>
      <c r="E80" s="424" t="s">
        <v>3801</v>
      </c>
      <c r="F80" s="425"/>
      <c r="G80" s="424" t="s">
        <v>3807</v>
      </c>
      <c r="H80" s="425"/>
      <c r="I80" s="425" t="str">
        <f>MID(E80,2,4)</f>
        <v>hoco</v>
      </c>
    </row>
    <row r="81">
      <c r="B81" s="578"/>
      <c r="C81" s="425"/>
      <c r="D81" s="425"/>
      <c r="E81" s="425"/>
      <c r="F81" s="425"/>
      <c r="G81" s="425"/>
      <c r="H81" s="425"/>
      <c r="I81" s="425"/>
    </row>
    <row r="82">
      <c r="B82" s="578"/>
      <c r="C82" s="425"/>
      <c r="D82" s="425"/>
      <c r="E82" s="424" t="s">
        <v>3799</v>
      </c>
      <c r="F82" s="425"/>
      <c r="G82" s="424" t="s">
        <v>3808</v>
      </c>
      <c r="H82" s="425"/>
      <c r="I82" s="425" t="str">
        <f>MID(E82,3,5)</f>
        <v>spita</v>
      </c>
    </row>
    <row r="83">
      <c r="B83" s="578"/>
      <c r="C83" s="425"/>
      <c r="D83" s="425"/>
      <c r="E83" s="425"/>
      <c r="F83" s="425"/>
      <c r="G83" s="425"/>
      <c r="H83" s="425"/>
      <c r="I83" s="425"/>
    </row>
    <row r="84">
      <c r="B84" s="578"/>
      <c r="C84" s="425"/>
      <c r="D84" s="425"/>
      <c r="E84" s="424" t="s">
        <v>942</v>
      </c>
      <c r="F84" s="425"/>
      <c r="G84" s="424" t="s">
        <v>3809</v>
      </c>
      <c r="H84" s="425"/>
      <c r="I84" s="425" t="str">
        <f>MID(E84,2,1)</f>
        <v>l</v>
      </c>
    </row>
    <row r="85">
      <c r="B85" s="578"/>
      <c r="C85" s="425"/>
      <c r="D85" s="425"/>
      <c r="E85" s="425"/>
      <c r="F85" s="425"/>
      <c r="G85" s="425"/>
      <c r="H85" s="425"/>
      <c r="I85" s="425"/>
    </row>
    <row r="86">
      <c r="B86" s="578"/>
      <c r="C86" s="425"/>
      <c r="D86" s="425"/>
      <c r="E86" s="424" t="s">
        <v>3779</v>
      </c>
      <c r="F86" s="425"/>
      <c r="G86" s="424" t="s">
        <v>3810</v>
      </c>
      <c r="H86" s="425"/>
      <c r="I86" s="425" t="str">
        <f>MID(E86,3,4)</f>
        <v>mput</v>
      </c>
    </row>
    <row r="87">
      <c r="B87" s="578"/>
      <c r="C87" s="425"/>
      <c r="D87" s="425"/>
      <c r="E87" s="425"/>
      <c r="F87" s="425"/>
      <c r="G87" s="425"/>
      <c r="H87" s="425"/>
      <c r="I87" s="425"/>
    </row>
    <row r="88">
      <c r="B88" s="578"/>
      <c r="C88" s="425"/>
      <c r="D88" s="425"/>
      <c r="E88" s="424" t="s">
        <v>1570</v>
      </c>
      <c r="F88" s="425"/>
      <c r="G88" s="424" t="s">
        <v>3811</v>
      </c>
      <c r="H88" s="425"/>
      <c r="I88" s="425" t="str">
        <f>MID(E88,4,4)</f>
        <v>eboo</v>
      </c>
    </row>
    <row r="89">
      <c r="B89" s="586"/>
      <c r="C89" s="587"/>
      <c r="D89" s="587"/>
      <c r="E89" s="587"/>
      <c r="F89" s="587"/>
      <c r="G89" s="587"/>
      <c r="H89" s="587"/>
      <c r="I89" s="587"/>
    </row>
    <row r="90">
      <c r="B90" s="580">
        <v>9.0</v>
      </c>
      <c r="C90" s="582" t="s">
        <v>3236</v>
      </c>
      <c r="D90" s="579"/>
      <c r="E90" s="582" t="s">
        <v>1138</v>
      </c>
      <c r="F90" s="579"/>
      <c r="G90" s="582" t="s">
        <v>3812</v>
      </c>
      <c r="H90" s="579"/>
      <c r="I90" s="579" t="str">
        <f>LOWER(E90)</f>
        <v>data</v>
      </c>
    </row>
    <row r="91">
      <c r="B91" s="578"/>
      <c r="C91" s="579"/>
      <c r="D91" s="579"/>
      <c r="E91" s="579"/>
      <c r="F91" s="579"/>
      <c r="G91" s="579"/>
      <c r="H91" s="579"/>
      <c r="I91" s="579"/>
    </row>
    <row r="92">
      <c r="B92" s="578"/>
      <c r="C92" s="579"/>
      <c r="D92" s="579"/>
      <c r="E92" s="582" t="s">
        <v>599</v>
      </c>
      <c r="F92" s="579"/>
      <c r="G92" s="582" t="s">
        <v>3813</v>
      </c>
      <c r="H92" s="579"/>
      <c r="I92" s="579" t="str">
        <f>LOWER(E92)</f>
        <v>excel</v>
      </c>
    </row>
    <row r="93">
      <c r="B93" s="578"/>
      <c r="C93" s="579"/>
      <c r="D93" s="579"/>
      <c r="E93" s="579"/>
      <c r="F93" s="579"/>
      <c r="G93" s="579"/>
      <c r="H93" s="579"/>
      <c r="I93" s="579"/>
    </row>
    <row r="94">
      <c r="B94" s="578"/>
      <c r="C94" s="579"/>
      <c r="D94" s="579"/>
      <c r="E94" s="582" t="s">
        <v>3814</v>
      </c>
      <c r="F94" s="579"/>
      <c r="G94" s="582" t="s">
        <v>3815</v>
      </c>
      <c r="H94" s="579"/>
      <c r="I94" s="579" t="str">
        <f>LOWER(E94)</f>
        <v>java</v>
      </c>
    </row>
    <row r="95">
      <c r="B95" s="578"/>
      <c r="C95" s="579"/>
      <c r="D95" s="579"/>
      <c r="E95" s="579"/>
      <c r="F95" s="579"/>
      <c r="G95" s="579"/>
      <c r="H95" s="579"/>
      <c r="I95" s="579"/>
    </row>
    <row r="96">
      <c r="B96" s="578"/>
      <c r="C96" s="579"/>
      <c r="D96" s="579"/>
      <c r="E96" s="582" t="s">
        <v>3816</v>
      </c>
      <c r="F96" s="579"/>
      <c r="G96" s="582" t="s">
        <v>3817</v>
      </c>
      <c r="H96" s="579"/>
      <c r="I96" s="579" t="str">
        <f>LOWER(E96)</f>
        <v>project</v>
      </c>
    </row>
    <row r="97">
      <c r="B97" s="578"/>
      <c r="C97" s="579"/>
      <c r="D97" s="579"/>
      <c r="E97" s="579"/>
      <c r="F97" s="579"/>
      <c r="G97" s="579"/>
      <c r="H97" s="579"/>
      <c r="I97" s="579"/>
    </row>
    <row r="98">
      <c r="B98" s="578"/>
      <c r="C98" s="579"/>
      <c r="D98" s="579"/>
      <c r="E98" s="582" t="s">
        <v>1880</v>
      </c>
      <c r="F98" s="579"/>
      <c r="G98" s="582" t="s">
        <v>3818</v>
      </c>
      <c r="H98" s="579"/>
      <c r="I98" s="579" t="str">
        <f>LOWER(E98)</f>
        <v>nagpur</v>
      </c>
    </row>
    <row r="99">
      <c r="B99" s="586"/>
      <c r="C99" s="588"/>
      <c r="D99" s="588"/>
      <c r="E99" s="588"/>
      <c r="F99" s="588"/>
      <c r="G99" s="588"/>
      <c r="H99" s="588"/>
      <c r="I99" s="588"/>
    </row>
    <row r="100">
      <c r="B100" s="580">
        <v>10.0</v>
      </c>
      <c r="C100" s="424" t="s">
        <v>3238</v>
      </c>
      <c r="D100" s="425"/>
      <c r="E100" s="424" t="s">
        <v>3819</v>
      </c>
      <c r="F100" s="425"/>
      <c r="G100" s="424" t="s">
        <v>3820</v>
      </c>
      <c r="H100" s="425"/>
      <c r="I100" s="425" t="str">
        <f>UPPER(E100)</f>
        <v>EXAMPLE</v>
      </c>
    </row>
    <row r="101">
      <c r="B101" s="578"/>
      <c r="C101" s="425"/>
      <c r="D101" s="425"/>
      <c r="E101" s="425"/>
      <c r="F101" s="425"/>
      <c r="G101" s="425"/>
      <c r="H101" s="425"/>
      <c r="I101" s="425"/>
    </row>
    <row r="102">
      <c r="B102" s="578"/>
      <c r="C102" s="425"/>
      <c r="D102" s="425"/>
      <c r="E102" s="424" t="s">
        <v>1722</v>
      </c>
      <c r="F102" s="425"/>
      <c r="G102" s="424" t="s">
        <v>3821</v>
      </c>
      <c r="H102" s="425"/>
      <c r="I102" s="425" t="str">
        <f>UPPER(E102)</f>
        <v>NUMBER</v>
      </c>
    </row>
    <row r="103">
      <c r="B103" s="578"/>
      <c r="C103" s="425"/>
      <c r="D103" s="425"/>
      <c r="E103" s="425"/>
      <c r="F103" s="425"/>
      <c r="G103" s="425"/>
      <c r="H103" s="425"/>
      <c r="I103" s="425"/>
    </row>
    <row r="104">
      <c r="B104" s="578"/>
      <c r="C104" s="425"/>
      <c r="D104" s="425"/>
      <c r="E104" s="424" t="s">
        <v>597</v>
      </c>
      <c r="F104" s="425"/>
      <c r="G104" s="424" t="s">
        <v>3822</v>
      </c>
      <c r="H104" s="425"/>
      <c r="I104" s="425" t="str">
        <f>UPPER(E104)</f>
        <v>WORD</v>
      </c>
    </row>
    <row r="105">
      <c r="B105" s="578"/>
      <c r="C105" s="425"/>
      <c r="D105" s="425"/>
      <c r="E105" s="425"/>
      <c r="F105" s="425"/>
      <c r="G105" s="425"/>
      <c r="H105" s="425"/>
      <c r="I105" s="425"/>
    </row>
    <row r="106">
      <c r="B106" s="578"/>
      <c r="C106" s="425"/>
      <c r="D106" s="425"/>
      <c r="E106" s="424" t="s">
        <v>3513</v>
      </c>
      <c r="F106" s="425"/>
      <c r="G106" s="424" t="s">
        <v>3823</v>
      </c>
      <c r="H106" s="425"/>
      <c r="I106" s="425" t="str">
        <f>UPPER(E106)</f>
        <v>TEXT</v>
      </c>
    </row>
    <row r="107">
      <c r="B107" s="578"/>
      <c r="C107" s="425"/>
      <c r="D107" s="425"/>
      <c r="E107" s="425"/>
      <c r="F107" s="425"/>
      <c r="G107" s="425"/>
      <c r="H107" s="425"/>
      <c r="I107" s="425"/>
    </row>
    <row r="108">
      <c r="B108" s="578"/>
      <c r="C108" s="425"/>
      <c r="D108" s="425"/>
      <c r="E108" s="424" t="s">
        <v>3824</v>
      </c>
      <c r="F108" s="425"/>
      <c r="G108" s="424" t="s">
        <v>3825</v>
      </c>
      <c r="H108" s="425"/>
      <c r="I108" s="425" t="str">
        <f>UPPER(E108)</f>
        <v>LETTER</v>
      </c>
    </row>
    <row r="109">
      <c r="B109" s="586"/>
      <c r="C109" s="587"/>
      <c r="D109" s="587"/>
      <c r="E109" s="587"/>
      <c r="F109" s="587"/>
      <c r="G109" s="587"/>
      <c r="H109" s="587"/>
      <c r="I109" s="587"/>
    </row>
    <row r="110">
      <c r="B110" s="580">
        <v>11.0</v>
      </c>
      <c r="C110" s="589" t="s">
        <v>3239</v>
      </c>
      <c r="D110" s="590"/>
      <c r="E110" s="589" t="s">
        <v>3826</v>
      </c>
      <c r="F110" s="590"/>
      <c r="G110" s="589" t="s">
        <v>3827</v>
      </c>
      <c r="H110" s="590"/>
      <c r="I110" s="590">
        <f>LEN(E110)</f>
        <v>8</v>
      </c>
    </row>
    <row r="111">
      <c r="B111" s="578"/>
      <c r="C111" s="590"/>
      <c r="D111" s="590"/>
      <c r="E111" s="590"/>
      <c r="F111" s="590"/>
      <c r="G111" s="590"/>
      <c r="H111" s="590"/>
      <c r="I111" s="590"/>
    </row>
    <row r="112">
      <c r="B112" s="578"/>
      <c r="C112" s="590"/>
      <c r="D112" s="590"/>
      <c r="E112" s="589" t="s">
        <v>3828</v>
      </c>
      <c r="F112" s="590"/>
      <c r="G112" s="589" t="s">
        <v>3829</v>
      </c>
      <c r="H112" s="590"/>
      <c r="I112" s="590">
        <f>LEN(E112)</f>
        <v>9</v>
      </c>
    </row>
    <row r="113">
      <c r="B113" s="578"/>
      <c r="C113" s="590"/>
      <c r="D113" s="590"/>
      <c r="E113" s="590"/>
      <c r="F113" s="590"/>
      <c r="G113" s="590"/>
      <c r="H113" s="590"/>
      <c r="I113" s="590"/>
    </row>
    <row r="114">
      <c r="B114" s="578"/>
      <c r="C114" s="590"/>
      <c r="D114" s="590"/>
      <c r="E114" s="589" t="s">
        <v>3830</v>
      </c>
      <c r="F114" s="590"/>
      <c r="G114" s="589" t="s">
        <v>3831</v>
      </c>
      <c r="H114" s="590"/>
      <c r="I114" s="590">
        <f>LEN(E114)</f>
        <v>9</v>
      </c>
    </row>
    <row r="115">
      <c r="B115" s="578"/>
      <c r="C115" s="590"/>
      <c r="D115" s="590"/>
      <c r="E115" s="590"/>
      <c r="F115" s="590"/>
      <c r="G115" s="590"/>
      <c r="H115" s="590"/>
      <c r="I115" s="590"/>
    </row>
    <row r="116" ht="17.25" customHeight="1">
      <c r="B116" s="578"/>
      <c r="C116" s="590"/>
      <c r="D116" s="590"/>
      <c r="E116" s="589" t="s">
        <v>3832</v>
      </c>
      <c r="F116" s="590"/>
      <c r="G116" s="589" t="s">
        <v>3833</v>
      </c>
      <c r="H116" s="590"/>
      <c r="I116" s="590">
        <f>LEN(E116)</f>
        <v>8</v>
      </c>
    </row>
    <row r="117">
      <c r="B117" s="578"/>
      <c r="C117" s="590"/>
      <c r="D117" s="590"/>
      <c r="E117" s="590"/>
      <c r="F117" s="590"/>
      <c r="G117" s="590"/>
      <c r="H117" s="590"/>
      <c r="I117" s="590"/>
    </row>
    <row r="118">
      <c r="B118" s="578"/>
      <c r="C118" s="590"/>
      <c r="D118" s="590"/>
      <c r="E118" s="589" t="s">
        <v>3834</v>
      </c>
      <c r="F118" s="590"/>
      <c r="G118" s="589" t="s">
        <v>3835</v>
      </c>
      <c r="H118" s="590"/>
      <c r="I118" s="590">
        <f>LEN(E118)</f>
        <v>9</v>
      </c>
    </row>
    <row r="119">
      <c r="B119" s="586"/>
      <c r="C119" s="591"/>
      <c r="D119" s="591"/>
      <c r="E119" s="591"/>
      <c r="F119" s="591"/>
      <c r="G119" s="591"/>
      <c r="H119" s="591"/>
      <c r="I119" s="591"/>
    </row>
    <row r="120">
      <c r="B120" s="580">
        <v>12.0</v>
      </c>
      <c r="C120" s="424" t="s">
        <v>343</v>
      </c>
      <c r="D120" s="425"/>
      <c r="E120" s="424" t="s">
        <v>922</v>
      </c>
      <c r="F120" s="425"/>
      <c r="G120" s="424" t="s">
        <v>3836</v>
      </c>
      <c r="H120" s="425"/>
      <c r="I120" s="425" t="str">
        <f>REPLACE(E120,1,3,"ABC")</f>
        <v>ABCdent</v>
      </c>
    </row>
    <row r="121">
      <c r="B121" s="578"/>
      <c r="C121" s="425"/>
      <c r="D121" s="425"/>
      <c r="E121" s="425"/>
      <c r="F121" s="425"/>
      <c r="G121" s="425"/>
      <c r="H121" s="425"/>
      <c r="I121" s="425"/>
    </row>
    <row r="122">
      <c r="B122" s="578"/>
      <c r="C122" s="425"/>
      <c r="D122" s="425"/>
      <c r="E122" s="424" t="s">
        <v>1270</v>
      </c>
      <c r="F122" s="425"/>
      <c r="G122" s="424" t="s">
        <v>3837</v>
      </c>
      <c r="H122" s="425"/>
      <c r="I122" s="425" t="str">
        <f>REPLACE(E122,2,3,"XYZ")</f>
        <v>CXYZuter</v>
      </c>
    </row>
    <row r="123">
      <c r="B123" s="578"/>
      <c r="C123" s="425"/>
      <c r="D123" s="425"/>
      <c r="E123" s="425"/>
      <c r="F123" s="425"/>
      <c r="G123" s="425"/>
      <c r="H123" s="425"/>
      <c r="I123" s="425"/>
    </row>
    <row r="124">
      <c r="B124" s="578"/>
      <c r="C124" s="425"/>
      <c r="D124" s="425"/>
      <c r="E124" s="424" t="s">
        <v>827</v>
      </c>
      <c r="F124" s="425"/>
      <c r="G124" s="424" t="s">
        <v>3838</v>
      </c>
      <c r="H124" s="425"/>
      <c r="I124" s="425" t="str">
        <f>REPLACE(E124,3,2,"BB")</f>
        <v>ScBBnce</v>
      </c>
    </row>
    <row r="125">
      <c r="B125" s="578"/>
      <c r="C125" s="425"/>
      <c r="D125" s="425"/>
      <c r="E125" s="425"/>
      <c r="F125" s="425"/>
      <c r="G125" s="425"/>
      <c r="H125" s="425"/>
      <c r="I125" s="425"/>
    </row>
    <row r="126">
      <c r="B126" s="578"/>
      <c r="C126" s="425"/>
      <c r="D126" s="425"/>
      <c r="E126" s="424" t="s">
        <v>3839</v>
      </c>
      <c r="F126" s="425"/>
      <c r="G126" s="424" t="s">
        <v>3840</v>
      </c>
      <c r="H126" s="425"/>
      <c r="I126" s="425" t="str">
        <f>REPLACE(E126,3,2,"AA")</f>
        <v>PrAAect</v>
      </c>
    </row>
    <row r="127">
      <c r="B127" s="578"/>
      <c r="C127" s="425"/>
      <c r="D127" s="425"/>
      <c r="E127" s="425"/>
      <c r="F127" s="425"/>
      <c r="G127" s="425"/>
      <c r="H127" s="425"/>
      <c r="I127" s="425"/>
    </row>
    <row r="128">
      <c r="B128" s="586"/>
      <c r="C128" s="587"/>
      <c r="D128" s="587"/>
      <c r="E128" s="592" t="s">
        <v>566</v>
      </c>
      <c r="F128" s="587"/>
      <c r="G128" s="592" t="s">
        <v>3841</v>
      </c>
      <c r="H128" s="587"/>
      <c r="I128" s="587" t="str">
        <f>REPLACE(E128,2,2,"TT")</f>
        <v>NTTpur</v>
      </c>
    </row>
  </sheetData>
  <drawing r:id="rId1"/>
</worksheet>
</file>